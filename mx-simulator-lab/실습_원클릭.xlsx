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실습 (한 시트)" sheetId="1" state="visible" r:id="rId1"/>
    <sheet name="리스상각표 실습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-mm-dd"/>
    <numFmt numFmtId="165" formatCode="0.0%"/>
    <numFmt numFmtId="166" formatCode="#,##0.0"/>
    <numFmt numFmtId="167" formatCode="0.0000%"/>
  </numFmts>
  <fonts count="13">
    <font>
      <name val="Calibri"/>
      <family val="2"/>
      <color theme="1"/>
      <sz val="11"/>
      <scheme val="minor"/>
    </font>
    <font>
      <name val="맑은 고딕"/>
      <b val="1"/>
      <color rgb="00FFFFFF"/>
      <sz val="13"/>
    </font>
    <font>
      <name val="맑은 고딕"/>
      <color rgb="00666666"/>
      <sz val="9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Consolas"/>
      <color rgb="001F3864"/>
      <sz val="9"/>
    </font>
    <font>
      <name val="맑은 고딕"/>
      <b val="1"/>
      <color rgb="00C0392B"/>
      <sz val="11"/>
    </font>
    <font>
      <name val="맑은 고딕"/>
      <color rgb="00999999"/>
      <sz val="8"/>
    </font>
    <font>
      <name val="맑은 고딕"/>
      <b val="1"/>
      <color rgb="00FFFFFF"/>
      <sz val="9"/>
    </font>
    <font>
      <name val="맑은 고딕"/>
      <b val="1"/>
      <color rgb="009C6500"/>
      <sz val="10"/>
    </font>
    <font>
      <name val="맑은 고딕"/>
      <b val="1"/>
      <color rgb="00375623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2F2F2"/>
      </patternFill>
    </fill>
    <fill>
      <patternFill patternType="solid">
        <fgColor rgb="00DAE3F3"/>
      </patternFill>
    </fill>
    <fill>
      <patternFill patternType="solid">
        <fgColor rgb="00EDF2FB"/>
      </patternFill>
    </fill>
    <fill>
      <patternFill patternType="solid">
        <fgColor rgb="00FFF6C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/>
      <right/>
      <top style="thin">
        <color rgb="00C9D2E0"/>
      </top>
      <bottom/>
      <diagonal/>
    </border>
    <border>
      <left/>
      <right style="thin">
        <color rgb="00C9D2E0"/>
      </right>
      <top style="thin">
        <color rgb="00C9D2E0"/>
      </top>
      <bottom/>
      <diagonal/>
    </border>
    <border>
      <left/>
      <right style="thin">
        <color rgb="00C9D2E0"/>
      </right>
      <top style="thin">
        <color rgb="00C9D2E0"/>
      </top>
      <bottom style="thin">
        <color rgb="00C9D2E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3" fontId="5" fillId="5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3" fontId="4" fillId="6" borderId="0" applyAlignment="1" pivotButton="0" quotePrefix="0" xfId="0">
      <alignment horizontal="right" vertical="center"/>
    </xf>
    <xf numFmtId="165" fontId="4" fillId="6" borderId="0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right" vertical="center"/>
    </xf>
    <xf numFmtId="3" fontId="5" fillId="8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0" fillId="0" borderId="1" pivotButton="0" quotePrefix="0" xfId="0"/>
    <xf numFmtId="3" fontId="8" fillId="7" borderId="1" applyAlignment="1" pivotButton="0" quotePrefix="0" xfId="0">
      <alignment horizontal="right" vertical="center"/>
    </xf>
    <xf numFmtId="0" fontId="7" fillId="0" borderId="1" pivotButton="0" quotePrefix="0" xfId="0"/>
    <xf numFmtId="164" fontId="9" fillId="0" borderId="0" applyAlignment="1" pivotButton="0" quotePrefix="0" xfId="0">
      <alignment horizontal="center"/>
    </xf>
    <xf numFmtId="165" fontId="4" fillId="4" borderId="0" applyAlignment="1" pivotButton="0" quotePrefix="0" xfId="0">
      <alignment horizontal="right" vertical="center"/>
    </xf>
    <xf numFmtId="165" fontId="4" fillId="6" borderId="0" applyAlignment="1" pivotButton="0" quotePrefix="0" xfId="0">
      <alignment horizontal="right" vertical="center"/>
    </xf>
    <xf numFmtId="10" fontId="4" fillId="4" borderId="0" applyAlignment="1" pivotButton="0" quotePrefix="0" xfId="0">
      <alignment horizontal="right" vertical="center"/>
    </xf>
    <xf numFmtId="0" fontId="10" fillId="3" borderId="1" applyAlignment="1" pivotButton="0" quotePrefix="0" xfId="0">
      <alignment horizontal="center" vertical="center"/>
    </xf>
    <xf numFmtId="0" fontId="0" fillId="0" borderId="4" pivotButton="0" quotePrefix="0" xfId="0"/>
    <xf numFmtId="166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0" fontId="7" fillId="0" borderId="0" pivotButton="0" quotePrefix="0" xfId="0"/>
    <xf numFmtId="0" fontId="11" fillId="7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6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46" customWidth="1" min="4" max="4"/>
    <col width="3" customWidth="1" min="5" max="5"/>
    <col width="9" customWidth="1" min="6" max="6"/>
    <col width="12" customWidth="1" min="7" max="7"/>
    <col width="6" customWidth="1" min="8" max="8"/>
    <col width="12" customWidth="1" min="9" max="9"/>
    <col width="12" customWidth="1" min="10" max="10"/>
    <col width="8" customWidth="1" min="11" max="11"/>
  </cols>
  <sheetData>
    <row r="1" ht="24" customHeight="1">
      <c r="A1" s="1" t="inlineStr">
        <is>
          <t>구독 시뮬레이터 실습 — 한 시트에 전부 (모든 수식 실제 계산)</t>
        </is>
      </c>
    </row>
    <row r="2">
      <c r="A2" s="2" t="inlineStr">
        <is>
          <t>노란칸(B열)에 직접 수식/값을 써보고 → C열 '정답'(자동계산)과 비교 · D열은 수식 설명 · 파란칸(회차·사용일)을 바꾸면 정답 자동 갱신</t>
        </is>
      </c>
      <c r="H2" s="2" t="inlineStr">
        <is>
          <t>달력↓</t>
        </is>
      </c>
      <c r="I2" t="inlineStr">
        <is>
          <t>시작</t>
        </is>
      </c>
      <c r="J2" t="inlineStr">
        <is>
          <t>종료</t>
        </is>
      </c>
      <c r="K2" t="inlineStr">
        <is>
          <t>경과일</t>
        </is>
      </c>
    </row>
    <row r="3">
      <c r="H3" s="3" t="n">
        <v>1</v>
      </c>
      <c r="I3" s="23">
        <f>DATE(2025,9,12)</f>
        <v/>
      </c>
      <c r="J3" s="23">
        <f>DATE(2025,9,30)</f>
        <v/>
      </c>
      <c r="K3" s="3">
        <f>J3-I3+1</f>
        <v/>
      </c>
    </row>
    <row r="4" ht="20" customHeight="1">
      <c r="A4" s="5" t="inlineStr">
        <is>
          <t>■ 주어진 값 (수정 금지)</t>
        </is>
      </c>
      <c r="H4" s="3" t="n">
        <v>2</v>
      </c>
      <c r="I4" s="23">
        <f>J3+1</f>
        <v/>
      </c>
      <c r="J4" s="23">
        <f>EOMONTH(I4,0)</f>
        <v/>
      </c>
      <c r="K4" s="3">
        <f>J4-I4+1</f>
        <v/>
      </c>
    </row>
    <row r="5">
      <c r="A5" s="6" t="inlineStr">
        <is>
          <t>구독기간(개월)</t>
        </is>
      </c>
      <c r="B5" s="7" t="n">
        <v>72</v>
      </c>
      <c r="H5" s="3" t="n">
        <v>3</v>
      </c>
      <c r="I5" s="23">
        <f>J4+1</f>
        <v/>
      </c>
      <c r="J5" s="23">
        <f>EOMONTH(I5,0)</f>
        <v/>
      </c>
      <c r="K5" s="3">
        <f>J5-I5+1</f>
        <v/>
      </c>
    </row>
    <row r="6">
      <c r="A6" s="6" t="inlineStr">
        <is>
          <t>구독기간(일)</t>
        </is>
      </c>
      <c r="B6" s="7" t="n">
        <v>2191</v>
      </c>
      <c r="H6" s="3" t="n">
        <v>4</v>
      </c>
      <c r="I6" s="23">
        <f>J5+1</f>
        <v/>
      </c>
      <c r="J6" s="23">
        <f>EOMONTH(I6,0)</f>
        <v/>
      </c>
      <c r="K6" s="3">
        <f>J6-I6+1</f>
        <v/>
      </c>
    </row>
    <row r="7">
      <c r="A7" s="6" t="inlineStr">
        <is>
          <t>총구독료(v−)</t>
        </is>
      </c>
      <c r="B7" s="7" t="n">
        <v>11757600</v>
      </c>
      <c r="H7" s="3" t="n">
        <v>5</v>
      </c>
      <c r="I7" s="23">
        <f>J6+1</f>
        <v/>
      </c>
      <c r="J7" s="23">
        <f>EOMONTH(I7,0)</f>
        <v/>
      </c>
      <c r="K7" s="3">
        <f>J7-I7+1</f>
        <v/>
      </c>
    </row>
    <row r="8">
      <c r="A8" s="6" t="inlineStr">
        <is>
          <t>총구독료(v+)</t>
        </is>
      </c>
      <c r="B8" s="7" t="n">
        <v>12933360</v>
      </c>
      <c r="H8" s="3" t="n">
        <v>6</v>
      </c>
      <c r="I8" s="23">
        <f>J7+1</f>
        <v/>
      </c>
      <c r="J8" s="23">
        <f>EOMONTH(I8,0)</f>
        <v/>
      </c>
      <c r="K8" s="3">
        <f>J8-I8+1</f>
        <v/>
      </c>
    </row>
    <row r="9">
      <c r="A9" s="6" t="inlineStr">
        <is>
          <t>매출인식기준구독료(v−)</t>
        </is>
      </c>
      <c r="B9" s="7" t="n">
        <v>10540800</v>
      </c>
      <c r="H9" s="3" t="n">
        <v>7</v>
      </c>
      <c r="I9" s="23">
        <f>J8+1</f>
        <v/>
      </c>
      <c r="J9" s="23">
        <f>EOMONTH(I9,0)</f>
        <v/>
      </c>
      <c r="K9" s="3">
        <f>J9-I9+1</f>
        <v/>
      </c>
    </row>
    <row r="10">
      <c r="A10" s="6" t="inlineStr">
        <is>
          <t>케어(v−)</t>
        </is>
      </c>
      <c r="B10" s="7" t="n">
        <v>1087200</v>
      </c>
      <c r="H10" s="3" t="n">
        <v>8</v>
      </c>
      <c r="I10" s="23">
        <f>J9+1</f>
        <v/>
      </c>
      <c r="J10" s="23">
        <f>EOMONTH(I10,0)</f>
        <v/>
      </c>
      <c r="K10" s="3">
        <f>J10-I10+1</f>
        <v/>
      </c>
    </row>
    <row r="11">
      <c r="A11" s="6" t="inlineStr">
        <is>
          <t>보증(v−)</t>
        </is>
      </c>
      <c r="B11" s="7" t="n">
        <v>129600</v>
      </c>
      <c r="H11" s="3" t="n">
        <v>9</v>
      </c>
      <c r="I11" s="23">
        <f>J10+1</f>
        <v/>
      </c>
      <c r="J11" s="23">
        <f>EOMONTH(I11,0)</f>
        <v/>
      </c>
      <c r="K11" s="3">
        <f>J11-I11+1</f>
        <v/>
      </c>
    </row>
    <row r="12">
      <c r="A12" s="6" t="inlineStr">
        <is>
          <t>선납금 최종(v−)</t>
        </is>
      </c>
      <c r="B12" s="7" t="n">
        <v>3528000</v>
      </c>
      <c r="H12" s="3" t="n">
        <v>10</v>
      </c>
      <c r="I12" s="23">
        <f>J11+1</f>
        <v/>
      </c>
      <c r="J12" s="23">
        <f>EOMONTH(I12,0)</f>
        <v/>
      </c>
      <c r="K12" s="3">
        <f>J12-I12+1</f>
        <v/>
      </c>
    </row>
    <row r="13">
      <c r="A13" s="6" t="inlineStr">
        <is>
          <t>선납할인 최종(v−)</t>
        </is>
      </c>
      <c r="B13" s="7" t="n">
        <v>475200</v>
      </c>
      <c r="H13" s="3" t="n">
        <v>11</v>
      </c>
      <c r="I13" s="23">
        <f>J12+1</f>
        <v/>
      </c>
      <c r="J13" s="23">
        <f>EOMONTH(I13,0)</f>
        <v/>
      </c>
      <c r="K13" s="3">
        <f>J13-I13+1</f>
        <v/>
      </c>
    </row>
    <row r="14">
      <c r="A14" s="6" t="inlineStr">
        <is>
          <t>단품 최종(v−)</t>
        </is>
      </c>
      <c r="B14" s="7" t="n">
        <v>590400</v>
      </c>
      <c r="H14" s="3" t="n">
        <v>12</v>
      </c>
      <c r="I14" s="23">
        <f>J13+1</f>
        <v/>
      </c>
      <c r="J14" s="23">
        <f>EOMONTH(I14,0)</f>
        <v/>
      </c>
      <c r="K14" s="3">
        <f>J14-I14+1</f>
        <v/>
      </c>
    </row>
    <row r="15">
      <c r="A15" s="6" t="inlineStr">
        <is>
          <t>결합 최종(v−)</t>
        </is>
      </c>
      <c r="B15" s="7" t="n">
        <v>540000</v>
      </c>
      <c r="H15" s="3" t="n">
        <v>13</v>
      </c>
      <c r="I15" s="23">
        <f>J14+1</f>
        <v/>
      </c>
      <c r="J15" s="23">
        <f>EOMONTH(I15,0)</f>
        <v/>
      </c>
      <c r="K15" s="3">
        <f>J15-I15+1</f>
        <v/>
      </c>
    </row>
    <row r="16">
      <c r="A16" s="6" t="inlineStr">
        <is>
          <t>등록비</t>
        </is>
      </c>
      <c r="B16" s="7" t="n">
        <v>100000</v>
      </c>
      <c r="H16" s="3" t="n">
        <v>14</v>
      </c>
      <c r="I16" s="23">
        <f>J15+1</f>
        <v/>
      </c>
      <c r="J16" s="23">
        <f>EOMONTH(I16,0)</f>
        <v/>
      </c>
      <c r="K16" s="3">
        <f>J16-I16+1</f>
        <v/>
      </c>
    </row>
    <row r="17">
      <c r="A17" s="6" t="inlineStr">
        <is>
          <t>위약율</t>
        </is>
      </c>
      <c r="B17" s="24" t="n">
        <v>0.2</v>
      </c>
      <c r="H17" s="3" t="n">
        <v>15</v>
      </c>
      <c r="I17" s="23">
        <f>J16+1</f>
        <v/>
      </c>
      <c r="J17" s="23">
        <f>EOMONTH(I17,0)</f>
        <v/>
      </c>
      <c r="K17" s="3">
        <f>J17-I17+1</f>
        <v/>
      </c>
    </row>
    <row r="18">
      <c r="A18" s="6" t="inlineStr">
        <is>
          <t>반영 월구독료(전체할인)</t>
        </is>
      </c>
      <c r="B18" s="7">
        <f>(B7-B12-B13-B14)/B5</f>
        <v/>
      </c>
      <c r="H18" s="3" t="n">
        <v>16</v>
      </c>
      <c r="I18" s="23">
        <f>J17+1</f>
        <v/>
      </c>
      <c r="J18" s="23">
        <f>EOMONTH(I18,0)</f>
        <v/>
      </c>
      <c r="K18" s="3">
        <f>J18-I18+1</f>
        <v/>
      </c>
    </row>
    <row r="19">
      <c r="H19" s="3" t="n">
        <v>17</v>
      </c>
      <c r="I19" s="23">
        <f>J18+1</f>
        <v/>
      </c>
      <c r="J19" s="23">
        <f>EOMONTH(I19,0)</f>
        <v/>
      </c>
      <c r="K19" s="3">
        <f>J19-I19+1</f>
        <v/>
      </c>
    </row>
    <row r="20" ht="20" customHeight="1">
      <c r="A20" s="5" t="inlineStr">
        <is>
          <t>■ 시나리오 (파란칸만 바꾸세요)</t>
        </is>
      </c>
      <c r="H20" s="3" t="n">
        <v>18</v>
      </c>
      <c r="I20" s="23">
        <f>J19+1</f>
        <v/>
      </c>
      <c r="J20" s="23">
        <f>EOMONTH(I20,0)</f>
        <v/>
      </c>
      <c r="K20" s="3">
        <f>J20-I20+1</f>
        <v/>
      </c>
    </row>
    <row r="21">
      <c r="A21" s="9" t="inlineStr">
        <is>
          <t>해지 회차 (1~72)</t>
        </is>
      </c>
      <c r="B21" s="10" t="n">
        <v>37</v>
      </c>
      <c r="H21" s="3" t="n">
        <v>19</v>
      </c>
      <c r="I21" s="23">
        <f>J20+1</f>
        <v/>
      </c>
      <c r="J21" s="23">
        <f>EOMONTH(I21,0)</f>
        <v/>
      </c>
      <c r="K21" s="3">
        <f>J21-I21+1</f>
        <v/>
      </c>
    </row>
    <row r="22">
      <c r="A22" s="9" t="inlineStr">
        <is>
          <t>당월 사용일</t>
        </is>
      </c>
      <c r="B22" s="10" t="n">
        <v>16</v>
      </c>
      <c r="H22" s="3" t="n">
        <v>20</v>
      </c>
      <c r="I22" s="23">
        <f>J21+1</f>
        <v/>
      </c>
      <c r="J22" s="23">
        <f>EOMONTH(I22,0)</f>
        <v/>
      </c>
      <c r="K22" s="3">
        <f>J22-I22+1</f>
        <v/>
      </c>
    </row>
    <row r="23">
      <c r="A23" s="11" t="inlineStr">
        <is>
          <t>Σ경과일 (자동)</t>
        </is>
      </c>
      <c r="B23" s="12">
        <f>SUMIFS($K$3:$K$74,$H$3:$H$74,"&lt;"&amp;$B$21)+$B$22</f>
        <v/>
      </c>
      <c r="H23" s="3" t="n">
        <v>21</v>
      </c>
      <c r="I23" s="23">
        <f>J22+1</f>
        <v/>
      </c>
      <c r="J23" s="23">
        <f>EOMONTH(I23,0)</f>
        <v/>
      </c>
      <c r="K23" s="3">
        <f>J23-I23+1</f>
        <v/>
      </c>
    </row>
    <row r="24">
      <c r="A24" s="11" t="inlineStr">
        <is>
          <t>그달 일수 (자동)</t>
        </is>
      </c>
      <c r="B24" s="12">
        <f>DAY(INDEX($J$3:$J$74,$B$21))</f>
        <v/>
      </c>
      <c r="H24" s="3" t="n">
        <v>22</v>
      </c>
      <c r="I24" s="23">
        <f>J23+1</f>
        <v/>
      </c>
      <c r="J24" s="23">
        <f>EOMONTH(I24,0)</f>
        <v/>
      </c>
      <c r="K24" s="3">
        <f>J24-I24+1</f>
        <v/>
      </c>
    </row>
    <row r="25">
      <c r="A25" s="11" t="inlineStr">
        <is>
          <t>경과비율 (자동)</t>
        </is>
      </c>
      <c r="B25" s="25">
        <f>B23/B6</f>
        <v/>
      </c>
      <c r="H25" s="3" t="n">
        <v>23</v>
      </c>
      <c r="I25" s="23">
        <f>J24+1</f>
        <v/>
      </c>
      <c r="J25" s="23">
        <f>EOMONTH(I25,0)</f>
        <v/>
      </c>
      <c r="K25" s="3">
        <f>J25-I25+1</f>
        <v/>
      </c>
    </row>
    <row r="26">
      <c r="A26" s="11" t="inlineStr">
        <is>
          <t>잔여비율 (자동)</t>
        </is>
      </c>
      <c r="B26" s="25">
        <f>(B6-B23)/B6</f>
        <v/>
      </c>
      <c r="H26" s="3" t="n">
        <v>24</v>
      </c>
      <c r="I26" s="23">
        <f>J25+1</f>
        <v/>
      </c>
      <c r="J26" s="23">
        <f>EOMONTH(I26,0)</f>
        <v/>
      </c>
      <c r="K26" s="3">
        <f>J26-I26+1</f>
        <v/>
      </c>
    </row>
    <row r="27">
      <c r="H27" s="3" t="n">
        <v>25</v>
      </c>
      <c r="I27" s="23">
        <f>J26+1</f>
        <v/>
      </c>
      <c r="J27" s="23">
        <f>EOMONTH(I27,0)</f>
        <v/>
      </c>
      <c r="K27" s="3">
        <f>J27-I27+1</f>
        <v/>
      </c>
    </row>
    <row r="28" ht="20" customHeight="1">
      <c r="A28" s="5" t="inlineStr">
        <is>
          <t>① 중도해지 정산 5종</t>
        </is>
      </c>
      <c r="H28" s="3" t="n">
        <v>26</v>
      </c>
      <c r="I28" s="23">
        <f>J27+1</f>
        <v/>
      </c>
      <c r="J28" s="23">
        <f>EOMONTH(I28,0)</f>
        <v/>
      </c>
      <c r="K28" s="3">
        <f>J28-I28+1</f>
        <v/>
      </c>
    </row>
    <row r="29" ht="18" customHeight="1">
      <c r="A29" s="14" t="inlineStr">
        <is>
          <t>항목</t>
        </is>
      </c>
      <c r="B29" s="14" t="inlineStr">
        <is>
          <t>✍️ 내 답</t>
        </is>
      </c>
      <c r="C29" s="14" t="inlineStr">
        <is>
          <t>✅ 정답(자동)</t>
        </is>
      </c>
      <c r="D29" s="14" t="inlineStr">
        <is>
          <t>수식 설명</t>
        </is>
      </c>
      <c r="H29" s="3" t="n">
        <v>27</v>
      </c>
      <c r="I29" s="23">
        <f>J28+1</f>
        <v/>
      </c>
      <c r="J29" s="23">
        <f>EOMONTH(I29,0)</f>
        <v/>
      </c>
      <c r="K29" s="3">
        <f>J29-I29+1</f>
        <v/>
      </c>
    </row>
    <row r="30">
      <c r="A30" s="15" t="inlineStr">
        <is>
          <t>위약금</t>
        </is>
      </c>
      <c r="B30" s="16" t="n"/>
      <c r="C30" s="17">
        <f>ROUNDDOWN(B8*B26*B17,-1)</f>
        <v/>
      </c>
      <c r="D30" s="18">
        <f>ROUNDDOWN(총v+ × 잔여비율 × 위약율, −1)</f>
        <v/>
      </c>
      <c r="H30" s="3" t="n">
        <v>28</v>
      </c>
      <c r="I30" s="23">
        <f>J29+1</f>
        <v/>
      </c>
      <c r="J30" s="23">
        <f>EOMONTH(I30,0)</f>
        <v/>
      </c>
      <c r="K30" s="3">
        <f>J30-I30+1</f>
        <v/>
      </c>
    </row>
    <row r="31">
      <c r="A31" s="15" t="inlineStr">
        <is>
          <t>사용분 청구</t>
        </is>
      </c>
      <c r="B31" s="16" t="n"/>
      <c r="C31" s="17">
        <f>ROUNDDOWN(B18*B22/B24,-2)</f>
        <v/>
      </c>
      <c r="D31" s="18">
        <f>ROUNDDOWN(반영월구독료 × 당월사용일/그달일, −2)</f>
        <v/>
      </c>
      <c r="H31" s="3" t="n">
        <v>29</v>
      </c>
      <c r="I31" s="23">
        <f>J30+1</f>
        <v/>
      </c>
      <c r="J31" s="23">
        <f>EOMONTH(I31,0)</f>
        <v/>
      </c>
      <c r="K31" s="3">
        <f>J31-I31+1</f>
        <v/>
      </c>
    </row>
    <row r="32">
      <c r="A32" s="15" t="inlineStr">
        <is>
          <t>할인금 회수</t>
        </is>
      </c>
      <c r="B32" s="16" t="n"/>
      <c r="C32" s="17">
        <f>ROUNDDOWN(B13*B25,-2)+ROUNDDOWN(B14*B25,-2)+ROUNDDOWN(B15*B25,-2)</f>
        <v/>
      </c>
      <c r="D32" s="18">
        <f>Σ ROUNDDOWN(각 할인 × 경과비율, −2)</f>
        <v/>
      </c>
      <c r="H32" s="3" t="n">
        <v>30</v>
      </c>
      <c r="I32" s="23">
        <f>J31+1</f>
        <v/>
      </c>
      <c r="J32" s="23">
        <f>EOMONTH(I32,0)</f>
        <v/>
      </c>
      <c r="K32" s="3">
        <f>J32-I32+1</f>
        <v/>
      </c>
    </row>
    <row r="33">
      <c r="A33" s="15" t="inlineStr">
        <is>
          <t>선납잔액 환불</t>
        </is>
      </c>
      <c r="B33" s="16" t="n"/>
      <c r="C33" s="17">
        <f>-ROUNDUP(B12*B26,-2)</f>
        <v/>
      </c>
      <c r="D33" s="18">
        <f>−ROUNDUP(선납금 × 잔여비율, −2)</f>
        <v/>
      </c>
      <c r="H33" s="3" t="n">
        <v>31</v>
      </c>
      <c r="I33" s="23">
        <f>J32+1</f>
        <v/>
      </c>
      <c r="J33" s="23">
        <f>EOMONTH(I33,0)</f>
        <v/>
      </c>
      <c r="K33" s="3">
        <f>J33-I33+1</f>
        <v/>
      </c>
    </row>
    <row r="34">
      <c r="A34" s="15" t="inlineStr">
        <is>
          <t>등록비 청구</t>
        </is>
      </c>
      <c r="B34" s="16" t="n"/>
      <c r="C34" s="17">
        <f>ROUNDDOWN(B16/1.1*B25,-2)</f>
        <v/>
      </c>
      <c r="D34" s="18">
        <f>ROUNDDOWN(등록비/1.1 × 경과비율, −2)</f>
        <v/>
      </c>
      <c r="H34" s="3" t="n">
        <v>32</v>
      </c>
      <c r="I34" s="23">
        <f>J33+1</f>
        <v/>
      </c>
      <c r="J34" s="23">
        <f>EOMONTH(I34,0)</f>
        <v/>
      </c>
      <c r="K34" s="3">
        <f>J34-I34+1</f>
        <v/>
      </c>
    </row>
    <row r="35">
      <c r="A35" s="19" t="inlineStr">
        <is>
          <t>고객 순부담</t>
        </is>
      </c>
      <c r="B35" s="20" t="n"/>
      <c r="C35" s="21">
        <f>SUM(C30:C34)</f>
        <v/>
      </c>
      <c r="D35" s="22">
        <f>합계 (양수=고객이 더 냄)</f>
        <v/>
      </c>
      <c r="H35" s="3" t="n">
        <v>33</v>
      </c>
      <c r="I35" s="23">
        <f>J34+1</f>
        <v/>
      </c>
      <c r="J35" s="23">
        <f>EOMONTH(I35,0)</f>
        <v/>
      </c>
      <c r="K35" s="3">
        <f>J35-I35+1</f>
        <v/>
      </c>
    </row>
    <row r="36">
      <c r="H36" s="3" t="n">
        <v>34</v>
      </c>
      <c r="I36" s="23">
        <f>J35+1</f>
        <v/>
      </c>
      <c r="J36" s="23">
        <f>EOMONTH(I36,0)</f>
        <v/>
      </c>
      <c r="K36" s="3">
        <f>J36-I36+1</f>
        <v/>
      </c>
    </row>
    <row r="37">
      <c r="H37" s="3" t="n">
        <v>35</v>
      </c>
      <c r="I37" s="23">
        <f>J36+1</f>
        <v/>
      </c>
      <c r="J37" s="23">
        <f>EOMONTH(I37,0)</f>
        <v/>
      </c>
      <c r="K37" s="3">
        <f>J37-I37+1</f>
        <v/>
      </c>
    </row>
    <row r="38" ht="20" customHeight="1">
      <c r="A38" s="5" t="inlineStr">
        <is>
          <t>② 할인 6단계 (단품 5% 예시)</t>
        </is>
      </c>
      <c r="H38" s="3" t="n">
        <v>36</v>
      </c>
      <c r="I38" s="23">
        <f>J37+1</f>
        <v/>
      </c>
      <c r="J38" s="23">
        <f>EOMONTH(I38,0)</f>
        <v/>
      </c>
      <c r="K38" s="3">
        <f>J38-I38+1</f>
        <v/>
      </c>
    </row>
    <row r="39" ht="18" customHeight="1">
      <c r="A39" s="14" t="inlineStr">
        <is>
          <t>항목</t>
        </is>
      </c>
      <c r="B39" s="14" t="inlineStr">
        <is>
          <t>✍️ 내 답</t>
        </is>
      </c>
      <c r="C39" s="14" t="inlineStr">
        <is>
          <t>✅ 정답(자동)</t>
        </is>
      </c>
      <c r="D39" s="14" t="inlineStr">
        <is>
          <t>수식 설명</t>
        </is>
      </c>
      <c r="H39" s="3" t="n">
        <v>37</v>
      </c>
      <c r="I39" s="23">
        <f>J38+1</f>
        <v/>
      </c>
      <c r="J39" s="23">
        <f>EOMONTH(I39,0)</f>
        <v/>
      </c>
      <c r="K39" s="3">
        <f>J39-I39+1</f>
        <v/>
      </c>
    </row>
    <row r="40">
      <c r="A40" s="15" t="inlineStr">
        <is>
          <t>① 할인금(v+)</t>
        </is>
      </c>
      <c r="B40" s="16" t="n"/>
      <c r="C40" s="17">
        <f>B8*5%</f>
        <v/>
      </c>
      <c r="D40" s="18">
        <f>총구독료v+ × 5%</f>
        <v/>
      </c>
      <c r="H40" s="3" t="n">
        <v>38</v>
      </c>
      <c r="I40" s="23">
        <f>J39+1</f>
        <v/>
      </c>
      <c r="J40" s="23">
        <f>EOMONTH(I40,0)</f>
        <v/>
      </c>
      <c r="K40" s="3">
        <f>J40-I40+1</f>
        <v/>
      </c>
    </row>
    <row r="41">
      <c r="A41" s="15" t="inlineStr">
        <is>
          <t>② 할인금(v−)</t>
        </is>
      </c>
      <c r="B41" s="16" t="n"/>
      <c r="C41" s="17">
        <f>C40/1.1</f>
        <v/>
      </c>
      <c r="D41" s="18">
        <f>① ÷ 1.1</f>
        <v/>
      </c>
      <c r="H41" s="3" t="n">
        <v>39</v>
      </c>
      <c r="I41" s="23">
        <f>J40+1</f>
        <v/>
      </c>
      <c r="J41" s="23">
        <f>EOMONTH(I41,0)</f>
        <v/>
      </c>
      <c r="K41" s="3">
        <f>J41-I41+1</f>
        <v/>
      </c>
    </row>
    <row r="42">
      <c r="A42" s="15" t="inlineStr">
        <is>
          <t>③ 월할인금(v−)</t>
        </is>
      </c>
      <c r="B42" s="16" t="n"/>
      <c r="C42" s="17">
        <f>ROUND(C41/B5,-2)</f>
        <v/>
      </c>
      <c r="D42" s="18">
        <f>ROUND(② / 기간, −2)</f>
        <v/>
      </c>
      <c r="H42" s="3" t="n">
        <v>40</v>
      </c>
      <c r="I42" s="23">
        <f>J41+1</f>
        <v/>
      </c>
      <c r="J42" s="23">
        <f>EOMONTH(I42,0)</f>
        <v/>
      </c>
      <c r="K42" s="3">
        <f>J42-I42+1</f>
        <v/>
      </c>
    </row>
    <row r="43">
      <c r="A43" s="15" t="inlineStr">
        <is>
          <t>④ 월할인금(v+)</t>
        </is>
      </c>
      <c r="B43" s="16" t="n"/>
      <c r="C43" s="17">
        <f>C42*1.1</f>
        <v/>
      </c>
      <c r="D43" s="18">
        <f>③ × 1.1</f>
        <v/>
      </c>
      <c r="H43" s="3" t="n">
        <v>41</v>
      </c>
      <c r="I43" s="23">
        <f>J42+1</f>
        <v/>
      </c>
      <c r="J43" s="23">
        <f>EOMONTH(I43,0)</f>
        <v/>
      </c>
      <c r="K43" s="3">
        <f>J43-I43+1</f>
        <v/>
      </c>
    </row>
    <row r="44">
      <c r="A44" s="15" t="inlineStr">
        <is>
          <t>⑤ 최종 할인금(v−)</t>
        </is>
      </c>
      <c r="B44" s="16" t="n"/>
      <c r="C44" s="17">
        <f>C42*B5</f>
        <v/>
      </c>
      <c r="D44" s="18">
        <f>③ × 기간</f>
        <v/>
      </c>
      <c r="H44" s="3" t="n">
        <v>42</v>
      </c>
      <c r="I44" s="23">
        <f>J43+1</f>
        <v/>
      </c>
      <c r="J44" s="23">
        <f>EOMONTH(I44,0)</f>
        <v/>
      </c>
      <c r="K44" s="3">
        <f>J44-I44+1</f>
        <v/>
      </c>
    </row>
    <row r="45">
      <c r="H45" s="3" t="n">
        <v>43</v>
      </c>
      <c r="I45" s="23">
        <f>J44+1</f>
        <v/>
      </c>
      <c r="J45" s="23">
        <f>EOMONTH(I45,0)</f>
        <v/>
      </c>
      <c r="K45" s="3">
        <f>J45-I45+1</f>
        <v/>
      </c>
    </row>
    <row r="46">
      <c r="H46" s="3" t="n">
        <v>44</v>
      </c>
      <c r="I46" s="23">
        <f>J45+1</f>
        <v/>
      </c>
      <c r="J46" s="23">
        <f>EOMONTH(I46,0)</f>
        <v/>
      </c>
      <c r="K46" s="3">
        <f>J46-I46+1</f>
        <v/>
      </c>
    </row>
    <row r="47" ht="20" customHeight="1">
      <c r="A47" s="5" t="inlineStr">
        <is>
          <t>③ 중도완납 · AS보상</t>
        </is>
      </c>
      <c r="H47" s="3" t="n">
        <v>45</v>
      </c>
      <c r="I47" s="23">
        <f>J46+1</f>
        <v/>
      </c>
      <c r="J47" s="23">
        <f>EOMONTH(I47,0)</f>
        <v/>
      </c>
      <c r="K47" s="3">
        <f>J47-I47+1</f>
        <v/>
      </c>
    </row>
    <row r="48" ht="18" customHeight="1">
      <c r="A48" s="14" t="inlineStr">
        <is>
          <t>항목</t>
        </is>
      </c>
      <c r="B48" s="14" t="inlineStr">
        <is>
          <t>✍️ 내 답</t>
        </is>
      </c>
      <c r="C48" s="14" t="inlineStr">
        <is>
          <t>✅ 정답(자동)</t>
        </is>
      </c>
      <c r="D48" s="14" t="inlineStr">
        <is>
          <t>수식 설명</t>
        </is>
      </c>
      <c r="H48" s="3" t="n">
        <v>46</v>
      </c>
      <c r="I48" s="23">
        <f>J47+1</f>
        <v/>
      </c>
      <c r="J48" s="23">
        <f>EOMONTH(I48,0)</f>
        <v/>
      </c>
      <c r="K48" s="3">
        <f>J48-I48+1</f>
        <v/>
      </c>
    </row>
    <row r="49">
      <c r="A49" s="15" t="inlineStr">
        <is>
          <t>중도완납금</t>
        </is>
      </c>
      <c r="B49" s="16" t="n"/>
      <c r="C49" s="17">
        <f>ROUND(B9*B26,-2)</f>
        <v/>
      </c>
      <c r="D49" s="18">
        <f>ROUND(매출인식기준 × 잔여비율, −2)</f>
        <v/>
      </c>
      <c r="H49" s="3" t="n">
        <v>47</v>
      </c>
      <c r="I49" s="23">
        <f>J48+1</f>
        <v/>
      </c>
      <c r="J49" s="23">
        <f>EOMONTH(I49,0)</f>
        <v/>
      </c>
      <c r="K49" s="3">
        <f>J49-I49+1</f>
        <v/>
      </c>
    </row>
    <row r="50">
      <c r="A50" s="15" t="inlineStr">
        <is>
          <t>완납 사용분</t>
        </is>
      </c>
      <c r="B50" s="16" t="n"/>
      <c r="C50" s="17">
        <f>ROUNDDOWN(B18*B22/B24,-2)</f>
        <v/>
      </c>
      <c r="D50" s="18">
        <f>ROUNDDOWN(반영월구독료 × 당월사용일/그달, −2)</f>
        <v/>
      </c>
      <c r="H50" s="3" t="n">
        <v>48</v>
      </c>
      <c r="I50" s="23">
        <f>J49+1</f>
        <v/>
      </c>
      <c r="J50" s="23">
        <f>EOMONTH(I50,0)</f>
        <v/>
      </c>
      <c r="K50" s="3">
        <f>J50-I50+1</f>
        <v/>
      </c>
    </row>
    <row r="51">
      <c r="A51" s="15" t="inlineStr">
        <is>
          <t>선납액 차감</t>
        </is>
      </c>
      <c r="B51" s="16" t="n"/>
      <c r="C51" s="17">
        <f>-ROUNDUP(B12*B26,-2)</f>
        <v/>
      </c>
      <c r="D51" s="18">
        <f>−ROUNDUP(선납금 × 잔여비율, −2)</f>
        <v/>
      </c>
      <c r="H51" s="3" t="n">
        <v>49</v>
      </c>
      <c r="I51" s="23">
        <f>J50+1</f>
        <v/>
      </c>
      <c r="J51" s="23">
        <f>EOMONTH(I51,0)</f>
        <v/>
      </c>
      <c r="K51" s="3">
        <f>J51-I51+1</f>
        <v/>
      </c>
    </row>
    <row r="52">
      <c r="A52" s="15" t="inlineStr">
        <is>
          <t>AS보상 (미사용일=당월사용일 가정)</t>
        </is>
      </c>
      <c r="B52" s="16" t="n"/>
      <c r="C52" s="17">
        <f>ROUNDUP(B7/B5*B22/B24,-2)</f>
        <v/>
      </c>
      <c r="D52" s="18">
        <f>ROUNDUP(기본월구독료 × 미사용일/그달, −2)</f>
        <v/>
      </c>
      <c r="H52" s="3" t="n">
        <v>50</v>
      </c>
      <c r="I52" s="23">
        <f>J51+1</f>
        <v/>
      </c>
      <c r="J52" s="23">
        <f>EOMONTH(I52,0)</f>
        <v/>
      </c>
      <c r="K52" s="3">
        <f>J52-I52+1</f>
        <v/>
      </c>
    </row>
    <row r="53">
      <c r="H53" s="3" t="n">
        <v>51</v>
      </c>
      <c r="I53" s="23">
        <f>J52+1</f>
        <v/>
      </c>
      <c r="J53" s="23">
        <f>EOMONTH(I53,0)</f>
        <v/>
      </c>
      <c r="K53" s="3">
        <f>J53-I53+1</f>
        <v/>
      </c>
    </row>
    <row r="54">
      <c r="H54" s="3" t="n">
        <v>52</v>
      </c>
      <c r="I54" s="23">
        <f>J53+1</f>
        <v/>
      </c>
      <c r="J54" s="23">
        <f>EOMONTH(I54,0)</f>
        <v/>
      </c>
      <c r="K54" s="3">
        <f>J54-I54+1</f>
        <v/>
      </c>
    </row>
    <row r="55">
      <c r="H55" s="3" t="n">
        <v>53</v>
      </c>
      <c r="I55" s="23">
        <f>J54+1</f>
        <v/>
      </c>
      <c r="J55" s="23">
        <f>EOMONTH(I55,0)</f>
        <v/>
      </c>
      <c r="K55" s="3">
        <f>J55-I55+1</f>
        <v/>
      </c>
    </row>
    <row r="56">
      <c r="H56" s="3" t="n">
        <v>54</v>
      </c>
      <c r="I56" s="23">
        <f>J55+1</f>
        <v/>
      </c>
      <c r="J56" s="23">
        <f>EOMONTH(I56,0)</f>
        <v/>
      </c>
      <c r="K56" s="3">
        <f>J56-I56+1</f>
        <v/>
      </c>
    </row>
    <row r="57">
      <c r="H57" s="3" t="n">
        <v>55</v>
      </c>
      <c r="I57" s="23">
        <f>J56+1</f>
        <v/>
      </c>
      <c r="J57" s="23">
        <f>EOMONTH(I57,0)</f>
        <v/>
      </c>
      <c r="K57" s="3">
        <f>J57-I57+1</f>
        <v/>
      </c>
    </row>
    <row r="58">
      <c r="H58" s="3" t="n">
        <v>56</v>
      </c>
      <c r="I58" s="23">
        <f>J57+1</f>
        <v/>
      </c>
      <c r="J58" s="23">
        <f>EOMONTH(I58,0)</f>
        <v/>
      </c>
      <c r="K58" s="3">
        <f>J58-I58+1</f>
        <v/>
      </c>
    </row>
    <row r="59">
      <c r="H59" s="3" t="n">
        <v>57</v>
      </c>
      <c r="I59" s="23">
        <f>J58+1</f>
        <v/>
      </c>
      <c r="J59" s="23">
        <f>EOMONTH(I59,0)</f>
        <v/>
      </c>
      <c r="K59" s="3">
        <f>J59-I59+1</f>
        <v/>
      </c>
    </row>
    <row r="60">
      <c r="H60" s="3" t="n">
        <v>58</v>
      </c>
      <c r="I60" s="23">
        <f>J59+1</f>
        <v/>
      </c>
      <c r="J60" s="23">
        <f>EOMONTH(I60,0)</f>
        <v/>
      </c>
      <c r="K60" s="3">
        <f>J60-I60+1</f>
        <v/>
      </c>
    </row>
    <row r="61">
      <c r="H61" s="3" t="n">
        <v>59</v>
      </c>
      <c r="I61" s="23">
        <f>J60+1</f>
        <v/>
      </c>
      <c r="J61" s="23">
        <f>EOMONTH(I61,0)</f>
        <v/>
      </c>
      <c r="K61" s="3">
        <f>J61-I61+1</f>
        <v/>
      </c>
    </row>
    <row r="62">
      <c r="H62" s="3" t="n">
        <v>60</v>
      </c>
      <c r="I62" s="23">
        <f>J61+1</f>
        <v/>
      </c>
      <c r="J62" s="23">
        <f>EOMONTH(I62,0)</f>
        <v/>
      </c>
      <c r="K62" s="3">
        <f>J62-I62+1</f>
        <v/>
      </c>
    </row>
    <row r="63">
      <c r="H63" s="3" t="n">
        <v>61</v>
      </c>
      <c r="I63" s="23">
        <f>J62+1</f>
        <v/>
      </c>
      <c r="J63" s="23">
        <f>EOMONTH(I63,0)</f>
        <v/>
      </c>
      <c r="K63" s="3">
        <f>J63-I63+1</f>
        <v/>
      </c>
    </row>
    <row r="64">
      <c r="H64" s="3" t="n">
        <v>62</v>
      </c>
      <c r="I64" s="23">
        <f>J63+1</f>
        <v/>
      </c>
      <c r="J64" s="23">
        <f>EOMONTH(I64,0)</f>
        <v/>
      </c>
      <c r="K64" s="3">
        <f>J64-I64+1</f>
        <v/>
      </c>
    </row>
    <row r="65">
      <c r="H65" s="3" t="n">
        <v>63</v>
      </c>
      <c r="I65" s="23">
        <f>J64+1</f>
        <v/>
      </c>
      <c r="J65" s="23">
        <f>EOMONTH(I65,0)</f>
        <v/>
      </c>
      <c r="K65" s="3">
        <f>J65-I65+1</f>
        <v/>
      </c>
    </row>
    <row r="66">
      <c r="H66" s="3" t="n">
        <v>64</v>
      </c>
      <c r="I66" s="23">
        <f>J65+1</f>
        <v/>
      </c>
      <c r="J66" s="23">
        <f>EOMONTH(I66,0)</f>
        <v/>
      </c>
      <c r="K66" s="3">
        <f>J66-I66+1</f>
        <v/>
      </c>
    </row>
    <row r="67">
      <c r="H67" s="3" t="n">
        <v>65</v>
      </c>
      <c r="I67" s="23">
        <f>J66+1</f>
        <v/>
      </c>
      <c r="J67" s="23">
        <f>EOMONTH(I67,0)</f>
        <v/>
      </c>
      <c r="K67" s="3">
        <f>J67-I67+1</f>
        <v/>
      </c>
    </row>
    <row r="68">
      <c r="H68" s="3" t="n">
        <v>66</v>
      </c>
      <c r="I68" s="23">
        <f>J67+1</f>
        <v/>
      </c>
      <c r="J68" s="23">
        <f>EOMONTH(I68,0)</f>
        <v/>
      </c>
      <c r="K68" s="3">
        <f>J68-I68+1</f>
        <v/>
      </c>
    </row>
    <row r="69">
      <c r="H69" s="3" t="n">
        <v>67</v>
      </c>
      <c r="I69" s="23">
        <f>J68+1</f>
        <v/>
      </c>
      <c r="J69" s="23">
        <f>EOMONTH(I69,0)</f>
        <v/>
      </c>
      <c r="K69" s="3">
        <f>J69-I69+1</f>
        <v/>
      </c>
    </row>
    <row r="70">
      <c r="H70" s="3" t="n">
        <v>68</v>
      </c>
      <c r="I70" s="23">
        <f>J69+1</f>
        <v/>
      </c>
      <c r="J70" s="23">
        <f>EOMONTH(I70,0)</f>
        <v/>
      </c>
      <c r="K70" s="3">
        <f>J70-I70+1</f>
        <v/>
      </c>
    </row>
    <row r="71">
      <c r="H71" s="3" t="n">
        <v>69</v>
      </c>
      <c r="I71" s="23">
        <f>J70+1</f>
        <v/>
      </c>
      <c r="J71" s="23">
        <f>EOMONTH(I71,0)</f>
        <v/>
      </c>
      <c r="K71" s="3">
        <f>J71-I71+1</f>
        <v/>
      </c>
    </row>
    <row r="72">
      <c r="H72" s="3" t="n">
        <v>70</v>
      </c>
      <c r="I72" s="23">
        <f>J71+1</f>
        <v/>
      </c>
      <c r="J72" s="23">
        <f>EOMONTH(I72,0)</f>
        <v/>
      </c>
      <c r="K72" s="3">
        <f>J72-I72+1</f>
        <v/>
      </c>
    </row>
    <row r="73">
      <c r="H73" s="3" t="n">
        <v>71</v>
      </c>
      <c r="I73" s="23">
        <f>J72+1</f>
        <v/>
      </c>
      <c r="J73" s="23">
        <f>EOMONTH(I73,0)</f>
        <v/>
      </c>
      <c r="K73" s="3">
        <f>J73-I73+1</f>
        <v/>
      </c>
    </row>
    <row r="74">
      <c r="H74" s="3" t="n">
        <v>72</v>
      </c>
      <c r="I74" s="23">
        <f>J73+1</f>
        <v/>
      </c>
      <c r="J74" s="23">
        <f>EOMONTH(I74,0)</f>
        <v/>
      </c>
      <c r="K74" s="3">
        <f>J74-I74+1</f>
        <v/>
      </c>
    </row>
  </sheetData>
  <mergeCells count="7">
    <mergeCell ref="A1:D1"/>
    <mergeCell ref="A4:D4"/>
    <mergeCell ref="A20:D20"/>
    <mergeCell ref="A38:D38"/>
    <mergeCell ref="A2:D2"/>
    <mergeCell ref="A47:D47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3" customWidth="1" min="3" max="3"/>
    <col width="13" customWidth="1" min="4" max="4"/>
    <col width="13" customWidth="1" min="5" max="5"/>
    <col width="3" customWidth="1" min="6" max="6"/>
    <col width="13" customWidth="1" min="7" max="7"/>
    <col width="13" customWidth="1" min="8" max="8"/>
    <col width="13" customWidth="1" min="9" max="9"/>
    <col width="13" customWidth="1" min="10" max="10"/>
    <col width="50" customWidth="1" min="12" max="12"/>
  </cols>
  <sheetData>
    <row r="1" ht="24" customHeight="1">
      <c r="A1" s="1" t="inlineStr">
        <is>
          <t>리스 상각표 실습 — 엔진 직접 풀고, 표 만들어 정답과 대조</t>
        </is>
      </c>
    </row>
    <row r="2">
      <c r="A2" s="2" t="inlineStr">
        <is>
          <t>① 주어진 값 확인 → ② 엔진 5개를 노란칸에 직접(PV·RATE·MIN) → ③ 표의 B~E열(노란칸)을 한 줄 만들어 아래로 복사 → ④ 오른쪽 정답표(G~J)와 비교</t>
        </is>
      </c>
    </row>
    <row r="4">
      <c r="A4" s="5" t="inlineStr">
        <is>
          <t>■ 주어진 값 (수정 금지)</t>
        </is>
      </c>
    </row>
    <row r="5">
      <c r="A5" s="6" t="inlineStr">
        <is>
          <t>구독기간 N(개월)</t>
        </is>
      </c>
      <c r="B5" s="7" t="n">
        <v>60</v>
      </c>
    </row>
    <row r="6">
      <c r="A6" s="6" t="inlineStr">
        <is>
          <t>현할차 할인율 K</t>
        </is>
      </c>
      <c r="B6" s="26" t="n">
        <v>0.0357</v>
      </c>
    </row>
    <row r="7">
      <c r="A7" s="6" t="inlineStr">
        <is>
          <t>부분월 사용일</t>
        </is>
      </c>
      <c r="B7" s="7" t="n">
        <v>27</v>
      </c>
    </row>
    <row r="8">
      <c r="A8" s="6" t="inlineStr">
        <is>
          <t>부분월 그달일수</t>
        </is>
      </c>
      <c r="B8" s="7" t="n">
        <v>31</v>
      </c>
    </row>
    <row r="9">
      <c r="A9" s="6" t="inlineStr">
        <is>
          <t>총구독료(v−)</t>
        </is>
      </c>
      <c r="B9" s="7" t="n">
        <v>7428000</v>
      </c>
    </row>
    <row r="10">
      <c r="A10" s="6" t="inlineStr">
        <is>
          <t>케어(v−)</t>
        </is>
      </c>
      <c r="B10" s="7" t="n">
        <v>414000</v>
      </c>
    </row>
    <row r="11">
      <c r="A11" s="6" t="inlineStr">
        <is>
          <t>보증(v−)</t>
        </is>
      </c>
      <c r="B11" s="7" t="n">
        <v>54000</v>
      </c>
    </row>
    <row r="12">
      <c r="A12" s="6" t="inlineStr">
        <is>
          <t>제품(v+)</t>
        </is>
      </c>
      <c r="B12" s="7" t="n">
        <v>5290000</v>
      </c>
    </row>
    <row r="14">
      <c r="A14" s="5" t="inlineStr">
        <is>
          <t>■ 엔진 계산 (노란칸에 직접)</t>
        </is>
      </c>
    </row>
    <row r="15">
      <c r="A15" s="27" t="inlineStr">
        <is>
          <t>항목</t>
        </is>
      </c>
      <c r="B15" s="27" t="inlineStr">
        <is>
          <t>✍️ 내 답</t>
        </is>
      </c>
      <c r="C15" s="27" t="inlineStr">
        <is>
          <t>✅ 정답</t>
        </is>
      </c>
      <c r="D15" s="27" t="inlineStr">
        <is>
          <t>수식 설명</t>
        </is>
      </c>
      <c r="E15" s="28" t="n"/>
    </row>
    <row r="16">
      <c r="A16" s="15" t="inlineStr">
        <is>
          <t>제품(v−)</t>
        </is>
      </c>
      <c r="B16" s="16" t="n"/>
      <c r="C16" s="17">
        <f>ROUND($B$12/1.1,0)</f>
        <v/>
      </c>
      <c r="D16" s="18">
        <f>ROUND(제품v+ / 1.1, 0)</f>
        <v/>
      </c>
    </row>
    <row r="17">
      <c r="A17" s="15" t="inlineStr">
        <is>
          <t>순수구독료</t>
        </is>
      </c>
      <c r="B17" s="16" t="n"/>
      <c r="C17" s="17">
        <f>$B$9-$B$10-$B$11</f>
        <v/>
      </c>
      <c r="D17" s="18">
        <f>총 − 케어 − 보증</f>
        <v/>
      </c>
    </row>
    <row r="18">
      <c r="A18" s="15" t="inlineStr">
        <is>
          <t>리스료(월)</t>
        </is>
      </c>
      <c r="B18" s="16" t="n"/>
      <c r="C18" s="29">
        <f>C17/$B$5</f>
        <v/>
      </c>
      <c r="D18" s="18">
        <f>순수 / N</f>
        <v/>
      </c>
    </row>
    <row r="19">
      <c r="A19" s="15" t="inlineStr">
        <is>
          <t>리스채권</t>
        </is>
      </c>
      <c r="B19" s="16" t="n"/>
      <c r="C19" s="29">
        <f>MIN(C16,PV($B$6/12,$B$5,-C17/$B$5))</f>
        <v/>
      </c>
      <c r="D19" s="18">
        <f>MIN(제품v−, PV(K/12, N, −순수월액))</f>
        <v/>
      </c>
    </row>
    <row r="20">
      <c r="A20" s="15" t="inlineStr">
        <is>
          <t>월이자율</t>
        </is>
      </c>
      <c r="B20" s="16" t="n"/>
      <c r="C20" s="30">
        <f>RATE($B$5,-C18,C19)</f>
        <v/>
      </c>
      <c r="D20" s="18">
        <f>RATE(N, −리스료, 리스채권)</f>
        <v/>
      </c>
    </row>
    <row r="22">
      <c r="A22" s="5" t="inlineStr">
        <is>
          <t>■ 행 수식 카드 (표 만들 때 참고)</t>
        </is>
      </c>
    </row>
    <row r="23">
      <c r="A23" s="31" t="inlineStr">
        <is>
          <t>회차0  : 기말 = 리스채권</t>
        </is>
      </c>
    </row>
    <row r="24">
      <c r="A24" s="31" t="inlineStr">
        <is>
          <t>회차1  : 리스료=−(총·케어·보증 각 일할 반올림) / 이자=ROUND(−리스료+(채권×이자율−리스료월)×27/31,0)</t>
        </is>
      </c>
    </row>
    <row r="25">
      <c r="A25" s="31" t="inlineStr">
        <is>
          <t>중간   : 이자=ROUND(기초×이자율,0) / 리스료=−리스료월 / 기말=기초+이자+리스료</t>
        </is>
      </c>
    </row>
    <row r="26">
      <c r="A26" s="31" t="inlineStr">
        <is>
          <t>막달61 : 리스료=−리스료월−첫달리스료 / 이자=잔액0 맞추는 plug</t>
        </is>
      </c>
    </row>
    <row r="27">
      <c r="B27" s="32" t="inlineStr">
        <is>
          <t>✍️ 내가 만드는 표</t>
        </is>
      </c>
      <c r="G27" s="33" t="inlineStr">
        <is>
          <t>✅ 정답표 (자동)</t>
        </is>
      </c>
    </row>
    <row r="28">
      <c r="A28" s="27" t="inlineStr">
        <is>
          <t>회차</t>
        </is>
      </c>
      <c r="B28" s="27" t="inlineStr">
        <is>
          <t>기초</t>
        </is>
      </c>
      <c r="C28" s="27" t="inlineStr">
        <is>
          <t>이자</t>
        </is>
      </c>
      <c r="D28" s="27" t="inlineStr">
        <is>
          <t>리스료</t>
        </is>
      </c>
      <c r="E28" s="27" t="inlineStr">
        <is>
          <t>기말</t>
        </is>
      </c>
      <c r="G28" s="27" t="inlineStr">
        <is>
          <t>기초</t>
        </is>
      </c>
      <c r="H28" s="27" t="inlineStr">
        <is>
          <t>이자</t>
        </is>
      </c>
      <c r="I28" s="27" t="inlineStr">
        <is>
          <t>리스료</t>
        </is>
      </c>
      <c r="J28" s="27" t="inlineStr">
        <is>
          <t>기말</t>
        </is>
      </c>
    </row>
    <row r="29">
      <c r="A29" s="34" t="n">
        <v>0</v>
      </c>
      <c r="B29" s="35" t="n"/>
      <c r="C29" s="35" t="n"/>
      <c r="D29" s="35" t="n"/>
      <c r="E29" s="35" t="n"/>
      <c r="G29" s="36" t="n"/>
      <c r="H29" s="36" t="n"/>
      <c r="I29" s="36" t="n"/>
      <c r="J29" s="36">
        <f>C19</f>
        <v/>
      </c>
    </row>
    <row r="30">
      <c r="A30" s="34" t="n">
        <v>1</v>
      </c>
      <c r="B30" s="35" t="n"/>
      <c r="C30" s="35" t="n"/>
      <c r="D30" s="35" t="n"/>
      <c r="E30" s="35" t="n"/>
      <c r="G30" s="37">
        <f>J29</f>
        <v/>
      </c>
      <c r="H30" s="37">
        <f>ROUND(-I30+(C19*C20-C18)*($B$7/$B$8),0)</f>
        <v/>
      </c>
      <c r="I30" s="37">
        <f>-(ROUNDDOWN(($B$9/$B$5)*($B$7/$B$8),-2)-ROUNDDOWN(($B$10/$B$5)*($B$7/$B$8),-2)-ROUNDDOWN(($B$11/$B$5)*($B$7/$B$8),-2))</f>
        <v/>
      </c>
      <c r="J30" s="37">
        <f>G30+H30+I30</f>
        <v/>
      </c>
    </row>
    <row r="31">
      <c r="A31" s="34" t="n">
        <v>2</v>
      </c>
      <c r="B31" s="35" t="n"/>
      <c r="C31" s="35" t="n"/>
      <c r="D31" s="35" t="n"/>
      <c r="E31" s="35" t="n"/>
      <c r="G31" s="36">
        <f>J30</f>
        <v/>
      </c>
      <c r="H31" s="36">
        <f>ROUND(G31*$C$20,0)</f>
        <v/>
      </c>
      <c r="I31" s="36">
        <f>-$C$18</f>
        <v/>
      </c>
      <c r="J31" s="36">
        <f>G31+H31+I31</f>
        <v/>
      </c>
    </row>
    <row r="32">
      <c r="A32" s="34" t="n">
        <v>3</v>
      </c>
      <c r="B32" s="35" t="n"/>
      <c r="C32" s="35" t="n"/>
      <c r="D32" s="35" t="n"/>
      <c r="E32" s="35" t="n"/>
      <c r="G32" s="37">
        <f>J31</f>
        <v/>
      </c>
      <c r="H32" s="37">
        <f>ROUND(G32*$C$20,0)</f>
        <v/>
      </c>
      <c r="I32" s="37">
        <f>-$C$18</f>
        <v/>
      </c>
      <c r="J32" s="37">
        <f>G32+H32+I32</f>
        <v/>
      </c>
    </row>
    <row r="33">
      <c r="A33" s="34" t="n">
        <v>4</v>
      </c>
      <c r="B33" s="35" t="n"/>
      <c r="C33" s="35" t="n"/>
      <c r="D33" s="35" t="n"/>
      <c r="E33" s="35" t="n"/>
      <c r="G33" s="36">
        <f>J32</f>
        <v/>
      </c>
      <c r="H33" s="36">
        <f>ROUND(G33*$C$20,0)</f>
        <v/>
      </c>
      <c r="I33" s="36">
        <f>-$C$18</f>
        <v/>
      </c>
      <c r="J33" s="36">
        <f>G33+H33+I33</f>
        <v/>
      </c>
    </row>
    <row r="34">
      <c r="A34" s="34" t="n">
        <v>5</v>
      </c>
      <c r="B34" s="35" t="n"/>
      <c r="C34" s="35" t="n"/>
      <c r="D34" s="35" t="n"/>
      <c r="E34" s="35" t="n"/>
      <c r="G34" s="37">
        <f>J33</f>
        <v/>
      </c>
      <c r="H34" s="37">
        <f>ROUND(G34*$C$20,0)</f>
        <v/>
      </c>
      <c r="I34" s="37">
        <f>-$C$18</f>
        <v/>
      </c>
      <c r="J34" s="37">
        <f>G34+H34+I34</f>
        <v/>
      </c>
    </row>
    <row r="35">
      <c r="A35" s="34" t="n">
        <v>6</v>
      </c>
      <c r="B35" s="35" t="n"/>
      <c r="C35" s="35" t="n"/>
      <c r="D35" s="35" t="n"/>
      <c r="E35" s="35" t="n"/>
      <c r="G35" s="36">
        <f>J34</f>
        <v/>
      </c>
      <c r="H35" s="36">
        <f>ROUND(G35*$C$20,0)</f>
        <v/>
      </c>
      <c r="I35" s="36">
        <f>-$C$18</f>
        <v/>
      </c>
      <c r="J35" s="36">
        <f>G35+H35+I35</f>
        <v/>
      </c>
    </row>
    <row r="36">
      <c r="A36" s="34" t="n">
        <v>7</v>
      </c>
      <c r="B36" s="35" t="n"/>
      <c r="C36" s="35" t="n"/>
      <c r="D36" s="35" t="n"/>
      <c r="E36" s="35" t="n"/>
      <c r="G36" s="37">
        <f>J35</f>
        <v/>
      </c>
      <c r="H36" s="37">
        <f>ROUND(G36*$C$20,0)</f>
        <v/>
      </c>
      <c r="I36" s="37">
        <f>-$C$18</f>
        <v/>
      </c>
      <c r="J36" s="37">
        <f>G36+H36+I36</f>
        <v/>
      </c>
    </row>
    <row r="37">
      <c r="A37" s="34" t="n">
        <v>8</v>
      </c>
      <c r="B37" s="35" t="n"/>
      <c r="C37" s="35" t="n"/>
      <c r="D37" s="35" t="n"/>
      <c r="E37" s="35" t="n"/>
      <c r="G37" s="36">
        <f>J36</f>
        <v/>
      </c>
      <c r="H37" s="36">
        <f>ROUND(G37*$C$20,0)</f>
        <v/>
      </c>
      <c r="I37" s="36">
        <f>-$C$18</f>
        <v/>
      </c>
      <c r="J37" s="36">
        <f>G37+H37+I37</f>
        <v/>
      </c>
    </row>
    <row r="38">
      <c r="A38" s="34" t="n">
        <v>9</v>
      </c>
      <c r="B38" s="35" t="n"/>
      <c r="C38" s="35" t="n"/>
      <c r="D38" s="35" t="n"/>
      <c r="E38" s="35" t="n"/>
      <c r="G38" s="37">
        <f>J37</f>
        <v/>
      </c>
      <c r="H38" s="37">
        <f>ROUND(G38*$C$20,0)</f>
        <v/>
      </c>
      <c r="I38" s="37">
        <f>-$C$18</f>
        <v/>
      </c>
      <c r="J38" s="37">
        <f>G38+H38+I38</f>
        <v/>
      </c>
    </row>
    <row r="39">
      <c r="A39" s="34" t="n">
        <v>10</v>
      </c>
      <c r="B39" s="35" t="n"/>
      <c r="C39" s="35" t="n"/>
      <c r="D39" s="35" t="n"/>
      <c r="E39" s="35" t="n"/>
      <c r="G39" s="36">
        <f>J38</f>
        <v/>
      </c>
      <c r="H39" s="36">
        <f>ROUND(G39*$C$20,0)</f>
        <v/>
      </c>
      <c r="I39" s="36">
        <f>-$C$18</f>
        <v/>
      </c>
      <c r="J39" s="36">
        <f>G39+H39+I39</f>
        <v/>
      </c>
    </row>
    <row r="40">
      <c r="A40" s="34" t="n">
        <v>11</v>
      </c>
      <c r="B40" s="35" t="n"/>
      <c r="C40" s="35" t="n"/>
      <c r="D40" s="35" t="n"/>
      <c r="E40" s="35" t="n"/>
      <c r="G40" s="37">
        <f>J39</f>
        <v/>
      </c>
      <c r="H40" s="37">
        <f>ROUND(G40*$C$20,0)</f>
        <v/>
      </c>
      <c r="I40" s="37">
        <f>-$C$18</f>
        <v/>
      </c>
      <c r="J40" s="37">
        <f>G40+H40+I40</f>
        <v/>
      </c>
    </row>
    <row r="41">
      <c r="A41" s="34" t="n">
        <v>12</v>
      </c>
      <c r="B41" s="35" t="n"/>
      <c r="C41" s="35" t="n"/>
      <c r="D41" s="35" t="n"/>
      <c r="E41" s="35" t="n"/>
      <c r="G41" s="36">
        <f>J40</f>
        <v/>
      </c>
      <c r="H41" s="36">
        <f>ROUND(G41*$C$20,0)</f>
        <v/>
      </c>
      <c r="I41" s="36">
        <f>-$C$18</f>
        <v/>
      </c>
      <c r="J41" s="36">
        <f>G41+H41+I41</f>
        <v/>
      </c>
    </row>
    <row r="42">
      <c r="A42" s="34" t="n">
        <v>13</v>
      </c>
      <c r="B42" s="35" t="n"/>
      <c r="C42" s="35" t="n"/>
      <c r="D42" s="35" t="n"/>
      <c r="E42" s="35" t="n"/>
      <c r="G42" s="37">
        <f>J41</f>
        <v/>
      </c>
      <c r="H42" s="37">
        <f>ROUND(G42*$C$20,0)</f>
        <v/>
      </c>
      <c r="I42" s="37">
        <f>-$C$18</f>
        <v/>
      </c>
      <c r="J42" s="37">
        <f>G42+H42+I42</f>
        <v/>
      </c>
    </row>
    <row r="43">
      <c r="A43" s="34" t="n">
        <v>14</v>
      </c>
      <c r="B43" s="35" t="n"/>
      <c r="C43" s="35" t="n"/>
      <c r="D43" s="35" t="n"/>
      <c r="E43" s="35" t="n"/>
      <c r="G43" s="36">
        <f>J42</f>
        <v/>
      </c>
      <c r="H43" s="36">
        <f>ROUND(G43*$C$20,0)</f>
        <v/>
      </c>
      <c r="I43" s="36">
        <f>-$C$18</f>
        <v/>
      </c>
      <c r="J43" s="36">
        <f>G43+H43+I43</f>
        <v/>
      </c>
    </row>
    <row r="44">
      <c r="A44" s="34" t="n">
        <v>15</v>
      </c>
      <c r="B44" s="35" t="n"/>
      <c r="C44" s="35" t="n"/>
      <c r="D44" s="35" t="n"/>
      <c r="E44" s="35" t="n"/>
      <c r="G44" s="37">
        <f>J43</f>
        <v/>
      </c>
      <c r="H44" s="37">
        <f>ROUND(G44*$C$20,0)</f>
        <v/>
      </c>
      <c r="I44" s="37">
        <f>-$C$18</f>
        <v/>
      </c>
      <c r="J44" s="37">
        <f>G44+H44+I44</f>
        <v/>
      </c>
    </row>
    <row r="45">
      <c r="A45" s="34" t="n">
        <v>16</v>
      </c>
      <c r="B45" s="35" t="n"/>
      <c r="C45" s="35" t="n"/>
      <c r="D45" s="35" t="n"/>
      <c r="E45" s="35" t="n"/>
      <c r="G45" s="36">
        <f>J44</f>
        <v/>
      </c>
      <c r="H45" s="36">
        <f>ROUND(G45*$C$20,0)</f>
        <v/>
      </c>
      <c r="I45" s="36">
        <f>-$C$18</f>
        <v/>
      </c>
      <c r="J45" s="36">
        <f>G45+H45+I45</f>
        <v/>
      </c>
    </row>
    <row r="46">
      <c r="A46" s="34" t="n">
        <v>17</v>
      </c>
      <c r="B46" s="35" t="n"/>
      <c r="C46" s="35" t="n"/>
      <c r="D46" s="35" t="n"/>
      <c r="E46" s="35" t="n"/>
      <c r="G46" s="37">
        <f>J45</f>
        <v/>
      </c>
      <c r="H46" s="37">
        <f>ROUND(G46*$C$20,0)</f>
        <v/>
      </c>
      <c r="I46" s="37">
        <f>-$C$18</f>
        <v/>
      </c>
      <c r="J46" s="37">
        <f>G46+H46+I46</f>
        <v/>
      </c>
    </row>
    <row r="47">
      <c r="A47" s="34" t="n">
        <v>18</v>
      </c>
      <c r="B47" s="35" t="n"/>
      <c r="C47" s="35" t="n"/>
      <c r="D47" s="35" t="n"/>
      <c r="E47" s="35" t="n"/>
      <c r="G47" s="36">
        <f>J46</f>
        <v/>
      </c>
      <c r="H47" s="36">
        <f>ROUND(G47*$C$20,0)</f>
        <v/>
      </c>
      <c r="I47" s="36">
        <f>-$C$18</f>
        <v/>
      </c>
      <c r="J47" s="36">
        <f>G47+H47+I47</f>
        <v/>
      </c>
    </row>
    <row r="48">
      <c r="A48" s="34" t="n">
        <v>19</v>
      </c>
      <c r="B48" s="35" t="n"/>
      <c r="C48" s="35" t="n"/>
      <c r="D48" s="35" t="n"/>
      <c r="E48" s="35" t="n"/>
      <c r="G48" s="37">
        <f>J47</f>
        <v/>
      </c>
      <c r="H48" s="37">
        <f>ROUND(G48*$C$20,0)</f>
        <v/>
      </c>
      <c r="I48" s="37">
        <f>-$C$18</f>
        <v/>
      </c>
      <c r="J48" s="37">
        <f>G48+H48+I48</f>
        <v/>
      </c>
    </row>
    <row r="49">
      <c r="A49" s="34" t="n">
        <v>20</v>
      </c>
      <c r="B49" s="35" t="n"/>
      <c r="C49" s="35" t="n"/>
      <c r="D49" s="35" t="n"/>
      <c r="E49" s="35" t="n"/>
      <c r="G49" s="36">
        <f>J48</f>
        <v/>
      </c>
      <c r="H49" s="36">
        <f>ROUND(G49*$C$20,0)</f>
        <v/>
      </c>
      <c r="I49" s="36">
        <f>-$C$18</f>
        <v/>
      </c>
      <c r="J49" s="36">
        <f>G49+H49+I49</f>
        <v/>
      </c>
    </row>
    <row r="50">
      <c r="A50" s="34" t="n">
        <v>21</v>
      </c>
      <c r="B50" s="35" t="n"/>
      <c r="C50" s="35" t="n"/>
      <c r="D50" s="35" t="n"/>
      <c r="E50" s="35" t="n"/>
      <c r="G50" s="37">
        <f>J49</f>
        <v/>
      </c>
      <c r="H50" s="37">
        <f>ROUND(G50*$C$20,0)</f>
        <v/>
      </c>
      <c r="I50" s="37">
        <f>-$C$18</f>
        <v/>
      </c>
      <c r="J50" s="37">
        <f>G50+H50+I50</f>
        <v/>
      </c>
    </row>
    <row r="51">
      <c r="A51" s="34" t="n">
        <v>22</v>
      </c>
      <c r="B51" s="35" t="n"/>
      <c r="C51" s="35" t="n"/>
      <c r="D51" s="35" t="n"/>
      <c r="E51" s="35" t="n"/>
      <c r="G51" s="36">
        <f>J50</f>
        <v/>
      </c>
      <c r="H51" s="36">
        <f>ROUND(G51*$C$20,0)</f>
        <v/>
      </c>
      <c r="I51" s="36">
        <f>-$C$18</f>
        <v/>
      </c>
      <c r="J51" s="36">
        <f>G51+H51+I51</f>
        <v/>
      </c>
    </row>
    <row r="52">
      <c r="A52" s="34" t="n">
        <v>23</v>
      </c>
      <c r="B52" s="35" t="n"/>
      <c r="C52" s="35" t="n"/>
      <c r="D52" s="35" t="n"/>
      <c r="E52" s="35" t="n"/>
      <c r="G52" s="37">
        <f>J51</f>
        <v/>
      </c>
      <c r="H52" s="37">
        <f>ROUND(G52*$C$20,0)</f>
        <v/>
      </c>
      <c r="I52" s="37">
        <f>-$C$18</f>
        <v/>
      </c>
      <c r="J52" s="37">
        <f>G52+H52+I52</f>
        <v/>
      </c>
    </row>
    <row r="53">
      <c r="A53" s="34" t="n">
        <v>24</v>
      </c>
      <c r="B53" s="35" t="n"/>
      <c r="C53" s="35" t="n"/>
      <c r="D53" s="35" t="n"/>
      <c r="E53" s="35" t="n"/>
      <c r="G53" s="36">
        <f>J52</f>
        <v/>
      </c>
      <c r="H53" s="36">
        <f>ROUND(G53*$C$20,0)</f>
        <v/>
      </c>
      <c r="I53" s="36">
        <f>-$C$18</f>
        <v/>
      </c>
      <c r="J53" s="36">
        <f>G53+H53+I53</f>
        <v/>
      </c>
    </row>
    <row r="54">
      <c r="A54" s="34" t="n">
        <v>25</v>
      </c>
      <c r="B54" s="35" t="n"/>
      <c r="C54" s="35" t="n"/>
      <c r="D54" s="35" t="n"/>
      <c r="E54" s="35" t="n"/>
      <c r="G54" s="37">
        <f>J53</f>
        <v/>
      </c>
      <c r="H54" s="37">
        <f>ROUND(G54*$C$20,0)</f>
        <v/>
      </c>
      <c r="I54" s="37">
        <f>-$C$18</f>
        <v/>
      </c>
      <c r="J54" s="37">
        <f>G54+H54+I54</f>
        <v/>
      </c>
    </row>
    <row r="55">
      <c r="A55" s="34" t="n">
        <v>26</v>
      </c>
      <c r="B55" s="35" t="n"/>
      <c r="C55" s="35" t="n"/>
      <c r="D55" s="35" t="n"/>
      <c r="E55" s="35" t="n"/>
      <c r="G55" s="36">
        <f>J54</f>
        <v/>
      </c>
      <c r="H55" s="36">
        <f>ROUND(G55*$C$20,0)</f>
        <v/>
      </c>
      <c r="I55" s="36">
        <f>-$C$18</f>
        <v/>
      </c>
      <c r="J55" s="36">
        <f>G55+H55+I55</f>
        <v/>
      </c>
    </row>
    <row r="56">
      <c r="A56" s="34" t="n">
        <v>27</v>
      </c>
      <c r="B56" s="35" t="n"/>
      <c r="C56" s="35" t="n"/>
      <c r="D56" s="35" t="n"/>
      <c r="E56" s="35" t="n"/>
      <c r="G56" s="37">
        <f>J55</f>
        <v/>
      </c>
      <c r="H56" s="37">
        <f>ROUND(G56*$C$20,0)</f>
        <v/>
      </c>
      <c r="I56" s="37">
        <f>-$C$18</f>
        <v/>
      </c>
      <c r="J56" s="37">
        <f>G56+H56+I56</f>
        <v/>
      </c>
    </row>
    <row r="57">
      <c r="A57" s="34" t="n">
        <v>28</v>
      </c>
      <c r="B57" s="35" t="n"/>
      <c r="C57" s="35" t="n"/>
      <c r="D57" s="35" t="n"/>
      <c r="E57" s="35" t="n"/>
      <c r="G57" s="36">
        <f>J56</f>
        <v/>
      </c>
      <c r="H57" s="36">
        <f>ROUND(G57*$C$20,0)</f>
        <v/>
      </c>
      <c r="I57" s="36">
        <f>-$C$18</f>
        <v/>
      </c>
      <c r="J57" s="36">
        <f>G57+H57+I57</f>
        <v/>
      </c>
    </row>
    <row r="58">
      <c r="A58" s="34" t="n">
        <v>29</v>
      </c>
      <c r="B58" s="35" t="n"/>
      <c r="C58" s="35" t="n"/>
      <c r="D58" s="35" t="n"/>
      <c r="E58" s="35" t="n"/>
      <c r="G58" s="37">
        <f>J57</f>
        <v/>
      </c>
      <c r="H58" s="37">
        <f>ROUND(G58*$C$20,0)</f>
        <v/>
      </c>
      <c r="I58" s="37">
        <f>-$C$18</f>
        <v/>
      </c>
      <c r="J58" s="37">
        <f>G58+H58+I58</f>
        <v/>
      </c>
    </row>
    <row r="59">
      <c r="A59" s="34" t="n">
        <v>30</v>
      </c>
      <c r="B59" s="35" t="n"/>
      <c r="C59" s="35" t="n"/>
      <c r="D59" s="35" t="n"/>
      <c r="E59" s="35" t="n"/>
      <c r="G59" s="36">
        <f>J58</f>
        <v/>
      </c>
      <c r="H59" s="36">
        <f>ROUND(G59*$C$20,0)</f>
        <v/>
      </c>
      <c r="I59" s="36">
        <f>-$C$18</f>
        <v/>
      </c>
      <c r="J59" s="36">
        <f>G59+H59+I59</f>
        <v/>
      </c>
    </row>
    <row r="60">
      <c r="A60" s="34" t="n">
        <v>31</v>
      </c>
      <c r="B60" s="35" t="n"/>
      <c r="C60" s="35" t="n"/>
      <c r="D60" s="35" t="n"/>
      <c r="E60" s="35" t="n"/>
      <c r="G60" s="37">
        <f>J59</f>
        <v/>
      </c>
      <c r="H60" s="37">
        <f>ROUND(G60*$C$20,0)</f>
        <v/>
      </c>
      <c r="I60" s="37">
        <f>-$C$18</f>
        <v/>
      </c>
      <c r="J60" s="37">
        <f>G60+H60+I60</f>
        <v/>
      </c>
    </row>
    <row r="61">
      <c r="A61" s="34" t="n">
        <v>32</v>
      </c>
      <c r="B61" s="35" t="n"/>
      <c r="C61" s="35" t="n"/>
      <c r="D61" s="35" t="n"/>
      <c r="E61" s="35" t="n"/>
      <c r="G61" s="36">
        <f>J60</f>
        <v/>
      </c>
      <c r="H61" s="36">
        <f>ROUND(G61*$C$20,0)</f>
        <v/>
      </c>
      <c r="I61" s="36">
        <f>-$C$18</f>
        <v/>
      </c>
      <c r="J61" s="36">
        <f>G61+H61+I61</f>
        <v/>
      </c>
    </row>
    <row r="62">
      <c r="A62" s="34" t="n">
        <v>33</v>
      </c>
      <c r="B62" s="35" t="n"/>
      <c r="C62" s="35" t="n"/>
      <c r="D62" s="35" t="n"/>
      <c r="E62" s="35" t="n"/>
      <c r="G62" s="37">
        <f>J61</f>
        <v/>
      </c>
      <c r="H62" s="37">
        <f>ROUND(G62*$C$20,0)</f>
        <v/>
      </c>
      <c r="I62" s="37">
        <f>-$C$18</f>
        <v/>
      </c>
      <c r="J62" s="37">
        <f>G62+H62+I62</f>
        <v/>
      </c>
    </row>
    <row r="63">
      <c r="A63" s="34" t="n">
        <v>34</v>
      </c>
      <c r="B63" s="35" t="n"/>
      <c r="C63" s="35" t="n"/>
      <c r="D63" s="35" t="n"/>
      <c r="E63" s="35" t="n"/>
      <c r="G63" s="36">
        <f>J62</f>
        <v/>
      </c>
      <c r="H63" s="36">
        <f>ROUND(G63*$C$20,0)</f>
        <v/>
      </c>
      <c r="I63" s="36">
        <f>-$C$18</f>
        <v/>
      </c>
      <c r="J63" s="36">
        <f>G63+H63+I63</f>
        <v/>
      </c>
    </row>
    <row r="64">
      <c r="A64" s="34" t="n">
        <v>35</v>
      </c>
      <c r="B64" s="35" t="n"/>
      <c r="C64" s="35" t="n"/>
      <c r="D64" s="35" t="n"/>
      <c r="E64" s="35" t="n"/>
      <c r="G64" s="37">
        <f>J63</f>
        <v/>
      </c>
      <c r="H64" s="37">
        <f>ROUND(G64*$C$20,0)</f>
        <v/>
      </c>
      <c r="I64" s="37">
        <f>-$C$18</f>
        <v/>
      </c>
      <c r="J64" s="37">
        <f>G64+H64+I64</f>
        <v/>
      </c>
    </row>
    <row r="65">
      <c r="A65" s="34" t="n">
        <v>36</v>
      </c>
      <c r="B65" s="35" t="n"/>
      <c r="C65" s="35" t="n"/>
      <c r="D65" s="35" t="n"/>
      <c r="E65" s="35" t="n"/>
      <c r="G65" s="36">
        <f>J64</f>
        <v/>
      </c>
      <c r="H65" s="36">
        <f>ROUND(G65*$C$20,0)</f>
        <v/>
      </c>
      <c r="I65" s="36">
        <f>-$C$18</f>
        <v/>
      </c>
      <c r="J65" s="36">
        <f>G65+H65+I65</f>
        <v/>
      </c>
    </row>
    <row r="66">
      <c r="A66" s="34" t="n">
        <v>37</v>
      </c>
      <c r="B66" s="35" t="n"/>
      <c r="C66" s="35" t="n"/>
      <c r="D66" s="35" t="n"/>
      <c r="E66" s="35" t="n"/>
      <c r="G66" s="37">
        <f>J65</f>
        <v/>
      </c>
      <c r="H66" s="37">
        <f>ROUND(G66*$C$20,0)</f>
        <v/>
      </c>
      <c r="I66" s="37">
        <f>-$C$18</f>
        <v/>
      </c>
      <c r="J66" s="37">
        <f>G66+H66+I66</f>
        <v/>
      </c>
    </row>
    <row r="67">
      <c r="A67" s="34" t="n">
        <v>38</v>
      </c>
      <c r="B67" s="35" t="n"/>
      <c r="C67" s="35" t="n"/>
      <c r="D67" s="35" t="n"/>
      <c r="E67" s="35" t="n"/>
      <c r="G67" s="36">
        <f>J66</f>
        <v/>
      </c>
      <c r="H67" s="36">
        <f>ROUND(G67*$C$20,0)</f>
        <v/>
      </c>
      <c r="I67" s="36">
        <f>-$C$18</f>
        <v/>
      </c>
      <c r="J67" s="36">
        <f>G67+H67+I67</f>
        <v/>
      </c>
    </row>
    <row r="68">
      <c r="A68" s="34" t="n">
        <v>39</v>
      </c>
      <c r="B68" s="35" t="n"/>
      <c r="C68" s="35" t="n"/>
      <c r="D68" s="35" t="n"/>
      <c r="E68" s="35" t="n"/>
      <c r="G68" s="37">
        <f>J67</f>
        <v/>
      </c>
      <c r="H68" s="37">
        <f>ROUND(G68*$C$20,0)</f>
        <v/>
      </c>
      <c r="I68" s="37">
        <f>-$C$18</f>
        <v/>
      </c>
      <c r="J68" s="37">
        <f>G68+H68+I68</f>
        <v/>
      </c>
    </row>
    <row r="69">
      <c r="A69" s="34" t="n">
        <v>40</v>
      </c>
      <c r="B69" s="35" t="n"/>
      <c r="C69" s="35" t="n"/>
      <c r="D69" s="35" t="n"/>
      <c r="E69" s="35" t="n"/>
      <c r="G69" s="36">
        <f>J68</f>
        <v/>
      </c>
      <c r="H69" s="36">
        <f>ROUND(G69*$C$20,0)</f>
        <v/>
      </c>
      <c r="I69" s="36">
        <f>-$C$18</f>
        <v/>
      </c>
      <c r="J69" s="36">
        <f>G69+H69+I69</f>
        <v/>
      </c>
    </row>
    <row r="70">
      <c r="A70" s="34" t="n">
        <v>41</v>
      </c>
      <c r="B70" s="35" t="n"/>
      <c r="C70" s="35" t="n"/>
      <c r="D70" s="35" t="n"/>
      <c r="E70" s="35" t="n"/>
      <c r="G70" s="37">
        <f>J69</f>
        <v/>
      </c>
      <c r="H70" s="37">
        <f>ROUND(G70*$C$20,0)</f>
        <v/>
      </c>
      <c r="I70" s="37">
        <f>-$C$18</f>
        <v/>
      </c>
      <c r="J70" s="37">
        <f>G70+H70+I70</f>
        <v/>
      </c>
    </row>
    <row r="71">
      <c r="A71" s="34" t="n">
        <v>42</v>
      </c>
      <c r="B71" s="35" t="n"/>
      <c r="C71" s="35" t="n"/>
      <c r="D71" s="35" t="n"/>
      <c r="E71" s="35" t="n"/>
      <c r="G71" s="36">
        <f>J70</f>
        <v/>
      </c>
      <c r="H71" s="36">
        <f>ROUND(G71*$C$20,0)</f>
        <v/>
      </c>
      <c r="I71" s="36">
        <f>-$C$18</f>
        <v/>
      </c>
      <c r="J71" s="36">
        <f>G71+H71+I71</f>
        <v/>
      </c>
    </row>
    <row r="72">
      <c r="A72" s="34" t="n">
        <v>43</v>
      </c>
      <c r="B72" s="35" t="n"/>
      <c r="C72" s="35" t="n"/>
      <c r="D72" s="35" t="n"/>
      <c r="E72" s="35" t="n"/>
      <c r="G72" s="37">
        <f>J71</f>
        <v/>
      </c>
      <c r="H72" s="37">
        <f>ROUND(G72*$C$20,0)</f>
        <v/>
      </c>
      <c r="I72" s="37">
        <f>-$C$18</f>
        <v/>
      </c>
      <c r="J72" s="37">
        <f>G72+H72+I72</f>
        <v/>
      </c>
    </row>
    <row r="73">
      <c r="A73" s="34" t="n">
        <v>44</v>
      </c>
      <c r="B73" s="35" t="n"/>
      <c r="C73" s="35" t="n"/>
      <c r="D73" s="35" t="n"/>
      <c r="E73" s="35" t="n"/>
      <c r="G73" s="36">
        <f>J72</f>
        <v/>
      </c>
      <c r="H73" s="36">
        <f>ROUND(G73*$C$20,0)</f>
        <v/>
      </c>
      <c r="I73" s="36">
        <f>-$C$18</f>
        <v/>
      </c>
      <c r="J73" s="36">
        <f>G73+H73+I73</f>
        <v/>
      </c>
    </row>
    <row r="74">
      <c r="A74" s="34" t="n">
        <v>45</v>
      </c>
      <c r="B74" s="35" t="n"/>
      <c r="C74" s="35" t="n"/>
      <c r="D74" s="35" t="n"/>
      <c r="E74" s="35" t="n"/>
      <c r="G74" s="37">
        <f>J73</f>
        <v/>
      </c>
      <c r="H74" s="37">
        <f>ROUND(G74*$C$20,0)</f>
        <v/>
      </c>
      <c r="I74" s="37">
        <f>-$C$18</f>
        <v/>
      </c>
      <c r="J74" s="37">
        <f>G74+H74+I74</f>
        <v/>
      </c>
    </row>
    <row r="75">
      <c r="A75" s="34" t="n">
        <v>46</v>
      </c>
      <c r="B75" s="35" t="n"/>
      <c r="C75" s="35" t="n"/>
      <c r="D75" s="35" t="n"/>
      <c r="E75" s="35" t="n"/>
      <c r="G75" s="36">
        <f>J74</f>
        <v/>
      </c>
      <c r="H75" s="36">
        <f>ROUND(G75*$C$20,0)</f>
        <v/>
      </c>
      <c r="I75" s="36">
        <f>-$C$18</f>
        <v/>
      </c>
      <c r="J75" s="36">
        <f>G75+H75+I75</f>
        <v/>
      </c>
    </row>
    <row r="76">
      <c r="A76" s="34" t="n">
        <v>47</v>
      </c>
      <c r="B76" s="35" t="n"/>
      <c r="C76" s="35" t="n"/>
      <c r="D76" s="35" t="n"/>
      <c r="E76" s="35" t="n"/>
      <c r="G76" s="37">
        <f>J75</f>
        <v/>
      </c>
      <c r="H76" s="37">
        <f>ROUND(G76*$C$20,0)</f>
        <v/>
      </c>
      <c r="I76" s="37">
        <f>-$C$18</f>
        <v/>
      </c>
      <c r="J76" s="37">
        <f>G76+H76+I76</f>
        <v/>
      </c>
    </row>
    <row r="77">
      <c r="A77" s="34" t="n">
        <v>48</v>
      </c>
      <c r="B77" s="35" t="n"/>
      <c r="C77" s="35" t="n"/>
      <c r="D77" s="35" t="n"/>
      <c r="E77" s="35" t="n"/>
      <c r="G77" s="36">
        <f>J76</f>
        <v/>
      </c>
      <c r="H77" s="36">
        <f>ROUND(G77*$C$20,0)</f>
        <v/>
      </c>
      <c r="I77" s="36">
        <f>-$C$18</f>
        <v/>
      </c>
      <c r="J77" s="36">
        <f>G77+H77+I77</f>
        <v/>
      </c>
    </row>
    <row r="78">
      <c r="A78" s="34" t="n">
        <v>49</v>
      </c>
      <c r="B78" s="35" t="n"/>
      <c r="C78" s="35" t="n"/>
      <c r="D78" s="35" t="n"/>
      <c r="E78" s="35" t="n"/>
      <c r="G78" s="37">
        <f>J77</f>
        <v/>
      </c>
      <c r="H78" s="37">
        <f>ROUND(G78*$C$20,0)</f>
        <v/>
      </c>
      <c r="I78" s="37">
        <f>-$C$18</f>
        <v/>
      </c>
      <c r="J78" s="37">
        <f>G78+H78+I78</f>
        <v/>
      </c>
    </row>
    <row r="79">
      <c r="A79" s="34" t="n">
        <v>50</v>
      </c>
      <c r="B79" s="35" t="n"/>
      <c r="C79" s="35" t="n"/>
      <c r="D79" s="35" t="n"/>
      <c r="E79" s="35" t="n"/>
      <c r="G79" s="36">
        <f>J78</f>
        <v/>
      </c>
      <c r="H79" s="36">
        <f>ROUND(G79*$C$20,0)</f>
        <v/>
      </c>
      <c r="I79" s="36">
        <f>-$C$18</f>
        <v/>
      </c>
      <c r="J79" s="36">
        <f>G79+H79+I79</f>
        <v/>
      </c>
    </row>
    <row r="80">
      <c r="A80" s="34" t="n">
        <v>51</v>
      </c>
      <c r="B80" s="35" t="n"/>
      <c r="C80" s="35" t="n"/>
      <c r="D80" s="35" t="n"/>
      <c r="E80" s="35" t="n"/>
      <c r="G80" s="37">
        <f>J79</f>
        <v/>
      </c>
      <c r="H80" s="37">
        <f>ROUND(G80*$C$20,0)</f>
        <v/>
      </c>
      <c r="I80" s="37">
        <f>-$C$18</f>
        <v/>
      </c>
      <c r="J80" s="37">
        <f>G80+H80+I80</f>
        <v/>
      </c>
    </row>
    <row r="81">
      <c r="A81" s="34" t="n">
        <v>52</v>
      </c>
      <c r="B81" s="35" t="n"/>
      <c r="C81" s="35" t="n"/>
      <c r="D81" s="35" t="n"/>
      <c r="E81" s="35" t="n"/>
      <c r="G81" s="36">
        <f>J80</f>
        <v/>
      </c>
      <c r="H81" s="36">
        <f>ROUND(G81*$C$20,0)</f>
        <v/>
      </c>
      <c r="I81" s="36">
        <f>-$C$18</f>
        <v/>
      </c>
      <c r="J81" s="36">
        <f>G81+H81+I81</f>
        <v/>
      </c>
    </row>
    <row r="82">
      <c r="A82" s="34" t="n">
        <v>53</v>
      </c>
      <c r="B82" s="35" t="n"/>
      <c r="C82" s="35" t="n"/>
      <c r="D82" s="35" t="n"/>
      <c r="E82" s="35" t="n"/>
      <c r="G82" s="37">
        <f>J81</f>
        <v/>
      </c>
      <c r="H82" s="37">
        <f>ROUND(G82*$C$20,0)</f>
        <v/>
      </c>
      <c r="I82" s="37">
        <f>-$C$18</f>
        <v/>
      </c>
      <c r="J82" s="37">
        <f>G82+H82+I82</f>
        <v/>
      </c>
    </row>
    <row r="83">
      <c r="A83" s="34" t="n">
        <v>54</v>
      </c>
      <c r="B83" s="35" t="n"/>
      <c r="C83" s="35" t="n"/>
      <c r="D83" s="35" t="n"/>
      <c r="E83" s="35" t="n"/>
      <c r="G83" s="36">
        <f>J82</f>
        <v/>
      </c>
      <c r="H83" s="36">
        <f>ROUND(G83*$C$20,0)</f>
        <v/>
      </c>
      <c r="I83" s="36">
        <f>-$C$18</f>
        <v/>
      </c>
      <c r="J83" s="36">
        <f>G83+H83+I83</f>
        <v/>
      </c>
    </row>
    <row r="84">
      <c r="A84" s="34" t="n">
        <v>55</v>
      </c>
      <c r="B84" s="35" t="n"/>
      <c r="C84" s="35" t="n"/>
      <c r="D84" s="35" t="n"/>
      <c r="E84" s="35" t="n"/>
      <c r="G84" s="37">
        <f>J83</f>
        <v/>
      </c>
      <c r="H84" s="37">
        <f>ROUND(G84*$C$20,0)</f>
        <v/>
      </c>
      <c r="I84" s="37">
        <f>-$C$18</f>
        <v/>
      </c>
      <c r="J84" s="37">
        <f>G84+H84+I84</f>
        <v/>
      </c>
    </row>
    <row r="85">
      <c r="A85" s="34" t="n">
        <v>56</v>
      </c>
      <c r="B85" s="35" t="n"/>
      <c r="C85" s="35" t="n"/>
      <c r="D85" s="35" t="n"/>
      <c r="E85" s="35" t="n"/>
      <c r="G85" s="36">
        <f>J84</f>
        <v/>
      </c>
      <c r="H85" s="36">
        <f>ROUND(G85*$C$20,0)</f>
        <v/>
      </c>
      <c r="I85" s="36">
        <f>-$C$18</f>
        <v/>
      </c>
      <c r="J85" s="36">
        <f>G85+H85+I85</f>
        <v/>
      </c>
    </row>
    <row r="86">
      <c r="A86" s="34" t="n">
        <v>57</v>
      </c>
      <c r="B86" s="35" t="n"/>
      <c r="C86" s="35" t="n"/>
      <c r="D86" s="35" t="n"/>
      <c r="E86" s="35" t="n"/>
      <c r="G86" s="37">
        <f>J85</f>
        <v/>
      </c>
      <c r="H86" s="37">
        <f>ROUND(G86*$C$20,0)</f>
        <v/>
      </c>
      <c r="I86" s="37">
        <f>-$C$18</f>
        <v/>
      </c>
      <c r="J86" s="37">
        <f>G86+H86+I86</f>
        <v/>
      </c>
    </row>
    <row r="87">
      <c r="A87" s="34" t="n">
        <v>58</v>
      </c>
      <c r="B87" s="35" t="n"/>
      <c r="C87" s="35" t="n"/>
      <c r="D87" s="35" t="n"/>
      <c r="E87" s="35" t="n"/>
      <c r="G87" s="36">
        <f>J86</f>
        <v/>
      </c>
      <c r="H87" s="36">
        <f>ROUND(G87*$C$20,0)</f>
        <v/>
      </c>
      <c r="I87" s="36">
        <f>-$C$18</f>
        <v/>
      </c>
      <c r="J87" s="36">
        <f>G87+H87+I87</f>
        <v/>
      </c>
    </row>
    <row r="88">
      <c r="A88" s="34" t="n">
        <v>59</v>
      </c>
      <c r="B88" s="35" t="n"/>
      <c r="C88" s="35" t="n"/>
      <c r="D88" s="35" t="n"/>
      <c r="E88" s="35" t="n"/>
      <c r="G88" s="37">
        <f>J87</f>
        <v/>
      </c>
      <c r="H88" s="37">
        <f>ROUND(G88*$C$20,0)</f>
        <v/>
      </c>
      <c r="I88" s="37">
        <f>-$C$18</f>
        <v/>
      </c>
      <c r="J88" s="37">
        <f>G88+H88+I88</f>
        <v/>
      </c>
    </row>
    <row r="89">
      <c r="A89" s="34" t="n">
        <v>60</v>
      </c>
      <c r="B89" s="35" t="n"/>
      <c r="C89" s="35" t="n"/>
      <c r="D89" s="35" t="n"/>
      <c r="E89" s="35" t="n"/>
      <c r="G89" s="36">
        <f>J88</f>
        <v/>
      </c>
      <c r="H89" s="36">
        <f>ROUND(G89*$C$20,0)</f>
        <v/>
      </c>
      <c r="I89" s="36">
        <f>-$C$18</f>
        <v/>
      </c>
      <c r="J89" s="36">
        <f>G89+H89+I89</f>
        <v/>
      </c>
    </row>
    <row r="90">
      <c r="A90" s="34" t="n">
        <v>61</v>
      </c>
      <c r="B90" s="35" t="n"/>
      <c r="C90" s="35" t="n"/>
      <c r="D90" s="35" t="n"/>
      <c r="E90" s="35" t="n"/>
      <c r="G90" s="37">
        <f>J89</f>
        <v/>
      </c>
      <c r="H90" s="37">
        <f>-G90-I90</f>
        <v/>
      </c>
      <c r="I90" s="37">
        <f>-$C$18-I30</f>
        <v/>
      </c>
      <c r="J90" s="37">
        <f>G90+H90+I90</f>
        <v/>
      </c>
    </row>
    <row r="92">
      <c r="A92" s="2" t="inlineStr">
        <is>
          <t>※ B~E열(노란칸)에 위 '행 수식 카드'대로 한 줄(회차1)을 만든 뒤 아래로 복사하세요. 막달은 따로. 다 만들면 G~J 정답표와 비교 → 막달 기말이 0이면 성공.</t>
        </is>
      </c>
    </row>
  </sheetData>
  <mergeCells count="18">
    <mergeCell ref="G27:J27"/>
    <mergeCell ref="D20:E20"/>
    <mergeCell ref="A1:J1"/>
    <mergeCell ref="D16:E16"/>
    <mergeCell ref="A4:E4"/>
    <mergeCell ref="D18:E18"/>
    <mergeCell ref="A23:J23"/>
    <mergeCell ref="B27:E27"/>
    <mergeCell ref="D15:E15"/>
    <mergeCell ref="D19:E19"/>
    <mergeCell ref="A2:J2"/>
    <mergeCell ref="A92:J92"/>
    <mergeCell ref="A26:J26"/>
    <mergeCell ref="A24:J24"/>
    <mergeCell ref="A14:E14"/>
    <mergeCell ref="D17:E17"/>
    <mergeCell ref="A25:J25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2026-06-24T13:26:18Z</dcterms:created>
  <dcterms:modified xsi:type="dcterms:W3CDTF">2026-06-24T13:40:03Z</dcterms:modified>
</cp:coreProperties>
</file>
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실습 (한 시트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3"/>
    </font>
    <font>
      <name val="맑은 고딕"/>
      <color rgb="00666666"/>
      <sz val="9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Consolas"/>
      <color rgb="001F3864"/>
      <sz val="9"/>
    </font>
    <font>
      <name val="맑은 고딕"/>
      <b val="1"/>
      <color rgb="00C0392B"/>
      <sz val="11"/>
    </font>
    <font>
      <name val="맑은 고딕"/>
      <color rgb="00999999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DAE3F3"/>
      </patternFill>
    </fill>
    <fill>
      <patternFill patternType="solid">
        <fgColor rgb="00EDF2FB"/>
      </patternFill>
    </fill>
    <fill>
      <patternFill patternType="solid">
        <fgColor rgb="00FFF6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9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3" fontId="5" fillId="5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3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0" fillId="0" borderId="1" pivotButton="0" quotePrefix="0" xfId="0"/>
    <xf numFmtId="3" fontId="8" fillId="7" borderId="1" applyAlignment="1" pivotButton="0" quotePrefix="0" xfId="0">
      <alignment horizontal="right" vertical="center"/>
    </xf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46" customWidth="1" min="4" max="4"/>
    <col width="3" customWidth="1" min="5" max="5"/>
    <col width="9" customWidth="1" min="6" max="6"/>
    <col width="12" customWidth="1" min="7" max="7"/>
    <col width="6" customWidth="1" min="8" max="8"/>
    <col width="12" customWidth="1" min="9" max="9"/>
    <col width="12" customWidth="1" min="10" max="10"/>
    <col width="8" customWidth="1" min="11" max="11"/>
  </cols>
  <sheetData>
    <row r="1" ht="24" customHeight="1">
      <c r="A1" s="1" t="inlineStr">
        <is>
          <t>구독 시뮬레이터 실습 — 한 시트에 전부 (모든 수식 실제 계산)</t>
        </is>
      </c>
    </row>
    <row r="2">
      <c r="A2" s="2" t="inlineStr">
        <is>
          <t>노란칸(B열)에 직접 수식/값을 써보고 → C열 '정답'(자동계산)과 비교 · D열은 수식 설명 · 파란칸(회차·사용일)을 바꾸면 정답 자동 갱신</t>
        </is>
      </c>
      <c r="H2" s="2" t="inlineStr">
        <is>
          <t>달력↓</t>
        </is>
      </c>
      <c r="I2" t="inlineStr">
        <is>
          <t>시작</t>
        </is>
      </c>
      <c r="J2" t="inlineStr">
        <is>
          <t>종료</t>
        </is>
      </c>
      <c r="K2" t="inlineStr">
        <is>
          <t>경과일</t>
        </is>
      </c>
    </row>
    <row r="3">
      <c r="H3" s="3" t="n">
        <v>1</v>
      </c>
      <c r="I3" s="4">
        <f>DATE(2025,9,12)</f>
        <v/>
      </c>
      <c r="J3" s="4">
        <f>DATE(2025,9,30)</f>
        <v/>
      </c>
      <c r="K3" s="3">
        <f>J3-I3+1</f>
        <v/>
      </c>
    </row>
    <row r="4" ht="20" customHeight="1">
      <c r="A4" s="5" t="inlineStr">
        <is>
          <t>■ 주어진 값 (수정 금지)</t>
        </is>
      </c>
      <c r="H4" s="3" t="n">
        <v>2</v>
      </c>
      <c r="I4" s="4">
        <f>J3+1</f>
        <v/>
      </c>
      <c r="J4" s="4">
        <f>EOMONTH(I4,0)</f>
        <v/>
      </c>
      <c r="K4" s="3">
        <f>J4-I4+1</f>
        <v/>
      </c>
    </row>
    <row r="5">
      <c r="A5" s="6" t="inlineStr">
        <is>
          <t>구독기간(개월)</t>
        </is>
      </c>
      <c r="B5" s="7" t="n">
        <v>72</v>
      </c>
      <c r="H5" s="3" t="n">
        <v>3</v>
      </c>
      <c r="I5" s="4">
        <f>J4+1</f>
        <v/>
      </c>
      <c r="J5" s="4">
        <f>EOMONTH(I5,0)</f>
        <v/>
      </c>
      <c r="K5" s="3">
        <f>J5-I5+1</f>
        <v/>
      </c>
    </row>
    <row r="6">
      <c r="A6" s="6" t="inlineStr">
        <is>
          <t>구독기간(일)</t>
        </is>
      </c>
      <c r="B6" s="7" t="n">
        <v>2191</v>
      </c>
      <c r="H6" s="3" t="n">
        <v>4</v>
      </c>
      <c r="I6" s="4">
        <f>J5+1</f>
        <v/>
      </c>
      <c r="J6" s="4">
        <f>EOMONTH(I6,0)</f>
        <v/>
      </c>
      <c r="K6" s="3">
        <f>J6-I6+1</f>
        <v/>
      </c>
    </row>
    <row r="7">
      <c r="A7" s="6" t="inlineStr">
        <is>
          <t>총구독료(v−)</t>
        </is>
      </c>
      <c r="B7" s="7" t="n">
        <v>11757600</v>
      </c>
      <c r="H7" s="3" t="n">
        <v>5</v>
      </c>
      <c r="I7" s="4">
        <f>J6+1</f>
        <v/>
      </c>
      <c r="J7" s="4">
        <f>EOMONTH(I7,0)</f>
        <v/>
      </c>
      <c r="K7" s="3">
        <f>J7-I7+1</f>
        <v/>
      </c>
    </row>
    <row r="8">
      <c r="A8" s="6" t="inlineStr">
        <is>
          <t>총구독료(v+)</t>
        </is>
      </c>
      <c r="B8" s="7" t="n">
        <v>12933360</v>
      </c>
      <c r="H8" s="3" t="n">
        <v>6</v>
      </c>
      <c r="I8" s="4">
        <f>J7+1</f>
        <v/>
      </c>
      <c r="J8" s="4">
        <f>EOMONTH(I8,0)</f>
        <v/>
      </c>
      <c r="K8" s="3">
        <f>J8-I8+1</f>
        <v/>
      </c>
    </row>
    <row r="9">
      <c r="A9" s="6" t="inlineStr">
        <is>
          <t>매출인식기준구독료(v−)</t>
        </is>
      </c>
      <c r="B9" s="7" t="n">
        <v>10540800</v>
      </c>
      <c r="H9" s="3" t="n">
        <v>7</v>
      </c>
      <c r="I9" s="4">
        <f>J8+1</f>
        <v/>
      </c>
      <c r="J9" s="4">
        <f>EOMONTH(I9,0)</f>
        <v/>
      </c>
      <c r="K9" s="3">
        <f>J9-I9+1</f>
        <v/>
      </c>
    </row>
    <row r="10">
      <c r="A10" s="6" t="inlineStr">
        <is>
          <t>케어(v−)</t>
        </is>
      </c>
      <c r="B10" s="7" t="n">
        <v>1087200</v>
      </c>
      <c r="H10" s="3" t="n">
        <v>8</v>
      </c>
      <c r="I10" s="4">
        <f>J9+1</f>
        <v/>
      </c>
      <c r="J10" s="4">
        <f>EOMONTH(I10,0)</f>
        <v/>
      </c>
      <c r="K10" s="3">
        <f>J10-I10+1</f>
        <v/>
      </c>
    </row>
    <row r="11">
      <c r="A11" s="6" t="inlineStr">
        <is>
          <t>보증(v−)</t>
        </is>
      </c>
      <c r="B11" s="7" t="n">
        <v>129600</v>
      </c>
      <c r="H11" s="3" t="n">
        <v>9</v>
      </c>
      <c r="I11" s="4">
        <f>J10+1</f>
        <v/>
      </c>
      <c r="J11" s="4">
        <f>EOMONTH(I11,0)</f>
        <v/>
      </c>
      <c r="K11" s="3">
        <f>J11-I11+1</f>
        <v/>
      </c>
    </row>
    <row r="12">
      <c r="A12" s="6" t="inlineStr">
        <is>
          <t>선납금 최종(v−)</t>
        </is>
      </c>
      <c r="B12" s="7" t="n">
        <v>3528000</v>
      </c>
      <c r="H12" s="3" t="n">
        <v>10</v>
      </c>
      <c r="I12" s="4">
        <f>J11+1</f>
        <v/>
      </c>
      <c r="J12" s="4">
        <f>EOMONTH(I12,0)</f>
        <v/>
      </c>
      <c r="K12" s="3">
        <f>J12-I12+1</f>
        <v/>
      </c>
    </row>
    <row r="13">
      <c r="A13" s="6" t="inlineStr">
        <is>
          <t>선납할인 최종(v−)</t>
        </is>
      </c>
      <c r="B13" s="7" t="n">
        <v>475200</v>
      </c>
      <c r="H13" s="3" t="n">
        <v>11</v>
      </c>
      <c r="I13" s="4">
        <f>J12+1</f>
        <v/>
      </c>
      <c r="J13" s="4">
        <f>EOMONTH(I13,0)</f>
        <v/>
      </c>
      <c r="K13" s="3">
        <f>J13-I13+1</f>
        <v/>
      </c>
    </row>
    <row r="14">
      <c r="A14" s="6" t="inlineStr">
        <is>
          <t>단품 최종(v−)</t>
        </is>
      </c>
      <c r="B14" s="7" t="n">
        <v>590400</v>
      </c>
      <c r="H14" s="3" t="n">
        <v>12</v>
      </c>
      <c r="I14" s="4">
        <f>J13+1</f>
        <v/>
      </c>
      <c r="J14" s="4">
        <f>EOMONTH(I14,0)</f>
        <v/>
      </c>
      <c r="K14" s="3">
        <f>J14-I14+1</f>
        <v/>
      </c>
    </row>
    <row r="15">
      <c r="A15" s="6" t="inlineStr">
        <is>
          <t>결합 최종(v−)</t>
        </is>
      </c>
      <c r="B15" s="7" t="n">
        <v>540000</v>
      </c>
      <c r="H15" s="3" t="n">
        <v>13</v>
      </c>
      <c r="I15" s="4">
        <f>J14+1</f>
        <v/>
      </c>
      <c r="J15" s="4">
        <f>EOMONTH(I15,0)</f>
        <v/>
      </c>
      <c r="K15" s="3">
        <f>J15-I15+1</f>
        <v/>
      </c>
    </row>
    <row r="16">
      <c r="A16" s="6" t="inlineStr">
        <is>
          <t>등록비</t>
        </is>
      </c>
      <c r="B16" s="7" t="n">
        <v>100000</v>
      </c>
      <c r="H16" s="3" t="n">
        <v>14</v>
      </c>
      <c r="I16" s="4">
        <f>J15+1</f>
        <v/>
      </c>
      <c r="J16" s="4">
        <f>EOMONTH(I16,0)</f>
        <v/>
      </c>
      <c r="K16" s="3">
        <f>J16-I16+1</f>
        <v/>
      </c>
    </row>
    <row r="17">
      <c r="A17" s="6" t="inlineStr">
        <is>
          <t>위약율</t>
        </is>
      </c>
      <c r="B17" s="8" t="n">
        <v>0.2</v>
      </c>
      <c r="H17" s="3" t="n">
        <v>15</v>
      </c>
      <c r="I17" s="4">
        <f>J16+1</f>
        <v/>
      </c>
      <c r="J17" s="4">
        <f>EOMONTH(I17,0)</f>
        <v/>
      </c>
      <c r="K17" s="3">
        <f>J17-I17+1</f>
        <v/>
      </c>
    </row>
    <row r="18">
      <c r="A18" s="6" t="inlineStr">
        <is>
          <t>반영 월구독료(전체할인)</t>
        </is>
      </c>
      <c r="B18" s="7">
        <f>(B7-B12-B13-B14)/B5</f>
        <v/>
      </c>
      <c r="H18" s="3" t="n">
        <v>16</v>
      </c>
      <c r="I18" s="4">
        <f>J17+1</f>
        <v/>
      </c>
      <c r="J18" s="4">
        <f>EOMONTH(I18,0)</f>
        <v/>
      </c>
      <c r="K18" s="3">
        <f>J18-I18+1</f>
        <v/>
      </c>
    </row>
    <row r="19">
      <c r="H19" s="3" t="n">
        <v>17</v>
      </c>
      <c r="I19" s="4">
        <f>J18+1</f>
        <v/>
      </c>
      <c r="J19" s="4">
        <f>EOMONTH(I19,0)</f>
        <v/>
      </c>
      <c r="K19" s="3">
        <f>J19-I19+1</f>
        <v/>
      </c>
    </row>
    <row r="20" ht="20" customHeight="1">
      <c r="A20" s="5" t="inlineStr">
        <is>
          <t>■ 시나리오 (파란칸만 바꾸세요)</t>
        </is>
      </c>
      <c r="H20" s="3" t="n">
        <v>18</v>
      </c>
      <c r="I20" s="4">
        <f>J19+1</f>
        <v/>
      </c>
      <c r="J20" s="4">
        <f>EOMONTH(I20,0)</f>
        <v/>
      </c>
      <c r="K20" s="3">
        <f>J20-I20+1</f>
        <v/>
      </c>
    </row>
    <row r="21">
      <c r="A21" s="9" t="inlineStr">
        <is>
          <t>해지 회차 (1~72)</t>
        </is>
      </c>
      <c r="B21" s="10" t="n">
        <v>37</v>
      </c>
      <c r="H21" s="3" t="n">
        <v>19</v>
      </c>
      <c r="I21" s="4">
        <f>J20+1</f>
        <v/>
      </c>
      <c r="J21" s="4">
        <f>EOMONTH(I21,0)</f>
        <v/>
      </c>
      <c r="K21" s="3">
        <f>J21-I21+1</f>
        <v/>
      </c>
    </row>
    <row r="22">
      <c r="A22" s="9" t="inlineStr">
        <is>
          <t>당월 사용일</t>
        </is>
      </c>
      <c r="B22" s="10" t="n">
        <v>16</v>
      </c>
      <c r="H22" s="3" t="n">
        <v>20</v>
      </c>
      <c r="I22" s="4">
        <f>J21+1</f>
        <v/>
      </c>
      <c r="J22" s="4">
        <f>EOMONTH(I22,0)</f>
        <v/>
      </c>
      <c r="K22" s="3">
        <f>J22-I22+1</f>
        <v/>
      </c>
    </row>
    <row r="23">
      <c r="A23" s="11" t="inlineStr">
        <is>
          <t>Σ경과일 (자동)</t>
        </is>
      </c>
      <c r="B23" s="12">
        <f>SUMIFS($K$3:$K$74,$H$3:$H$74,"&lt;"&amp;$B$21)+$B$22</f>
        <v/>
      </c>
      <c r="H23" s="3" t="n">
        <v>21</v>
      </c>
      <c r="I23" s="4">
        <f>J22+1</f>
        <v/>
      </c>
      <c r="J23" s="4">
        <f>EOMONTH(I23,0)</f>
        <v/>
      </c>
      <c r="K23" s="3">
        <f>J23-I23+1</f>
        <v/>
      </c>
    </row>
    <row r="24">
      <c r="A24" s="11" t="inlineStr">
        <is>
          <t>그달 일수 (자동)</t>
        </is>
      </c>
      <c r="B24" s="12">
        <f>DAY(INDEX($J$3:$J$74,$B$21))</f>
        <v/>
      </c>
      <c r="H24" s="3" t="n">
        <v>22</v>
      </c>
      <c r="I24" s="4">
        <f>J23+1</f>
        <v/>
      </c>
      <c r="J24" s="4">
        <f>EOMONTH(I24,0)</f>
        <v/>
      </c>
      <c r="K24" s="3">
        <f>J24-I24+1</f>
        <v/>
      </c>
    </row>
    <row r="25">
      <c r="A25" s="11" t="inlineStr">
        <is>
          <t>경과비율 (자동)</t>
        </is>
      </c>
      <c r="B25" s="13">
        <f>B23/B6</f>
        <v/>
      </c>
      <c r="H25" s="3" t="n">
        <v>23</v>
      </c>
      <c r="I25" s="4">
        <f>J24+1</f>
        <v/>
      </c>
      <c r="J25" s="4">
        <f>EOMONTH(I25,0)</f>
        <v/>
      </c>
      <c r="K25" s="3">
        <f>J25-I25+1</f>
        <v/>
      </c>
    </row>
    <row r="26">
      <c r="A26" s="11" t="inlineStr">
        <is>
          <t>잔여비율 (자동)</t>
        </is>
      </c>
      <c r="B26" s="13">
        <f>(B6-B23)/B6</f>
        <v/>
      </c>
      <c r="H26" s="3" t="n">
        <v>24</v>
      </c>
      <c r="I26" s="4">
        <f>J25+1</f>
        <v/>
      </c>
      <c r="J26" s="4">
        <f>EOMONTH(I26,0)</f>
        <v/>
      </c>
      <c r="K26" s="3">
        <f>J26-I26+1</f>
        <v/>
      </c>
    </row>
    <row r="27">
      <c r="H27" s="3" t="n">
        <v>25</v>
      </c>
      <c r="I27" s="4">
        <f>J26+1</f>
        <v/>
      </c>
      <c r="J27" s="4">
        <f>EOMONTH(I27,0)</f>
        <v/>
      </c>
      <c r="K27" s="3">
        <f>J27-I27+1</f>
        <v/>
      </c>
    </row>
    <row r="28" ht="20" customHeight="1">
      <c r="A28" s="5" t="inlineStr">
        <is>
          <t>① 중도해지 정산 5종</t>
        </is>
      </c>
      <c r="H28" s="3" t="n">
        <v>26</v>
      </c>
      <c r="I28" s="4">
        <f>J27+1</f>
        <v/>
      </c>
      <c r="J28" s="4">
        <f>EOMONTH(I28,0)</f>
        <v/>
      </c>
      <c r="K28" s="3">
        <f>J28-I28+1</f>
        <v/>
      </c>
    </row>
    <row r="29" ht="18" customHeight="1">
      <c r="A29" s="14" t="inlineStr">
        <is>
          <t>항목</t>
        </is>
      </c>
      <c r="B29" s="14" t="inlineStr">
        <is>
          <t>✍️ 내 답</t>
        </is>
      </c>
      <c r="C29" s="14" t="inlineStr">
        <is>
          <t>✅ 정답(자동)</t>
        </is>
      </c>
      <c r="D29" s="14" t="inlineStr">
        <is>
          <t>수식 설명</t>
        </is>
      </c>
      <c r="H29" s="3" t="n">
        <v>27</v>
      </c>
      <c r="I29" s="4">
        <f>J28+1</f>
        <v/>
      </c>
      <c r="J29" s="4">
        <f>EOMONTH(I29,0)</f>
        <v/>
      </c>
      <c r="K29" s="3">
        <f>J29-I29+1</f>
        <v/>
      </c>
    </row>
    <row r="30">
      <c r="A30" s="15" t="inlineStr">
        <is>
          <t>위약금</t>
        </is>
      </c>
      <c r="B30" s="16" t="n"/>
      <c r="C30" s="17">
        <f>ROUNDDOWN(B8*B26*B17,-1)</f>
        <v/>
      </c>
      <c r="D30" s="18">
        <f>ROUNDDOWN(총v+ × 잔여비율 × 위약율, −1)</f>
        <v/>
      </c>
      <c r="H30" s="3" t="n">
        <v>28</v>
      </c>
      <c r="I30" s="4">
        <f>J29+1</f>
        <v/>
      </c>
      <c r="J30" s="4">
        <f>EOMONTH(I30,0)</f>
        <v/>
      </c>
      <c r="K30" s="3">
        <f>J30-I30+1</f>
        <v/>
      </c>
    </row>
    <row r="31">
      <c r="A31" s="15" t="inlineStr">
        <is>
          <t>사용분 청구</t>
        </is>
      </c>
      <c r="B31" s="16" t="n"/>
      <c r="C31" s="17">
        <f>ROUNDDOWN(B18*B22/B24,-2)</f>
        <v/>
      </c>
      <c r="D31" s="18">
        <f>ROUNDDOWN(반영월구독료 × 당월사용일/그달일, −2)</f>
        <v/>
      </c>
      <c r="H31" s="3" t="n">
        <v>29</v>
      </c>
      <c r="I31" s="4">
        <f>J30+1</f>
        <v/>
      </c>
      <c r="J31" s="4">
        <f>EOMONTH(I31,0)</f>
        <v/>
      </c>
      <c r="K31" s="3">
        <f>J31-I31+1</f>
        <v/>
      </c>
    </row>
    <row r="32">
      <c r="A32" s="15" t="inlineStr">
        <is>
          <t>할인금 회수</t>
        </is>
      </c>
      <c r="B32" s="16" t="n"/>
      <c r="C32" s="17">
        <f>ROUNDDOWN(B13*B25,-2)+ROUNDDOWN(B14*B25,-2)+ROUNDDOWN(B15*B25,-2)</f>
        <v/>
      </c>
      <c r="D32" s="18">
        <f>Σ ROUNDDOWN(각 할인 × 경과비율, −2)</f>
        <v/>
      </c>
      <c r="H32" s="3" t="n">
        <v>30</v>
      </c>
      <c r="I32" s="4">
        <f>J31+1</f>
        <v/>
      </c>
      <c r="J32" s="4">
        <f>EOMONTH(I32,0)</f>
        <v/>
      </c>
      <c r="K32" s="3">
        <f>J32-I32+1</f>
        <v/>
      </c>
    </row>
    <row r="33">
      <c r="A33" s="15" t="inlineStr">
        <is>
          <t>선납잔액 환불</t>
        </is>
      </c>
      <c r="B33" s="16" t="n"/>
      <c r="C33" s="17">
        <f>-ROUNDUP(B12*B26,-2)</f>
        <v/>
      </c>
      <c r="D33" s="18">
        <f>−ROUNDUP(선납금 × 잔여비율, −2)</f>
        <v/>
      </c>
      <c r="H33" s="3" t="n">
        <v>31</v>
      </c>
      <c r="I33" s="4">
        <f>J32+1</f>
        <v/>
      </c>
      <c r="J33" s="4">
        <f>EOMONTH(I33,0)</f>
        <v/>
      </c>
      <c r="K33" s="3">
        <f>J33-I33+1</f>
        <v/>
      </c>
    </row>
    <row r="34">
      <c r="A34" s="15" t="inlineStr">
        <is>
          <t>등록비 청구</t>
        </is>
      </c>
      <c r="B34" s="16" t="n"/>
      <c r="C34" s="17">
        <f>ROUNDDOWN(B16/1.1*B25,-2)</f>
        <v/>
      </c>
      <c r="D34" s="18">
        <f>ROUNDDOWN(등록비/1.1 × 경과비율, −2)</f>
        <v/>
      </c>
      <c r="H34" s="3" t="n">
        <v>32</v>
      </c>
      <c r="I34" s="4">
        <f>J33+1</f>
        <v/>
      </c>
      <c r="J34" s="4">
        <f>EOMONTH(I34,0)</f>
        <v/>
      </c>
      <c r="K34" s="3">
        <f>J34-I34+1</f>
        <v/>
      </c>
    </row>
    <row r="35">
      <c r="A35" s="19" t="inlineStr">
        <is>
          <t>고객 순부담</t>
        </is>
      </c>
      <c r="B35" s="20" t="n"/>
      <c r="C35" s="21">
        <f>SUM(C30:C34)</f>
        <v/>
      </c>
      <c r="D35" s="22">
        <f>합계 (양수=고객이 더 냄)</f>
        <v/>
      </c>
      <c r="H35" s="3" t="n">
        <v>33</v>
      </c>
      <c r="I35" s="4">
        <f>J34+1</f>
        <v/>
      </c>
      <c r="J35" s="4">
        <f>EOMONTH(I35,0)</f>
        <v/>
      </c>
      <c r="K35" s="3">
        <f>J35-I35+1</f>
        <v/>
      </c>
    </row>
    <row r="36">
      <c r="H36" s="3" t="n">
        <v>34</v>
      </c>
      <c r="I36" s="4">
        <f>J35+1</f>
        <v/>
      </c>
      <c r="J36" s="4">
        <f>EOMONTH(I36,0)</f>
        <v/>
      </c>
      <c r="K36" s="3">
        <f>J36-I36+1</f>
        <v/>
      </c>
    </row>
    <row r="37">
      <c r="H37" s="3" t="n">
        <v>35</v>
      </c>
      <c r="I37" s="4">
        <f>J36+1</f>
        <v/>
      </c>
      <c r="J37" s="4">
        <f>EOMONTH(I37,0)</f>
        <v/>
      </c>
      <c r="K37" s="3">
        <f>J37-I37+1</f>
        <v/>
      </c>
    </row>
    <row r="38" ht="20" customHeight="1">
      <c r="A38" s="5" t="inlineStr">
        <is>
          <t>② 할인 6단계 (단품 5% 예시)</t>
        </is>
      </c>
      <c r="H38" s="3" t="n">
        <v>36</v>
      </c>
      <c r="I38" s="4">
        <f>J37+1</f>
        <v/>
      </c>
      <c r="J38" s="4">
        <f>EOMONTH(I38,0)</f>
        <v/>
      </c>
      <c r="K38" s="3">
        <f>J38-I38+1</f>
        <v/>
      </c>
    </row>
    <row r="39" ht="18" customHeight="1">
      <c r="A39" s="14" t="inlineStr">
        <is>
          <t>항목</t>
        </is>
      </c>
      <c r="B39" s="14" t="inlineStr">
        <is>
          <t>✍️ 내 답</t>
        </is>
      </c>
      <c r="C39" s="14" t="inlineStr">
        <is>
          <t>✅ 정답(자동)</t>
        </is>
      </c>
      <c r="D39" s="14" t="inlineStr">
        <is>
          <t>수식 설명</t>
        </is>
      </c>
      <c r="H39" s="3" t="n">
        <v>37</v>
      </c>
      <c r="I39" s="4">
        <f>J38+1</f>
        <v/>
      </c>
      <c r="J39" s="4">
        <f>EOMONTH(I39,0)</f>
        <v/>
      </c>
      <c r="K39" s="3">
        <f>J39-I39+1</f>
        <v/>
      </c>
    </row>
    <row r="40">
      <c r="A40" s="15" t="inlineStr">
        <is>
          <t>① 할인금(v+)</t>
        </is>
      </c>
      <c r="B40" s="16" t="n"/>
      <c r="C40" s="17">
        <f>B8*5%</f>
        <v/>
      </c>
      <c r="D40" s="18">
        <f>총구독료v+ × 5%</f>
        <v/>
      </c>
      <c r="H40" s="3" t="n">
        <v>38</v>
      </c>
      <c r="I40" s="4">
        <f>J39+1</f>
        <v/>
      </c>
      <c r="J40" s="4">
        <f>EOMONTH(I40,0)</f>
        <v/>
      </c>
      <c r="K40" s="3">
        <f>J40-I40+1</f>
        <v/>
      </c>
    </row>
    <row r="41">
      <c r="A41" s="15" t="inlineStr">
        <is>
          <t>② 할인금(v−)</t>
        </is>
      </c>
      <c r="B41" s="16" t="n"/>
      <c r="C41" s="17">
        <f>C40/1.1</f>
        <v/>
      </c>
      <c r="D41" s="18">
        <f>① ÷ 1.1</f>
        <v/>
      </c>
      <c r="H41" s="3" t="n">
        <v>39</v>
      </c>
      <c r="I41" s="4">
        <f>J40+1</f>
        <v/>
      </c>
      <c r="J41" s="4">
        <f>EOMONTH(I41,0)</f>
        <v/>
      </c>
      <c r="K41" s="3">
        <f>J41-I41+1</f>
        <v/>
      </c>
    </row>
    <row r="42">
      <c r="A42" s="15" t="inlineStr">
        <is>
          <t>③ 월할인금(v−)</t>
        </is>
      </c>
      <c r="B42" s="16" t="n"/>
      <c r="C42" s="17">
        <f>ROUND(C41/B5,-2)</f>
        <v/>
      </c>
      <c r="D42" s="18">
        <f>ROUND(② / 기간, −2)</f>
        <v/>
      </c>
      <c r="H42" s="3" t="n">
        <v>40</v>
      </c>
      <c r="I42" s="4">
        <f>J41+1</f>
        <v/>
      </c>
      <c r="J42" s="4">
        <f>EOMONTH(I42,0)</f>
        <v/>
      </c>
      <c r="K42" s="3">
        <f>J42-I42+1</f>
        <v/>
      </c>
    </row>
    <row r="43">
      <c r="A43" s="15" t="inlineStr">
        <is>
          <t>④ 월할인금(v+)</t>
        </is>
      </c>
      <c r="B43" s="16" t="n"/>
      <c r="C43" s="17">
        <f>C42*1.1</f>
        <v/>
      </c>
      <c r="D43" s="18">
        <f>③ × 1.1</f>
        <v/>
      </c>
      <c r="H43" s="3" t="n">
        <v>41</v>
      </c>
      <c r="I43" s="4">
        <f>J42+1</f>
        <v/>
      </c>
      <c r="J43" s="4">
        <f>EOMONTH(I43,0)</f>
        <v/>
      </c>
      <c r="K43" s="3">
        <f>J43-I43+1</f>
        <v/>
      </c>
    </row>
    <row r="44">
      <c r="A44" s="15" t="inlineStr">
        <is>
          <t>⑤ 최종 할인금(v−)</t>
        </is>
      </c>
      <c r="B44" s="16" t="n"/>
      <c r="C44" s="17">
        <f>C42*B5</f>
        <v/>
      </c>
      <c r="D44" s="18">
        <f>③ × 기간</f>
        <v/>
      </c>
      <c r="H44" s="3" t="n">
        <v>42</v>
      </c>
      <c r="I44" s="4">
        <f>J43+1</f>
        <v/>
      </c>
      <c r="J44" s="4">
        <f>EOMONTH(I44,0)</f>
        <v/>
      </c>
      <c r="K44" s="3">
        <f>J44-I44+1</f>
        <v/>
      </c>
    </row>
    <row r="45">
      <c r="H45" s="3" t="n">
        <v>43</v>
      </c>
      <c r="I45" s="4">
        <f>J44+1</f>
        <v/>
      </c>
      <c r="J45" s="4">
        <f>EOMONTH(I45,0)</f>
        <v/>
      </c>
      <c r="K45" s="3">
        <f>J45-I45+1</f>
        <v/>
      </c>
    </row>
    <row r="46">
      <c r="H46" s="3" t="n">
        <v>44</v>
      </c>
      <c r="I46" s="4">
        <f>J45+1</f>
        <v/>
      </c>
      <c r="J46" s="4">
        <f>EOMONTH(I46,0)</f>
        <v/>
      </c>
      <c r="K46" s="3">
        <f>J46-I46+1</f>
        <v/>
      </c>
    </row>
    <row r="47" ht="20" customHeight="1">
      <c r="A47" s="5" t="inlineStr">
        <is>
          <t>③ 중도완납 · AS보상</t>
        </is>
      </c>
      <c r="H47" s="3" t="n">
        <v>45</v>
      </c>
      <c r="I47" s="4">
        <f>J46+1</f>
        <v/>
      </c>
      <c r="J47" s="4">
        <f>EOMONTH(I47,0)</f>
        <v/>
      </c>
      <c r="K47" s="3">
        <f>J47-I47+1</f>
        <v/>
      </c>
    </row>
    <row r="48" ht="18" customHeight="1">
      <c r="A48" s="14" t="inlineStr">
        <is>
          <t>항목</t>
        </is>
      </c>
      <c r="B48" s="14" t="inlineStr">
        <is>
          <t>✍️ 내 답</t>
        </is>
      </c>
      <c r="C48" s="14" t="inlineStr">
        <is>
          <t>✅ 정답(자동)</t>
        </is>
      </c>
      <c r="D48" s="14" t="inlineStr">
        <is>
          <t>수식 설명</t>
        </is>
      </c>
      <c r="H48" s="3" t="n">
        <v>46</v>
      </c>
      <c r="I48" s="4">
        <f>J47+1</f>
        <v/>
      </c>
      <c r="J48" s="4">
        <f>EOMONTH(I48,0)</f>
        <v/>
      </c>
      <c r="K48" s="3">
        <f>J48-I48+1</f>
        <v/>
      </c>
    </row>
    <row r="49">
      <c r="A49" s="15" t="inlineStr">
        <is>
          <t>중도완납금</t>
        </is>
      </c>
      <c r="B49" s="16" t="n"/>
      <c r="C49" s="17">
        <f>ROUND(B9*B26,-2)</f>
        <v/>
      </c>
      <c r="D49" s="18">
        <f>ROUND(매출인식기준 × 잔여비율, −2)</f>
        <v/>
      </c>
      <c r="H49" s="3" t="n">
        <v>47</v>
      </c>
      <c r="I49" s="4">
        <f>J48+1</f>
        <v/>
      </c>
      <c r="J49" s="4">
        <f>EOMONTH(I49,0)</f>
        <v/>
      </c>
      <c r="K49" s="3">
        <f>J49-I49+1</f>
        <v/>
      </c>
    </row>
    <row r="50">
      <c r="A50" s="15" t="inlineStr">
        <is>
          <t>완납 사용분</t>
        </is>
      </c>
      <c r="B50" s="16" t="n"/>
      <c r="C50" s="17">
        <f>ROUNDDOWN(B18*B22/B24,-2)</f>
        <v/>
      </c>
      <c r="D50" s="18">
        <f>ROUNDDOWN(반영월구독료 × 당월사용일/그달, −2)</f>
        <v/>
      </c>
      <c r="H50" s="3" t="n">
        <v>48</v>
      </c>
      <c r="I50" s="4">
        <f>J49+1</f>
        <v/>
      </c>
      <c r="J50" s="4">
        <f>EOMONTH(I50,0)</f>
        <v/>
      </c>
      <c r="K50" s="3">
        <f>J50-I50+1</f>
        <v/>
      </c>
    </row>
    <row r="51">
      <c r="A51" s="15" t="inlineStr">
        <is>
          <t>선납액 차감</t>
        </is>
      </c>
      <c r="B51" s="16" t="n"/>
      <c r="C51" s="17">
        <f>-ROUNDUP(B12*B26,-2)</f>
        <v/>
      </c>
      <c r="D51" s="18">
        <f>−ROUNDUP(선납금 × 잔여비율, −2)</f>
        <v/>
      </c>
      <c r="H51" s="3" t="n">
        <v>49</v>
      </c>
      <c r="I51" s="4">
        <f>J50+1</f>
        <v/>
      </c>
      <c r="J51" s="4">
        <f>EOMONTH(I51,0)</f>
        <v/>
      </c>
      <c r="K51" s="3">
        <f>J51-I51+1</f>
        <v/>
      </c>
    </row>
    <row r="52">
      <c r="A52" s="15" t="inlineStr">
        <is>
          <t>AS보상 (미사용일=당월사용일 가정)</t>
        </is>
      </c>
      <c r="B52" s="16" t="n"/>
      <c r="C52" s="17">
        <f>ROUNDUP(B7/B5*B22/B24,-2)</f>
        <v/>
      </c>
      <c r="D52" s="18">
        <f>ROUNDUP(기본월구독료 × 미사용일/그달, −2)</f>
        <v/>
      </c>
      <c r="H52" s="3" t="n">
        <v>50</v>
      </c>
      <c r="I52" s="4">
        <f>J51+1</f>
        <v/>
      </c>
      <c r="J52" s="4">
        <f>EOMONTH(I52,0)</f>
        <v/>
      </c>
      <c r="K52" s="3">
        <f>J52-I52+1</f>
        <v/>
      </c>
    </row>
    <row r="53">
      <c r="H53" s="3" t="n">
        <v>51</v>
      </c>
      <c r="I53" s="4">
        <f>J52+1</f>
        <v/>
      </c>
      <c r="J53" s="4">
        <f>EOMONTH(I53,0)</f>
        <v/>
      </c>
      <c r="K53" s="3">
        <f>J53-I53+1</f>
        <v/>
      </c>
    </row>
    <row r="54">
      <c r="H54" s="3" t="n">
        <v>52</v>
      </c>
      <c r="I54" s="4">
        <f>J53+1</f>
        <v/>
      </c>
      <c r="J54" s="4">
        <f>EOMONTH(I54,0)</f>
        <v/>
      </c>
      <c r="K54" s="3">
        <f>J54-I54+1</f>
        <v/>
      </c>
    </row>
    <row r="55">
      <c r="H55" s="3" t="n">
        <v>53</v>
      </c>
      <c r="I55" s="4">
        <f>J54+1</f>
        <v/>
      </c>
      <c r="J55" s="4">
        <f>EOMONTH(I55,0)</f>
        <v/>
      </c>
      <c r="K55" s="3">
        <f>J55-I55+1</f>
        <v/>
      </c>
    </row>
    <row r="56">
      <c r="H56" s="3" t="n">
        <v>54</v>
      </c>
      <c r="I56" s="4">
        <f>J55+1</f>
        <v/>
      </c>
      <c r="J56" s="4">
        <f>EOMONTH(I56,0)</f>
        <v/>
      </c>
      <c r="K56" s="3">
        <f>J56-I56+1</f>
        <v/>
      </c>
    </row>
    <row r="57">
      <c r="H57" s="3" t="n">
        <v>55</v>
      </c>
      <c r="I57" s="4">
        <f>J56+1</f>
        <v/>
      </c>
      <c r="J57" s="4">
        <f>EOMONTH(I57,0)</f>
        <v/>
      </c>
      <c r="K57" s="3">
        <f>J57-I57+1</f>
        <v/>
      </c>
    </row>
    <row r="58">
      <c r="H58" s="3" t="n">
        <v>56</v>
      </c>
      <c r="I58" s="4">
        <f>J57+1</f>
        <v/>
      </c>
      <c r="J58" s="4">
        <f>EOMONTH(I58,0)</f>
        <v/>
      </c>
      <c r="K58" s="3">
        <f>J58-I58+1</f>
        <v/>
      </c>
    </row>
    <row r="59">
      <c r="H59" s="3" t="n">
        <v>57</v>
      </c>
      <c r="I59" s="4">
        <f>J58+1</f>
        <v/>
      </c>
      <c r="J59" s="4">
        <f>EOMONTH(I59,0)</f>
        <v/>
      </c>
      <c r="K59" s="3">
        <f>J59-I59+1</f>
        <v/>
      </c>
    </row>
    <row r="60">
      <c r="H60" s="3" t="n">
        <v>58</v>
      </c>
      <c r="I60" s="4">
        <f>J59+1</f>
        <v/>
      </c>
      <c r="J60" s="4">
        <f>EOMONTH(I60,0)</f>
        <v/>
      </c>
      <c r="K60" s="3">
        <f>J60-I60+1</f>
        <v/>
      </c>
    </row>
    <row r="61">
      <c r="H61" s="3" t="n">
        <v>59</v>
      </c>
      <c r="I61" s="4">
        <f>J60+1</f>
        <v/>
      </c>
      <c r="J61" s="4">
        <f>EOMONTH(I61,0)</f>
        <v/>
      </c>
      <c r="K61" s="3">
        <f>J61-I61+1</f>
        <v/>
      </c>
    </row>
    <row r="62">
      <c r="H62" s="3" t="n">
        <v>60</v>
      </c>
      <c r="I62" s="4">
        <f>J61+1</f>
        <v/>
      </c>
      <c r="J62" s="4">
        <f>EOMONTH(I62,0)</f>
        <v/>
      </c>
      <c r="K62" s="3">
        <f>J62-I62+1</f>
        <v/>
      </c>
    </row>
    <row r="63">
      <c r="H63" s="3" t="n">
        <v>61</v>
      </c>
      <c r="I63" s="4">
        <f>J62+1</f>
        <v/>
      </c>
      <c r="J63" s="4">
        <f>EOMONTH(I63,0)</f>
        <v/>
      </c>
      <c r="K63" s="3">
        <f>J63-I63+1</f>
        <v/>
      </c>
    </row>
    <row r="64">
      <c r="H64" s="3" t="n">
        <v>62</v>
      </c>
      <c r="I64" s="4">
        <f>J63+1</f>
        <v/>
      </c>
      <c r="J64" s="4">
        <f>EOMONTH(I64,0)</f>
        <v/>
      </c>
      <c r="K64" s="3">
        <f>J64-I64+1</f>
        <v/>
      </c>
    </row>
    <row r="65">
      <c r="H65" s="3" t="n">
        <v>63</v>
      </c>
      <c r="I65" s="4">
        <f>J64+1</f>
        <v/>
      </c>
      <c r="J65" s="4">
        <f>EOMONTH(I65,0)</f>
        <v/>
      </c>
      <c r="K65" s="3">
        <f>J65-I65+1</f>
        <v/>
      </c>
    </row>
    <row r="66">
      <c r="H66" s="3" t="n">
        <v>64</v>
      </c>
      <c r="I66" s="4">
        <f>J65+1</f>
        <v/>
      </c>
      <c r="J66" s="4">
        <f>EOMONTH(I66,0)</f>
        <v/>
      </c>
      <c r="K66" s="3">
        <f>J66-I66+1</f>
        <v/>
      </c>
    </row>
    <row r="67">
      <c r="H67" s="3" t="n">
        <v>65</v>
      </c>
      <c r="I67" s="4">
        <f>J66+1</f>
        <v/>
      </c>
      <c r="J67" s="4">
        <f>EOMONTH(I67,0)</f>
        <v/>
      </c>
      <c r="K67" s="3">
        <f>J67-I67+1</f>
        <v/>
      </c>
    </row>
    <row r="68">
      <c r="H68" s="3" t="n">
        <v>66</v>
      </c>
      <c r="I68" s="4">
        <f>J67+1</f>
        <v/>
      </c>
      <c r="J68" s="4">
        <f>EOMONTH(I68,0)</f>
        <v/>
      </c>
      <c r="K68" s="3">
        <f>J68-I68+1</f>
        <v/>
      </c>
    </row>
    <row r="69">
      <c r="H69" s="3" t="n">
        <v>67</v>
      </c>
      <c r="I69" s="4">
        <f>J68+1</f>
        <v/>
      </c>
      <c r="J69" s="4">
        <f>EOMONTH(I69,0)</f>
        <v/>
      </c>
      <c r="K69" s="3">
        <f>J69-I69+1</f>
        <v/>
      </c>
    </row>
    <row r="70">
      <c r="H70" s="3" t="n">
        <v>68</v>
      </c>
      <c r="I70" s="4">
        <f>J69+1</f>
        <v/>
      </c>
      <c r="J70" s="4">
        <f>EOMONTH(I70,0)</f>
        <v/>
      </c>
      <c r="K70" s="3">
        <f>J70-I70+1</f>
        <v/>
      </c>
    </row>
    <row r="71">
      <c r="H71" s="3" t="n">
        <v>69</v>
      </c>
      <c r="I71" s="4">
        <f>J70+1</f>
        <v/>
      </c>
      <c r="J71" s="4">
        <f>EOMONTH(I71,0)</f>
        <v/>
      </c>
      <c r="K71" s="3">
        <f>J71-I71+1</f>
        <v/>
      </c>
    </row>
    <row r="72">
      <c r="H72" s="3" t="n">
        <v>70</v>
      </c>
      <c r="I72" s="4">
        <f>J71+1</f>
        <v/>
      </c>
      <c r="J72" s="4">
        <f>EOMONTH(I72,0)</f>
        <v/>
      </c>
      <c r="K72" s="3">
        <f>J72-I72+1</f>
        <v/>
      </c>
    </row>
    <row r="73">
      <c r="H73" s="3" t="n">
        <v>71</v>
      </c>
      <c r="I73" s="4">
        <f>J72+1</f>
        <v/>
      </c>
      <c r="J73" s="4">
        <f>EOMONTH(I73,0)</f>
        <v/>
      </c>
      <c r="K73" s="3">
        <f>J73-I73+1</f>
        <v/>
      </c>
    </row>
    <row r="74">
      <c r="H74" s="3" t="n">
        <v>72</v>
      </c>
      <c r="I74" s="4">
        <f>J73+1</f>
        <v/>
      </c>
      <c r="J74" s="4">
        <f>EOMONTH(I74,0)</f>
        <v/>
      </c>
      <c r="K74" s="3">
        <f>J74-I74+1</f>
        <v/>
      </c>
    </row>
  </sheetData>
  <mergeCells count="7">
    <mergeCell ref="A1:D1"/>
    <mergeCell ref="A4:D4"/>
    <mergeCell ref="A20:D20"/>
    <mergeCell ref="A38:D38"/>
    <mergeCell ref="A2:D2"/>
    <mergeCell ref="A47:D47"/>
    <mergeCell ref="A28:D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2026-06-24T13:26:18Z</dcterms:created>
  <dcterms:modified xsi:type="dcterms:W3CDTF">2026-06-24T13:26:18Z</dcterms:modified>
</cp:coreProperties>
</file>
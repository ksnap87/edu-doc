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체강제해지 (CE)" sheetId="1" state="visible" r:id="rId1"/>
    <sheet name="연체강제해지 (MX)" sheetId="2" state="visible" r:id="rId2"/>
    <sheet name="AS보상 (CE vs MX)" sheetId="3" state="visible" r:id="rId3"/>
    <sheet name="할인원복 (익익월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연체이자 + 강제정산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</t>
        </is>
      </c>
    </row>
    <row r="12">
      <c r="A12" s="5" t="inlineStr">
        <is>
          <t>밀린 월구독료(v−)</t>
        </is>
      </c>
      <c r="B12" s="6" t="n">
        <v>92000</v>
      </c>
    </row>
    <row r="13">
      <c r="A13" s="5" t="inlineStr">
        <is>
          <t>연체1 일수(해지까지)</t>
        </is>
      </c>
      <c r="B13" s="6" t="n">
        <v>90</v>
      </c>
    </row>
    <row r="14">
      <c r="A14" s="5" t="inlineStr">
        <is>
          <t>연체2 일수</t>
        </is>
      </c>
      <c r="B14" s="6" t="n">
        <v>60</v>
      </c>
    </row>
    <row r="15">
      <c r="A15" s="5" t="inlineStr">
        <is>
          <t>연체3 일수</t>
        </is>
      </c>
      <c r="B15" s="6" t="n">
        <v>30</v>
      </c>
    </row>
    <row r="16">
      <c r="A16" s="5" t="inlineStr">
        <is>
          <t>Σ경과일(해지시점)</t>
        </is>
      </c>
      <c r="B16" s="6" t="n">
        <v>1800</v>
      </c>
    </row>
    <row r="17">
      <c r="A17" s="5" t="inlineStr">
        <is>
          <t>당월사용일</t>
        </is>
      </c>
      <c r="B17" s="6" t="n">
        <v>16</v>
      </c>
    </row>
    <row r="18">
      <c r="A18" s="5" t="inlineStr">
        <is>
          <t>그달일수</t>
        </is>
      </c>
      <c r="B18" s="6" t="n">
        <v>30</v>
      </c>
    </row>
    <row r="19">
      <c r="A19" s="7" t="inlineStr">
        <is>
          <t>경과비율</t>
        </is>
      </c>
      <c r="B19" s="8">
        <f>B16/B6</f>
        <v/>
      </c>
    </row>
    <row r="20">
      <c r="A20" s="7" t="inlineStr">
        <is>
          <t>잔여비율</t>
        </is>
      </c>
      <c r="B20" s="8">
        <f>(B6-B16)/B6</f>
        <v/>
      </c>
    </row>
    <row r="21"/>
    <row r="22" ht="20" customHeight="1">
      <c r="A22" s="2" t="inlineStr">
        <is>
          <t>① 연체이자 (CE: 구독료 × 1.1 × 6% × 일수/365)</t>
        </is>
      </c>
    </row>
    <row r="23">
      <c r="A23" s="9" t="inlineStr">
        <is>
          <t>항목</t>
        </is>
      </c>
      <c r="B23" s="9" t="inlineStr">
        <is>
          <t>✍️ 내 답</t>
        </is>
      </c>
      <c r="C23" s="9" t="inlineStr">
        <is>
          <t>✅ 정답</t>
        </is>
      </c>
      <c r="E23" s="9" t="inlineStr">
        <is>
          <t>수식 설명</t>
        </is>
      </c>
    </row>
    <row r="24">
      <c r="A24" s="10" t="inlineStr">
        <is>
          <t>연체1 이자</t>
        </is>
      </c>
      <c r="B24" s="11" t="n"/>
      <c r="C24" s="12">
        <f>ROUNDDOWN(B12*1.1*0.06*B13/365,-1)</f>
        <v/>
      </c>
      <c r="D24" s="13" t="n"/>
      <c r="E24" s="14" t="inlineStr">
        <is>
          <t>ROUNDDOWN(밀린×1.1×6%×일수/365, −1)</t>
        </is>
      </c>
    </row>
    <row r="25">
      <c r="A25" s="10" t="inlineStr">
        <is>
          <t>연체2 이자</t>
        </is>
      </c>
      <c r="B25" s="11" t="n"/>
      <c r="C25" s="12">
        <f>ROUNDDOWN(B12*1.1*0.06*B14/365,-1)</f>
        <v/>
      </c>
      <c r="D25" s="13" t="n"/>
      <c r="E25" s="14" t="inlineStr">
        <is>
          <t>〃 (연체2 일수)</t>
        </is>
      </c>
    </row>
    <row r="26">
      <c r="A26" s="10" t="inlineStr">
        <is>
          <t>연체3 이자</t>
        </is>
      </c>
      <c r="B26" s="11" t="n"/>
      <c r="C26" s="12">
        <f>ROUNDDOWN(B12*1.1*0.06*B15/365,-1)</f>
        <v/>
      </c>
      <c r="D26" s="13" t="n"/>
      <c r="E26" s="14" t="inlineStr">
        <is>
          <t>〃 (연체3 일수)</t>
        </is>
      </c>
    </row>
    <row r="27">
      <c r="A27" s="10" t="inlineStr">
        <is>
          <t>누적 연체이자</t>
        </is>
      </c>
      <c r="B27" s="11" t="n"/>
      <c r="C27" s="12">
        <f>C24+C25+C26</f>
        <v/>
      </c>
      <c r="D27" s="13" t="n"/>
      <c r="E27" s="14" t="inlineStr">
        <is>
          <t>합계</t>
        </is>
      </c>
    </row>
    <row r="28"/>
    <row r="29" ht="20" customHeight="1">
      <c r="A29" s="2" t="inlineStr">
        <is>
          <t>② 강제해지 정산</t>
        </is>
      </c>
    </row>
    <row r="30">
      <c r="A30" s="9" t="inlineStr">
        <is>
          <t>항목</t>
        </is>
      </c>
      <c r="B30" s="9" t="inlineStr">
        <is>
          <t>✍️ 내 답</t>
        </is>
      </c>
      <c r="C30" s="9" t="inlineStr">
        <is>
          <t>✅ 정답</t>
        </is>
      </c>
      <c r="E30" s="9" t="inlineStr">
        <is>
          <t>수식 설명</t>
        </is>
      </c>
    </row>
    <row r="31">
      <c r="A31" s="10" t="inlineStr">
        <is>
          <t>위약금</t>
        </is>
      </c>
      <c r="B31" s="11" t="n"/>
      <c r="C31" s="12">
        <f>ROUNDDOWN(B5*B20*0.2,-1)</f>
        <v/>
      </c>
      <c r="D31" s="13" t="n"/>
      <c r="E31" s="14" t="inlineStr">
        <is>
          <t>ROUNDDOWN(총v+ × 잔여 × 20%, −1)</t>
        </is>
      </c>
    </row>
    <row r="32">
      <c r="A32" s="10" t="inlineStr">
        <is>
          <t>사용분(밀린 합산)</t>
        </is>
      </c>
      <c r="B32" s="11" t="n"/>
      <c r="C32" s="12">
        <f>B12*3+ROUNDDOWN(B4*B17/B18,-2)</f>
        <v/>
      </c>
      <c r="D32" s="13" t="n"/>
      <c r="E32" s="14" t="inlineStr">
        <is>
          <t>밀린 3개월 + 당월 일할</t>
        </is>
      </c>
    </row>
    <row r="33">
      <c r="A33" s="10" t="inlineStr">
        <is>
          <t>할인금 회수</t>
        </is>
      </c>
      <c r="B33" s="11" t="n"/>
      <c r="C33" s="12">
        <f>ROUNDDOWN(B8*B19,-2)</f>
        <v/>
      </c>
      <c r="D33" s="13" t="n"/>
      <c r="E33" s="14" t="inlineStr">
        <is>
          <t>ROUNDDOWN(할인 × 경과, −2)</t>
        </is>
      </c>
    </row>
    <row r="34">
      <c r="A34" s="10" t="inlineStr">
        <is>
          <t>연체이자</t>
        </is>
      </c>
      <c r="B34" s="11" t="n"/>
      <c r="C34" s="12">
        <f>C27</f>
        <v/>
      </c>
      <c r="D34" s="13" t="n"/>
      <c r="E34" s="14" t="inlineStr">
        <is>
          <t>누적 연체이자</t>
        </is>
      </c>
    </row>
    <row r="35">
      <c r="A35" s="10" t="inlineStr">
        <is>
          <t>선납잔액 환불</t>
        </is>
      </c>
      <c r="B35" s="11" t="n"/>
      <c r="C35" s="12">
        <f>-ROUNDUP(B7*B20,-2)</f>
        <v/>
      </c>
      <c r="D35" s="13" t="n"/>
      <c r="E35" s="14" t="inlineStr">
        <is>
          <t>−ROUNDUP(선납금 × 잔여, −2)</t>
        </is>
      </c>
    </row>
    <row r="36">
      <c r="A36" s="10" t="inlineStr">
        <is>
          <t>등록비</t>
        </is>
      </c>
      <c r="B36" s="11" t="n"/>
      <c r="C36" s="12">
        <f>ROUNDDOWN(B9/1.1*B19,-2)</f>
        <v/>
      </c>
      <c r="D36" s="13" t="n"/>
      <c r="E36" s="14" t="inlineStr">
        <is>
          <t>ROUNDDOWN(등록비/1.1 × 경과, −2)</t>
        </is>
      </c>
    </row>
    <row r="37">
      <c r="A37" s="15" t="inlineStr">
        <is>
          <t>합계</t>
        </is>
      </c>
      <c r="B37" s="13" t="n"/>
      <c r="C37" s="16">
        <f>SUM(C31:C36)</f>
        <v/>
      </c>
      <c r="D37" s="13" t="n"/>
      <c r="E37" s="13" t="n"/>
    </row>
  </sheetData>
  <mergeCells count="5">
    <mergeCell ref="A29:E29"/>
    <mergeCell ref="A11:E11"/>
    <mergeCell ref="A1:E1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★연체이자 base 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 — 파손 분리 입력</t>
        </is>
      </c>
    </row>
    <row r="12">
      <c r="A12" s="5" t="inlineStr">
        <is>
          <t>밀린 파손제외 구독료(과세,v−)</t>
        </is>
      </c>
      <c r="B12" s="6" t="n">
        <v>21100</v>
      </c>
    </row>
    <row r="13">
      <c r="A13" s="5" t="inlineStr">
        <is>
          <t>밀린 파손보험(비과세,월)</t>
        </is>
      </c>
      <c r="B13" s="6" t="n">
        <v>2400</v>
      </c>
    </row>
    <row r="14">
      <c r="A14" s="5" t="inlineStr">
        <is>
          <t>연체1 일수</t>
        </is>
      </c>
      <c r="B14" s="6" t="n">
        <v>90</v>
      </c>
    </row>
    <row r="15">
      <c r="A15" s="5" t="inlineStr">
        <is>
          <t>연체2 일수</t>
        </is>
      </c>
      <c r="B15" s="6" t="n">
        <v>60</v>
      </c>
    </row>
    <row r="16">
      <c r="A16" s="5" t="inlineStr">
        <is>
          <t>연체3 일수</t>
        </is>
      </c>
      <c r="B16" s="6" t="n">
        <v>30</v>
      </c>
    </row>
    <row r="17">
      <c r="A17" s="5" t="inlineStr">
        <is>
          <t>Σ경과일</t>
        </is>
      </c>
      <c r="B17" s="6" t="n">
        <v>1100</v>
      </c>
    </row>
    <row r="18">
      <c r="A18" s="5" t="inlineStr">
        <is>
          <t>당월사용일</t>
        </is>
      </c>
      <c r="B18" s="6" t="n">
        <v>16</v>
      </c>
    </row>
    <row r="19">
      <c r="A19" s="5" t="inlineStr">
        <is>
          <t>그달일수</t>
        </is>
      </c>
      <c r="B19" s="6" t="n">
        <v>30</v>
      </c>
    </row>
    <row r="20">
      <c r="A20" s="7" t="inlineStr">
        <is>
          <t>경과비율</t>
        </is>
      </c>
      <c r="B20" s="8">
        <f>B17/B6</f>
        <v/>
      </c>
    </row>
    <row r="21">
      <c r="A21" s="7" t="inlineStr">
        <is>
          <t>잔여비율</t>
        </is>
      </c>
      <c r="B21" s="8">
        <f>(B6-B17)/B6</f>
        <v/>
      </c>
    </row>
    <row r="22"/>
    <row r="23" ht="20" customHeight="1">
      <c r="A23" s="2" t="inlineStr">
        <is>
          <t>① 연체이자 (MX: (파손제외×1.1 + 파손) × 6% × 일수/365)</t>
        </is>
      </c>
    </row>
    <row r="24">
      <c r="A24" s="9" t="inlineStr">
        <is>
          <t>항목</t>
        </is>
      </c>
      <c r="B24" s="9" t="inlineStr">
        <is>
          <t>✍️ 내 답</t>
        </is>
      </c>
      <c r="C24" s="9" t="inlineStr">
        <is>
          <t>✅ 정답</t>
        </is>
      </c>
      <c r="E24" s="9" t="inlineStr">
        <is>
          <t>수식 설명</t>
        </is>
      </c>
    </row>
    <row r="25">
      <c r="A25" s="10" t="inlineStr">
        <is>
          <t>연체1 이자</t>
        </is>
      </c>
      <c r="B25" s="11" t="n"/>
      <c r="C25" s="12">
        <f>ROUNDDOWN((B12*1.1+B13)*0.06*B14/365,-1)</f>
        <v/>
      </c>
      <c r="D25" s="13" t="n"/>
      <c r="E25" s="14" t="inlineStr">
        <is>
          <t>ROUNDDOWN((파손제외×1.1 + 파손)×6%×일수/365, −1)</t>
        </is>
      </c>
    </row>
    <row r="26">
      <c r="A26" s="10" t="inlineStr">
        <is>
          <t>연체2 이자</t>
        </is>
      </c>
      <c r="B26" s="11" t="n"/>
      <c r="C26" s="12">
        <f>ROUNDDOWN((B12*1.1+B13)*0.06*B15/365,-1)</f>
        <v/>
      </c>
      <c r="D26" s="13" t="n"/>
      <c r="E26" s="14" t="inlineStr">
        <is>
          <t>〃 (연체2)</t>
        </is>
      </c>
    </row>
    <row r="27">
      <c r="A27" s="10" t="inlineStr">
        <is>
          <t>연체3 이자</t>
        </is>
      </c>
      <c r="B27" s="11" t="n"/>
      <c r="C27" s="12">
        <f>ROUNDDOWN((B12*1.1+B13)*0.06*B16/365,-1)</f>
        <v/>
      </c>
      <c r="D27" s="13" t="n"/>
      <c r="E27" s="14" t="inlineStr">
        <is>
          <t>〃 (연체3)</t>
        </is>
      </c>
    </row>
    <row r="28">
      <c r="A28" s="10" t="inlineStr">
        <is>
          <t>누적 연체이자</t>
        </is>
      </c>
      <c r="B28" s="11" t="n"/>
      <c r="C28" s="12">
        <f>C25+C26+C27</f>
        <v/>
      </c>
      <c r="D28" s="13" t="n"/>
      <c r="E28" s="14" t="inlineStr">
        <is>
          <t>합계 — ★파손은 ×1.1 안 함</t>
        </is>
      </c>
    </row>
    <row r="29"/>
    <row r="30" ht="20" customHeight="1">
      <c r="A30" s="2" t="inlineStr">
        <is>
          <t>② 강제해지 정산</t>
        </is>
      </c>
    </row>
    <row r="31">
      <c r="A31" s="9" t="inlineStr">
        <is>
          <t>항목</t>
        </is>
      </c>
      <c r="B31" s="9" t="inlineStr">
        <is>
          <t>✍️ 내 답</t>
        </is>
      </c>
      <c r="C31" s="9" t="inlineStr">
        <is>
          <t>✅ 정답</t>
        </is>
      </c>
      <c r="E31" s="9" t="inlineStr">
        <is>
          <t>수식 설명</t>
        </is>
      </c>
    </row>
    <row r="32">
      <c r="A32" s="10" t="inlineStr">
        <is>
          <t>위약금</t>
        </is>
      </c>
      <c r="B32" s="11" t="n"/>
      <c r="C32" s="12">
        <f>ROUNDDOWN(B5*B21*0.2,-1)</f>
        <v/>
      </c>
      <c r="D32" s="13" t="n"/>
      <c r="E32" s="14" t="inlineStr">
        <is>
          <t>ROUNDDOWN(총v+ × 잔여 × 20%, −1)</t>
        </is>
      </c>
    </row>
    <row r="33">
      <c r="A33" s="10" t="inlineStr">
        <is>
          <t>사용분(밀린 합산)</t>
        </is>
      </c>
      <c r="B33" s="11" t="n"/>
      <c r="C33" s="12">
        <f>(B12+B13)*3+ROUNDDOWN(B4*B18/B19,-2)</f>
        <v/>
      </c>
      <c r="D33" s="13" t="n"/>
      <c r="E33" s="14" t="inlineStr">
        <is>
          <t>밀린 3개월(파손제외+파손) + 당월 일할</t>
        </is>
      </c>
    </row>
    <row r="34">
      <c r="A34" s="10" t="inlineStr">
        <is>
          <t>할인금 회수</t>
        </is>
      </c>
      <c r="B34" s="11" t="n"/>
      <c r="C34" s="12">
        <f>ROUNDDOWN(B8*B20,-2)</f>
        <v/>
      </c>
      <c r="D34" s="13" t="n"/>
      <c r="E34" s="14" t="inlineStr">
        <is>
          <t>ROUNDDOWN(할인 × 경과, −2)</t>
        </is>
      </c>
    </row>
    <row r="35">
      <c r="A35" s="10" t="inlineStr">
        <is>
          <t>연체이자</t>
        </is>
      </c>
      <c r="B35" s="11" t="n"/>
      <c r="C35" s="12">
        <f>C28</f>
        <v/>
      </c>
      <c r="D35" s="13" t="n"/>
      <c r="E35" s="14" t="inlineStr">
        <is>
          <t>누적 연체이자</t>
        </is>
      </c>
    </row>
    <row r="36">
      <c r="A36" s="10" t="inlineStr">
        <is>
          <t>선납잔액 환불</t>
        </is>
      </c>
      <c r="B36" s="11" t="n"/>
      <c r="C36" s="12">
        <f>-ROUNDUP(B7*B21,-2)</f>
        <v/>
      </c>
      <c r="D36" s="13" t="n"/>
      <c r="E36" s="14" t="inlineStr">
        <is>
          <t>−ROUNDUP(선납금 × 잔여, −2)</t>
        </is>
      </c>
    </row>
    <row r="37">
      <c r="A37" s="10" t="inlineStr">
        <is>
          <t>등록비</t>
        </is>
      </c>
      <c r="B37" s="11" t="n"/>
      <c r="C37" s="12">
        <f>ROUNDDOWN(B9/1.1*B20,-2)</f>
        <v/>
      </c>
      <c r="D37" s="13" t="n"/>
      <c r="E37" s="14" t="inlineStr">
        <is>
          <t>ROUNDDOWN(등록비/1.1 × 경과, −2)</t>
        </is>
      </c>
    </row>
    <row r="38">
      <c r="A38" s="15" t="inlineStr">
        <is>
          <t>합계</t>
        </is>
      </c>
      <c r="B38" s="13" t="n"/>
      <c r="C38" s="16">
        <f>SUM(C32:C37)</f>
        <v/>
      </c>
      <c r="D38" s="13" t="n"/>
      <c r="E38" s="13" t="n"/>
    </row>
    <row r="39"/>
    <row r="40">
      <c r="A40" s="7" t="inlineStr">
        <is>
          <t>※ CE와 차이는 단 하나: 연체이자에서 파손보험을 ×1.1 안 하고 그대로 더함.</t>
        </is>
      </c>
    </row>
  </sheetData>
  <mergeCells count="6">
    <mergeCell ref="A30:E30"/>
    <mergeCell ref="A11:E11"/>
    <mergeCell ref="A1:E1"/>
    <mergeCell ref="A23:E23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(파손 분리)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미사용일</t>
        </is>
      </c>
      <c r="B7" s="17" t="n">
        <v>30</v>
      </c>
    </row>
    <row r="8">
      <c r="A8" s="5" t="inlineStr">
        <is>
          <t>그달일수</t>
        </is>
      </c>
      <c r="B8" s="17" t="n">
        <v>31</v>
      </c>
    </row>
    <row r="9"/>
    <row r="10" ht="20" customHeight="1">
      <c r="A10" s="2" t="inlineStr">
        <is>
          <t>■ 보상금 계산 (둘 다 ROUNDUP, 고객 유리)</t>
        </is>
      </c>
    </row>
    <row r="11">
      <c r="A11" s="9" t="inlineStr">
        <is>
          <t>항목</t>
        </is>
      </c>
      <c r="B11" s="9" t="inlineStr">
        <is>
          <t>✍️ 내 답</t>
        </is>
      </c>
      <c r="C11" s="9" t="inlineStr">
        <is>
          <t>✅ CE</t>
        </is>
      </c>
      <c r="D11" s="9" t="inlineStr">
        <is>
          <t>✅ MX</t>
        </is>
      </c>
      <c r="F11" s="9" t="inlineStr">
        <is>
          <t>수식 설명</t>
        </is>
      </c>
    </row>
    <row r="12">
      <c r="A12" s="10" t="inlineStr">
        <is>
          <t>과세분 보상</t>
        </is>
      </c>
      <c r="B12" s="11" t="n"/>
      <c r="C12" s="12">
        <f>ROUNDUP(B4*B7/B8,-2)</f>
        <v/>
      </c>
      <c r="D12" s="12">
        <f>ROUNDUP((B5/1.1)*B7/B8,-2)</f>
        <v/>
      </c>
      <c r="E12" s="13" t="n"/>
      <c r="F12" s="14" t="inlineStr">
        <is>
          <t>CE: 기본구독료 일할 / MX: 매출인식기준 ÷1.1 일할</t>
        </is>
      </c>
    </row>
    <row r="13">
      <c r="A13" s="10" t="inlineStr">
        <is>
          <t>파손 보상(MX만)</t>
        </is>
      </c>
      <c r="B13" s="11" t="n"/>
      <c r="C13" s="13" t="n"/>
      <c r="D13" s="12">
        <f>ROUNDUP(B6*B7/B8,-2)</f>
        <v/>
      </c>
      <c r="E13" s="13" t="n"/>
      <c r="F13" s="14" t="inlineStr">
        <is>
          <t>MX: 파손 × 일할 (비과세, ÷1.1 없음)</t>
        </is>
      </c>
    </row>
    <row r="14">
      <c r="A14" s="10" t="inlineStr">
        <is>
          <t>최종 보상금</t>
        </is>
      </c>
      <c r="B14" s="11" t="n"/>
      <c r="C14" s="12">
        <f>C12</f>
        <v/>
      </c>
      <c r="D14" s="12">
        <f>D12+D13</f>
        <v/>
      </c>
      <c r="E14" s="13" t="n"/>
      <c r="F14" s="14" t="inlineStr">
        <is>
          <t>CE=과세분 / MX=과세분+파손</t>
        </is>
      </c>
    </row>
    <row r="15"/>
    <row r="16">
      <c r="A16" s="7" t="inlineStr">
        <is>
          <t>※ CE는 기본구독료 한 덩이. MX는 과세분(÷1.1)과 파손(그대로)을 쪼개서 합침.</t>
        </is>
      </c>
    </row>
  </sheetData>
  <mergeCells count="4">
    <mergeCell ref="A3:F3"/>
    <mergeCell ref="A16:F16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결합(다품목) 깨짐 → 회수 + 익익월 정상가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(파란칸)</t>
        </is>
      </c>
    </row>
    <row r="10">
      <c r="A10" s="5" t="inlineStr">
        <is>
          <t>결합 해지일까지 경과일</t>
        </is>
      </c>
      <c r="B10" s="6" t="n">
        <v>600</v>
      </c>
    </row>
    <row r="11">
      <c r="A11" s="5" t="inlineStr">
        <is>
          <t>당월 사용일</t>
        </is>
      </c>
      <c r="B11" s="6" t="n">
        <v>16</v>
      </c>
    </row>
    <row r="12">
      <c r="A12" s="5" t="inlineStr">
        <is>
          <t>그달일수</t>
        </is>
      </c>
      <c r="B12" s="6" t="n">
        <v>30</v>
      </c>
    </row>
    <row r="13">
      <c r="A13" s="7" t="inlineStr">
        <is>
          <t>경과비율</t>
        </is>
      </c>
      <c r="B13" s="8">
        <f>B10/B5</f>
        <v/>
      </c>
    </row>
    <row r="14"/>
    <row r="15" ht="20" customHeight="1">
      <c r="A15" s="2" t="inlineStr">
        <is>
          <t>① 원복 정산</t>
        </is>
      </c>
    </row>
    <row r="16">
      <c r="A16" s="9" t="inlineStr">
        <is>
          <t>항목</t>
        </is>
      </c>
      <c r="B16" s="9" t="inlineStr">
        <is>
          <t>✍️ 내 답</t>
        </is>
      </c>
      <c r="C16" s="9" t="inlineStr">
        <is>
          <t>✅ 정답</t>
        </is>
      </c>
      <c r="E16" s="9" t="inlineStr">
        <is>
          <t>수식 설명</t>
        </is>
      </c>
    </row>
    <row r="17">
      <c r="A17" s="10" t="inlineStr">
        <is>
          <t>사용분 청구</t>
        </is>
      </c>
      <c r="B17" s="11" t="n"/>
      <c r="C17" s="12">
        <f>ROUNDDOWN(B6*B11/B12,-2)</f>
        <v/>
      </c>
      <c r="D17" s="13" t="n"/>
      <c r="E17" s="14" t="inlineStr">
        <is>
          <t>ROUNDDOWN(결합적용 월구독료 × 사용일/그달, −2)</t>
        </is>
      </c>
    </row>
    <row r="18">
      <c r="A18" s="10" t="inlineStr">
        <is>
          <t>다품목 할인 회수</t>
        </is>
      </c>
      <c r="B18" s="11" t="n"/>
      <c r="C18" s="12">
        <f>ROUNDDOWN(B4*B13,-2)</f>
        <v/>
      </c>
      <c r="D18" s="13" t="n"/>
      <c r="E18" s="14" t="inlineStr">
        <is>
          <t>ROUNDDOWN(다품목 할인 × 경과비율, −2)</t>
        </is>
      </c>
    </row>
    <row r="19"/>
    <row r="20" ht="20" customHeight="1">
      <c r="A20" s="2" t="inlineStr">
        <is>
          <t>② 원복 효과</t>
        </is>
      </c>
    </row>
    <row r="21">
      <c r="A21" s="10" t="inlineStr">
        <is>
          <t>익익월부터 월구독료</t>
        </is>
      </c>
      <c r="B21" s="11" t="n"/>
      <c r="C21" s="12">
        <f>B7</f>
        <v/>
      </c>
      <c r="D21" s="13" t="n"/>
      <c r="E21" s="14" t="inlineStr">
        <is>
          <t>원복 후 = 정상(선납·선납할인만) 월구독료</t>
        </is>
      </c>
    </row>
    <row r="22"/>
    <row r="23">
      <c r="A23" s="7" t="inlineStr">
        <is>
          <t>※ 묶음 중 하나 해지 → 다품목 할인을 경과분만큼 회수 + 익익월(다다음달)부터 정상가로 원복.</t>
        </is>
      </c>
    </row>
  </sheetData>
  <mergeCells count="6">
    <mergeCell ref="A20:E20"/>
    <mergeCell ref="A15:E15"/>
    <mergeCell ref="A1:E1"/>
    <mergeCell ref="A23:E23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2026-06-24T14:42:24Z</dcterms:created>
  <dcterms:modified xsi:type="dcterms:W3CDTF">2026-06-24T14:42:24Z</dcterms:modified>
</cp:coreProperties>
</file>
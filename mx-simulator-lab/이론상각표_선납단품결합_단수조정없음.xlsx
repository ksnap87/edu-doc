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이론상각표(선납+단품+결합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sz val="10"/>
    </font>
    <font>
      <name val="맑은 고딕"/>
      <b val="1"/>
      <color rgb="001F3864"/>
      <sz val="10"/>
    </font>
    <font>
      <name val="맑은 고딕"/>
      <b val="1"/>
      <color rgb="00FFFFFF"/>
      <sz val="10"/>
    </font>
    <font>
      <name val="맑은 고딕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2FB"/>
      </patternFill>
    </fill>
    <fill>
      <patternFill patternType="solid">
        <fgColor rgb="00FFF6CC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3" fontId="2" fillId="0" borderId="0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164" fontId="2" fillId="0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3" borderId="0" applyAlignment="1" pivotButton="0" quotePrefix="0" xfId="0">
      <alignment horizontal="right" vertical="center"/>
    </xf>
    <xf numFmtId="4" fontId="3" fillId="3" borderId="0" applyAlignment="1" pivotButton="0" quotePrefix="0" xfId="0">
      <alignment horizontal="right" vertical="center"/>
    </xf>
    <xf numFmtId="4" fontId="3" fillId="4" borderId="0" applyAlignment="1" pivotButton="0" quotePrefix="0" xfId="0">
      <alignment horizontal="right" vertical="center"/>
    </xf>
    <xf numFmtId="164" fontId="3" fillId="4" borderId="0" applyAlignment="1" pivotButton="0" quotePrefix="0" xfId="0">
      <alignment horizontal="right" vertical="center"/>
    </xf>
    <xf numFmtId="164" fontId="2" fillId="3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center" vertical="center"/>
    </xf>
    <xf numFmtId="4" fontId="2" fillId="4" borderId="1" applyAlignment="1" pivotButton="0" quotePrefix="0" xfId="0">
      <alignment horizontal="right" vertical="center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5" customWidth="1" min="3" max="3"/>
    <col width="8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 ht="26" customHeight="1">
      <c r="A1" s="1" t="inlineStr">
        <is>
          <t>리스 상각표 (선납+단품+결합) — 내 방식·단수조정 없음 (실제 엑셀 함수)</t>
        </is>
      </c>
    </row>
    <row r="2">
      <c r="B2" s="2" t="n">
        <v>60</v>
      </c>
      <c r="D2" s="3" t="inlineStr">
        <is>
          <t>회차</t>
        </is>
      </c>
      <c r="E2" s="3" t="inlineStr">
        <is>
          <t>기초</t>
        </is>
      </c>
      <c r="F2" s="3" t="inlineStr">
        <is>
          <t>이자</t>
        </is>
      </c>
      <c r="G2" s="3" t="inlineStr">
        <is>
          <t>리스료</t>
        </is>
      </c>
      <c r="H2" s="3" t="inlineStr">
        <is>
          <t>기말</t>
        </is>
      </c>
    </row>
    <row r="3">
      <c r="B3" s="4" t="n">
        <v>0.0357</v>
      </c>
      <c r="D3" s="5" t="n">
        <v>0</v>
      </c>
      <c r="E3" s="6" t="n"/>
      <c r="F3" s="6" t="n"/>
      <c r="G3" s="6" t="n"/>
      <c r="H3" s="6">
        <f>B15</f>
        <v/>
      </c>
    </row>
    <row r="4">
      <c r="B4" s="2" t="n">
        <v>27</v>
      </c>
      <c r="D4" s="7" t="n">
        <v>1</v>
      </c>
      <c r="E4" s="8">
        <f>H3</f>
        <v/>
      </c>
      <c r="F4" s="8">
        <f>E4*$B$16*$B$4/$B$5</f>
        <v/>
      </c>
      <c r="G4" s="8">
        <f>-$B$14*$B$4/$B$5</f>
        <v/>
      </c>
      <c r="H4" s="8">
        <f>E4+F4+G4</f>
        <v/>
      </c>
    </row>
    <row r="5">
      <c r="B5" s="2" t="n">
        <v>31</v>
      </c>
      <c r="D5" s="5" t="n">
        <v>2</v>
      </c>
      <c r="E5" s="6">
        <f>H4</f>
        <v/>
      </c>
      <c r="F5" s="6">
        <f>E5*$B$16</f>
        <v/>
      </c>
      <c r="G5" s="6">
        <f>-$B$14</f>
        <v/>
      </c>
      <c r="H5" s="6">
        <f>E5+F5+G5</f>
        <v/>
      </c>
    </row>
    <row r="6">
      <c r="B6" s="2" t="n">
        <v>7428000</v>
      </c>
      <c r="D6" s="7" t="n">
        <v>3</v>
      </c>
      <c r="E6" s="8">
        <f>H5</f>
        <v/>
      </c>
      <c r="F6" s="8">
        <f>E6*$B$16</f>
        <v/>
      </c>
      <c r="G6" s="8">
        <f>-$B$14</f>
        <v/>
      </c>
      <c r="H6" s="8">
        <f>E6+F6+G6</f>
        <v/>
      </c>
    </row>
    <row r="7">
      <c r="B7" s="2" t="n">
        <v>5290000</v>
      </c>
      <c r="D7" s="5" t="n">
        <v>4</v>
      </c>
      <c r="E7" s="6">
        <f>H6</f>
        <v/>
      </c>
      <c r="F7" s="6">
        <f>E7*$B$16</f>
        <v/>
      </c>
      <c r="G7" s="6">
        <f>-$B$14</f>
        <v/>
      </c>
      <c r="H7" s="6">
        <f>E7+F7+G7</f>
        <v/>
      </c>
    </row>
    <row r="8">
      <c r="B8" s="9">
        <f>ROUND(B7/1.1,0)</f>
        <v/>
      </c>
      <c r="D8" s="7" t="n">
        <v>5</v>
      </c>
      <c r="E8" s="8">
        <f>H7</f>
        <v/>
      </c>
      <c r="F8" s="8">
        <f>E8*$B$16</f>
        <v/>
      </c>
      <c r="G8" s="8">
        <f>-$B$14</f>
        <v/>
      </c>
      <c r="H8" s="8">
        <f>E8+F8+G8</f>
        <v/>
      </c>
    </row>
    <row r="9">
      <c r="B9" s="2" t="n">
        <v>414000</v>
      </c>
      <c r="D9" s="5" t="n">
        <v>6</v>
      </c>
      <c r="E9" s="6">
        <f>H8</f>
        <v/>
      </c>
      <c r="F9" s="6">
        <f>E9*$B$16</f>
        <v/>
      </c>
      <c r="G9" s="6">
        <f>-$B$14</f>
        <v/>
      </c>
      <c r="H9" s="6">
        <f>E9+F9+G9</f>
        <v/>
      </c>
    </row>
    <row r="10">
      <c r="B10" s="2" t="n">
        <v>54000</v>
      </c>
      <c r="D10" s="7" t="n">
        <v>7</v>
      </c>
      <c r="E10" s="8">
        <f>H9</f>
        <v/>
      </c>
      <c r="F10" s="8">
        <f>E10*$B$16</f>
        <v/>
      </c>
      <c r="G10" s="8">
        <f>-$B$14</f>
        <v/>
      </c>
      <c r="H10" s="8">
        <f>E10+F10+G10</f>
        <v/>
      </c>
    </row>
    <row r="11">
      <c r="B11" s="2" t="n">
        <v>744000</v>
      </c>
      <c r="D11" s="5" t="n">
        <v>8</v>
      </c>
      <c r="E11" s="6">
        <f>H10</f>
        <v/>
      </c>
      <c r="F11" s="6">
        <f>E11*$B$16</f>
        <v/>
      </c>
      <c r="G11" s="6">
        <f>-$B$14</f>
        <v/>
      </c>
      <c r="H11" s="6">
        <f>E11+F11+G11</f>
        <v/>
      </c>
    </row>
    <row r="12">
      <c r="B12" s="2" t="n">
        <v>1044000</v>
      </c>
      <c r="D12" s="7" t="n">
        <v>9</v>
      </c>
      <c r="E12" s="8">
        <f>H11</f>
        <v/>
      </c>
      <c r="F12" s="8">
        <f>E12*$B$16</f>
        <v/>
      </c>
      <c r="G12" s="8">
        <f>-$B$14</f>
        <v/>
      </c>
      <c r="H12" s="8">
        <f>E12+F12+G12</f>
        <v/>
      </c>
    </row>
    <row r="13">
      <c r="B13" s="9">
        <f>(B6-B9-B10)-B11-B12</f>
        <v/>
      </c>
      <c r="D13" s="5" t="n">
        <v>10</v>
      </c>
      <c r="E13" s="6">
        <f>H12</f>
        <v/>
      </c>
      <c r="F13" s="6">
        <f>E13*$B$16</f>
        <v/>
      </c>
      <c r="G13" s="6">
        <f>-$B$14</f>
        <v/>
      </c>
      <c r="H13" s="6">
        <f>E13+F13+G13</f>
        <v/>
      </c>
    </row>
    <row r="14">
      <c r="B14" s="10">
        <f>B13/B2</f>
        <v/>
      </c>
      <c r="D14" s="7" t="n">
        <v>11</v>
      </c>
      <c r="E14" s="8">
        <f>H13</f>
        <v/>
      </c>
      <c r="F14" s="8">
        <f>E14*$B$16</f>
        <v/>
      </c>
      <c r="G14" s="8">
        <f>-$B$14</f>
        <v/>
      </c>
      <c r="H14" s="8">
        <f>E14+F14+G14</f>
        <v/>
      </c>
    </row>
    <row r="15">
      <c r="B15" s="11">
        <f>MIN(B8,PV(B3/12,B2,-(B6-B9-B10-B12)/B2))-B11</f>
        <v/>
      </c>
      <c r="D15" s="5" t="n">
        <v>12</v>
      </c>
      <c r="E15" s="6">
        <f>H14</f>
        <v/>
      </c>
      <c r="F15" s="6">
        <f>E15*$B$16</f>
        <v/>
      </c>
      <c r="G15" s="6">
        <f>-$B$14</f>
        <v/>
      </c>
      <c r="H15" s="6">
        <f>E15+F15+G15</f>
        <v/>
      </c>
    </row>
    <row r="16">
      <c r="B16" s="12">
        <f>RATE(B2,-B14,B15)</f>
        <v/>
      </c>
      <c r="D16" s="7" t="n">
        <v>13</v>
      </c>
      <c r="E16" s="8">
        <f>H15</f>
        <v/>
      </c>
      <c r="F16" s="8">
        <f>E16*$B$16</f>
        <v/>
      </c>
      <c r="G16" s="8">
        <f>-$B$14</f>
        <v/>
      </c>
      <c r="H16" s="8">
        <f>E16+F16+G16</f>
        <v/>
      </c>
    </row>
    <row r="17">
      <c r="B17" s="13">
        <f>B16*12</f>
        <v/>
      </c>
      <c r="D17" s="5" t="n">
        <v>14</v>
      </c>
      <c r="E17" s="6">
        <f>H16</f>
        <v/>
      </c>
      <c r="F17" s="6">
        <f>E17*$B$16</f>
        <v/>
      </c>
      <c r="G17" s="6">
        <f>-$B$14</f>
        <v/>
      </c>
      <c r="H17" s="6">
        <f>E17+F17+G17</f>
        <v/>
      </c>
    </row>
    <row r="18">
      <c r="D18" s="7" t="n">
        <v>15</v>
      </c>
      <c r="E18" s="8">
        <f>H17</f>
        <v/>
      </c>
      <c r="F18" s="8">
        <f>E18*$B$16</f>
        <v/>
      </c>
      <c r="G18" s="8">
        <f>-$B$14</f>
        <v/>
      </c>
      <c r="H18" s="8">
        <f>E18+F18+G18</f>
        <v/>
      </c>
    </row>
    <row r="19">
      <c r="D19" s="5" t="n">
        <v>16</v>
      </c>
      <c r="E19" s="6">
        <f>H18</f>
        <v/>
      </c>
      <c r="F19" s="6">
        <f>E19*$B$16</f>
        <v/>
      </c>
      <c r="G19" s="6">
        <f>-$B$14</f>
        <v/>
      </c>
      <c r="H19" s="6">
        <f>E19+F19+G19</f>
        <v/>
      </c>
    </row>
    <row r="20">
      <c r="D20" s="7" t="n">
        <v>17</v>
      </c>
      <c r="E20" s="8">
        <f>H19</f>
        <v/>
      </c>
      <c r="F20" s="8">
        <f>E20*$B$16</f>
        <v/>
      </c>
      <c r="G20" s="8">
        <f>-$B$14</f>
        <v/>
      </c>
      <c r="H20" s="8">
        <f>E20+F20+G20</f>
        <v/>
      </c>
    </row>
    <row r="21">
      <c r="D21" s="5" t="n">
        <v>18</v>
      </c>
      <c r="E21" s="6">
        <f>H20</f>
        <v/>
      </c>
      <c r="F21" s="6">
        <f>E21*$B$16</f>
        <v/>
      </c>
      <c r="G21" s="6">
        <f>-$B$14</f>
        <v/>
      </c>
      <c r="H21" s="6">
        <f>E21+F21+G21</f>
        <v/>
      </c>
    </row>
    <row r="22">
      <c r="D22" s="7" t="n">
        <v>19</v>
      </c>
      <c r="E22" s="8">
        <f>H21</f>
        <v/>
      </c>
      <c r="F22" s="8">
        <f>E22*$B$16</f>
        <v/>
      </c>
      <c r="G22" s="8">
        <f>-$B$14</f>
        <v/>
      </c>
      <c r="H22" s="8">
        <f>E22+F22+G22</f>
        <v/>
      </c>
    </row>
    <row r="23">
      <c r="D23" s="5" t="n">
        <v>20</v>
      </c>
      <c r="E23" s="6">
        <f>H22</f>
        <v/>
      </c>
      <c r="F23" s="6">
        <f>E23*$B$16</f>
        <v/>
      </c>
      <c r="G23" s="6">
        <f>-$B$14</f>
        <v/>
      </c>
      <c r="H23" s="6">
        <f>E23+F23+G23</f>
        <v/>
      </c>
    </row>
    <row r="24">
      <c r="D24" s="7" t="n">
        <v>21</v>
      </c>
      <c r="E24" s="8">
        <f>H23</f>
        <v/>
      </c>
      <c r="F24" s="8">
        <f>E24*$B$16</f>
        <v/>
      </c>
      <c r="G24" s="8">
        <f>-$B$14</f>
        <v/>
      </c>
      <c r="H24" s="8">
        <f>E24+F24+G24</f>
        <v/>
      </c>
    </row>
    <row r="25">
      <c r="D25" s="5" t="n">
        <v>22</v>
      </c>
      <c r="E25" s="6">
        <f>H24</f>
        <v/>
      </c>
      <c r="F25" s="6">
        <f>E25*$B$16</f>
        <v/>
      </c>
      <c r="G25" s="6">
        <f>-$B$14</f>
        <v/>
      </c>
      <c r="H25" s="6">
        <f>E25+F25+G25</f>
        <v/>
      </c>
    </row>
    <row r="26">
      <c r="D26" s="7" t="n">
        <v>23</v>
      </c>
      <c r="E26" s="8">
        <f>H25</f>
        <v/>
      </c>
      <c r="F26" s="8">
        <f>E26*$B$16</f>
        <v/>
      </c>
      <c r="G26" s="8">
        <f>-$B$14</f>
        <v/>
      </c>
      <c r="H26" s="8">
        <f>E26+F26+G26</f>
        <v/>
      </c>
    </row>
    <row r="27">
      <c r="D27" s="5" t="n">
        <v>24</v>
      </c>
      <c r="E27" s="6">
        <f>H26</f>
        <v/>
      </c>
      <c r="F27" s="6">
        <f>E27*$B$16</f>
        <v/>
      </c>
      <c r="G27" s="6">
        <f>-$B$14</f>
        <v/>
      </c>
      <c r="H27" s="6">
        <f>E27+F27+G27</f>
        <v/>
      </c>
    </row>
    <row r="28">
      <c r="D28" s="7" t="n">
        <v>25</v>
      </c>
      <c r="E28" s="8">
        <f>H27</f>
        <v/>
      </c>
      <c r="F28" s="8">
        <f>E28*$B$16</f>
        <v/>
      </c>
      <c r="G28" s="8">
        <f>-$B$14</f>
        <v/>
      </c>
      <c r="H28" s="8">
        <f>E28+F28+G28</f>
        <v/>
      </c>
    </row>
    <row r="29">
      <c r="D29" s="5" t="n">
        <v>26</v>
      </c>
      <c r="E29" s="6">
        <f>H28</f>
        <v/>
      </c>
      <c r="F29" s="6">
        <f>E29*$B$16</f>
        <v/>
      </c>
      <c r="G29" s="6">
        <f>-$B$14</f>
        <v/>
      </c>
      <c r="H29" s="6">
        <f>E29+F29+G29</f>
        <v/>
      </c>
    </row>
    <row r="30">
      <c r="D30" s="7" t="n">
        <v>27</v>
      </c>
      <c r="E30" s="8">
        <f>H29</f>
        <v/>
      </c>
      <c r="F30" s="8">
        <f>E30*$B$16</f>
        <v/>
      </c>
      <c r="G30" s="8">
        <f>-$B$14</f>
        <v/>
      </c>
      <c r="H30" s="8">
        <f>E30+F30+G30</f>
        <v/>
      </c>
    </row>
    <row r="31">
      <c r="D31" s="5" t="n">
        <v>28</v>
      </c>
      <c r="E31" s="6">
        <f>H30</f>
        <v/>
      </c>
      <c r="F31" s="6">
        <f>E31*$B$16</f>
        <v/>
      </c>
      <c r="G31" s="6">
        <f>-$B$14</f>
        <v/>
      </c>
      <c r="H31" s="6">
        <f>E31+F31+G31</f>
        <v/>
      </c>
    </row>
    <row r="32">
      <c r="D32" s="7" t="n">
        <v>29</v>
      </c>
      <c r="E32" s="8">
        <f>H31</f>
        <v/>
      </c>
      <c r="F32" s="8">
        <f>E32*$B$16</f>
        <v/>
      </c>
      <c r="G32" s="8">
        <f>-$B$14</f>
        <v/>
      </c>
      <c r="H32" s="8">
        <f>E32+F32+G32</f>
        <v/>
      </c>
    </row>
    <row r="33">
      <c r="D33" s="5" t="n">
        <v>30</v>
      </c>
      <c r="E33" s="6">
        <f>H32</f>
        <v/>
      </c>
      <c r="F33" s="6">
        <f>E33*$B$16</f>
        <v/>
      </c>
      <c r="G33" s="6">
        <f>-$B$14</f>
        <v/>
      </c>
      <c r="H33" s="6">
        <f>E33+F33+G33</f>
        <v/>
      </c>
    </row>
    <row r="34">
      <c r="D34" s="7" t="n">
        <v>31</v>
      </c>
      <c r="E34" s="8">
        <f>H33</f>
        <v/>
      </c>
      <c r="F34" s="8">
        <f>E34*$B$16</f>
        <v/>
      </c>
      <c r="G34" s="8">
        <f>-$B$14</f>
        <v/>
      </c>
      <c r="H34" s="8">
        <f>E34+F34+G34</f>
        <v/>
      </c>
    </row>
    <row r="35">
      <c r="D35" s="5" t="n">
        <v>32</v>
      </c>
      <c r="E35" s="6">
        <f>H34</f>
        <v/>
      </c>
      <c r="F35" s="6">
        <f>E35*$B$16</f>
        <v/>
      </c>
      <c r="G35" s="6">
        <f>-$B$14</f>
        <v/>
      </c>
      <c r="H35" s="6">
        <f>E35+F35+G35</f>
        <v/>
      </c>
    </row>
    <row r="36">
      <c r="D36" s="7" t="n">
        <v>33</v>
      </c>
      <c r="E36" s="8">
        <f>H35</f>
        <v/>
      </c>
      <c r="F36" s="8">
        <f>E36*$B$16</f>
        <v/>
      </c>
      <c r="G36" s="8">
        <f>-$B$14</f>
        <v/>
      </c>
      <c r="H36" s="8">
        <f>E36+F36+G36</f>
        <v/>
      </c>
    </row>
    <row r="37">
      <c r="D37" s="5" t="n">
        <v>34</v>
      </c>
      <c r="E37" s="6">
        <f>H36</f>
        <v/>
      </c>
      <c r="F37" s="6">
        <f>E37*$B$16</f>
        <v/>
      </c>
      <c r="G37" s="6">
        <f>-$B$14</f>
        <v/>
      </c>
      <c r="H37" s="6">
        <f>E37+F37+G37</f>
        <v/>
      </c>
    </row>
    <row r="38">
      <c r="D38" s="7" t="n">
        <v>35</v>
      </c>
      <c r="E38" s="8">
        <f>H37</f>
        <v/>
      </c>
      <c r="F38" s="8">
        <f>E38*$B$16</f>
        <v/>
      </c>
      <c r="G38" s="8">
        <f>-$B$14</f>
        <v/>
      </c>
      <c r="H38" s="8">
        <f>E38+F38+G38</f>
        <v/>
      </c>
    </row>
    <row r="39">
      <c r="D39" s="5" t="n">
        <v>36</v>
      </c>
      <c r="E39" s="6">
        <f>H38</f>
        <v/>
      </c>
      <c r="F39" s="6">
        <f>E39*$B$16</f>
        <v/>
      </c>
      <c r="G39" s="6">
        <f>-$B$14</f>
        <v/>
      </c>
      <c r="H39" s="6">
        <f>E39+F39+G39</f>
        <v/>
      </c>
    </row>
    <row r="40">
      <c r="D40" s="7" t="n">
        <v>37</v>
      </c>
      <c r="E40" s="8">
        <f>H39</f>
        <v/>
      </c>
      <c r="F40" s="8">
        <f>E40*$B$16</f>
        <v/>
      </c>
      <c r="G40" s="8">
        <f>-$B$14</f>
        <v/>
      </c>
      <c r="H40" s="8">
        <f>E40+F40+G40</f>
        <v/>
      </c>
    </row>
    <row r="41">
      <c r="D41" s="5" t="n">
        <v>38</v>
      </c>
      <c r="E41" s="6">
        <f>H40</f>
        <v/>
      </c>
      <c r="F41" s="6">
        <f>E41*$B$16</f>
        <v/>
      </c>
      <c r="G41" s="6">
        <f>-$B$14</f>
        <v/>
      </c>
      <c r="H41" s="6">
        <f>E41+F41+G41</f>
        <v/>
      </c>
    </row>
    <row r="42">
      <c r="D42" s="7" t="n">
        <v>39</v>
      </c>
      <c r="E42" s="8">
        <f>H41</f>
        <v/>
      </c>
      <c r="F42" s="8">
        <f>E42*$B$16</f>
        <v/>
      </c>
      <c r="G42" s="8">
        <f>-$B$14</f>
        <v/>
      </c>
      <c r="H42" s="8">
        <f>E42+F42+G42</f>
        <v/>
      </c>
    </row>
    <row r="43">
      <c r="D43" s="5" t="n">
        <v>40</v>
      </c>
      <c r="E43" s="6">
        <f>H42</f>
        <v/>
      </c>
      <c r="F43" s="6">
        <f>E43*$B$16</f>
        <v/>
      </c>
      <c r="G43" s="6">
        <f>-$B$14</f>
        <v/>
      </c>
      <c r="H43" s="6">
        <f>E43+F43+G43</f>
        <v/>
      </c>
    </row>
    <row r="44">
      <c r="D44" s="7" t="n">
        <v>41</v>
      </c>
      <c r="E44" s="8">
        <f>H43</f>
        <v/>
      </c>
      <c r="F44" s="8">
        <f>E44*$B$16</f>
        <v/>
      </c>
      <c r="G44" s="8">
        <f>-$B$14</f>
        <v/>
      </c>
      <c r="H44" s="8">
        <f>E44+F44+G44</f>
        <v/>
      </c>
    </row>
    <row r="45">
      <c r="D45" s="5" t="n">
        <v>42</v>
      </c>
      <c r="E45" s="6">
        <f>H44</f>
        <v/>
      </c>
      <c r="F45" s="6">
        <f>E45*$B$16</f>
        <v/>
      </c>
      <c r="G45" s="6">
        <f>-$B$14</f>
        <v/>
      </c>
      <c r="H45" s="6">
        <f>E45+F45+G45</f>
        <v/>
      </c>
    </row>
    <row r="46">
      <c r="D46" s="7" t="n">
        <v>43</v>
      </c>
      <c r="E46" s="8">
        <f>H45</f>
        <v/>
      </c>
      <c r="F46" s="8">
        <f>E46*$B$16</f>
        <v/>
      </c>
      <c r="G46" s="8">
        <f>-$B$14</f>
        <v/>
      </c>
      <c r="H46" s="8">
        <f>E46+F46+G46</f>
        <v/>
      </c>
    </row>
    <row r="47">
      <c r="D47" s="5" t="n">
        <v>44</v>
      </c>
      <c r="E47" s="6">
        <f>H46</f>
        <v/>
      </c>
      <c r="F47" s="6">
        <f>E47*$B$16</f>
        <v/>
      </c>
      <c r="G47" s="6">
        <f>-$B$14</f>
        <v/>
      </c>
      <c r="H47" s="6">
        <f>E47+F47+G47</f>
        <v/>
      </c>
    </row>
    <row r="48">
      <c r="D48" s="7" t="n">
        <v>45</v>
      </c>
      <c r="E48" s="8">
        <f>H47</f>
        <v/>
      </c>
      <c r="F48" s="8">
        <f>E48*$B$16</f>
        <v/>
      </c>
      <c r="G48" s="8">
        <f>-$B$14</f>
        <v/>
      </c>
      <c r="H48" s="8">
        <f>E48+F48+G48</f>
        <v/>
      </c>
    </row>
    <row r="49">
      <c r="D49" s="5" t="n">
        <v>46</v>
      </c>
      <c r="E49" s="6">
        <f>H48</f>
        <v/>
      </c>
      <c r="F49" s="6">
        <f>E49*$B$16</f>
        <v/>
      </c>
      <c r="G49" s="6">
        <f>-$B$14</f>
        <v/>
      </c>
      <c r="H49" s="6">
        <f>E49+F49+G49</f>
        <v/>
      </c>
    </row>
    <row r="50">
      <c r="D50" s="7" t="n">
        <v>47</v>
      </c>
      <c r="E50" s="8">
        <f>H49</f>
        <v/>
      </c>
      <c r="F50" s="8">
        <f>E50*$B$16</f>
        <v/>
      </c>
      <c r="G50" s="8">
        <f>-$B$14</f>
        <v/>
      </c>
      <c r="H50" s="8">
        <f>E50+F50+G50</f>
        <v/>
      </c>
    </row>
    <row r="51">
      <c r="D51" s="5" t="n">
        <v>48</v>
      </c>
      <c r="E51" s="6">
        <f>H50</f>
        <v/>
      </c>
      <c r="F51" s="6">
        <f>E51*$B$16</f>
        <v/>
      </c>
      <c r="G51" s="6">
        <f>-$B$14</f>
        <v/>
      </c>
      <c r="H51" s="6">
        <f>E51+F51+G51</f>
        <v/>
      </c>
    </row>
    <row r="52">
      <c r="D52" s="7" t="n">
        <v>49</v>
      </c>
      <c r="E52" s="8">
        <f>H51</f>
        <v/>
      </c>
      <c r="F52" s="8">
        <f>E52*$B$16</f>
        <v/>
      </c>
      <c r="G52" s="8">
        <f>-$B$14</f>
        <v/>
      </c>
      <c r="H52" s="8">
        <f>E52+F52+G52</f>
        <v/>
      </c>
    </row>
    <row r="53">
      <c r="D53" s="5" t="n">
        <v>50</v>
      </c>
      <c r="E53" s="6">
        <f>H52</f>
        <v/>
      </c>
      <c r="F53" s="6">
        <f>E53*$B$16</f>
        <v/>
      </c>
      <c r="G53" s="6">
        <f>-$B$14</f>
        <v/>
      </c>
      <c r="H53" s="6">
        <f>E53+F53+G53</f>
        <v/>
      </c>
    </row>
    <row r="54">
      <c r="D54" s="7" t="n">
        <v>51</v>
      </c>
      <c r="E54" s="8">
        <f>H53</f>
        <v/>
      </c>
      <c r="F54" s="8">
        <f>E54*$B$16</f>
        <v/>
      </c>
      <c r="G54" s="8">
        <f>-$B$14</f>
        <v/>
      </c>
      <c r="H54" s="8">
        <f>E54+F54+G54</f>
        <v/>
      </c>
    </row>
    <row r="55">
      <c r="D55" s="5" t="n">
        <v>52</v>
      </c>
      <c r="E55" s="6">
        <f>H54</f>
        <v/>
      </c>
      <c r="F55" s="6">
        <f>E55*$B$16</f>
        <v/>
      </c>
      <c r="G55" s="6">
        <f>-$B$14</f>
        <v/>
      </c>
      <c r="H55" s="6">
        <f>E55+F55+G55</f>
        <v/>
      </c>
    </row>
    <row r="56">
      <c r="D56" s="7" t="n">
        <v>53</v>
      </c>
      <c r="E56" s="8">
        <f>H55</f>
        <v/>
      </c>
      <c r="F56" s="8">
        <f>E56*$B$16</f>
        <v/>
      </c>
      <c r="G56" s="8">
        <f>-$B$14</f>
        <v/>
      </c>
      <c r="H56" s="8">
        <f>E56+F56+G56</f>
        <v/>
      </c>
    </row>
    <row r="57">
      <c r="D57" s="5" t="n">
        <v>54</v>
      </c>
      <c r="E57" s="6">
        <f>H56</f>
        <v/>
      </c>
      <c r="F57" s="6">
        <f>E57*$B$16</f>
        <v/>
      </c>
      <c r="G57" s="6">
        <f>-$B$14</f>
        <v/>
      </c>
      <c r="H57" s="6">
        <f>E57+F57+G57</f>
        <v/>
      </c>
    </row>
    <row r="58">
      <c r="D58" s="7" t="n">
        <v>55</v>
      </c>
      <c r="E58" s="8">
        <f>H57</f>
        <v/>
      </c>
      <c r="F58" s="8">
        <f>E58*$B$16</f>
        <v/>
      </c>
      <c r="G58" s="8">
        <f>-$B$14</f>
        <v/>
      </c>
      <c r="H58" s="8">
        <f>E58+F58+G58</f>
        <v/>
      </c>
    </row>
    <row r="59">
      <c r="D59" s="5" t="n">
        <v>56</v>
      </c>
      <c r="E59" s="6">
        <f>H58</f>
        <v/>
      </c>
      <c r="F59" s="6">
        <f>E59*$B$16</f>
        <v/>
      </c>
      <c r="G59" s="6">
        <f>-$B$14</f>
        <v/>
      </c>
      <c r="H59" s="6">
        <f>E59+F59+G59</f>
        <v/>
      </c>
    </row>
    <row r="60">
      <c r="D60" s="7" t="n">
        <v>57</v>
      </c>
      <c r="E60" s="8">
        <f>H59</f>
        <v/>
      </c>
      <c r="F60" s="8">
        <f>E60*$B$16</f>
        <v/>
      </c>
      <c r="G60" s="8">
        <f>-$B$14</f>
        <v/>
      </c>
      <c r="H60" s="8">
        <f>E60+F60+G60</f>
        <v/>
      </c>
    </row>
    <row r="61">
      <c r="D61" s="5" t="n">
        <v>58</v>
      </c>
      <c r="E61" s="6">
        <f>H60</f>
        <v/>
      </c>
      <c r="F61" s="6">
        <f>E61*$B$16</f>
        <v/>
      </c>
      <c r="G61" s="6">
        <f>-$B$14</f>
        <v/>
      </c>
      <c r="H61" s="6">
        <f>E61+F61+G61</f>
        <v/>
      </c>
    </row>
    <row r="62">
      <c r="D62" s="7" t="n">
        <v>59</v>
      </c>
      <c r="E62" s="8">
        <f>H61</f>
        <v/>
      </c>
      <c r="F62" s="8">
        <f>E62*$B$16</f>
        <v/>
      </c>
      <c r="G62" s="8">
        <f>-$B$14</f>
        <v/>
      </c>
      <c r="H62" s="8">
        <f>E62+F62+G62</f>
        <v/>
      </c>
    </row>
    <row r="63">
      <c r="D63" s="5" t="n">
        <v>60</v>
      </c>
      <c r="E63" s="6">
        <f>H62</f>
        <v/>
      </c>
      <c r="F63" s="6">
        <f>E63*$B$16</f>
        <v/>
      </c>
      <c r="G63" s="6">
        <f>-$B$14</f>
        <v/>
      </c>
      <c r="H63" s="6">
        <f>E63+F63+G63</f>
        <v/>
      </c>
    </row>
    <row r="64">
      <c r="D64" s="14" t="n">
        <v>61</v>
      </c>
      <c r="E64" s="15">
        <f>H63</f>
        <v/>
      </c>
      <c r="F64" s="15">
        <f>E64*$B$16</f>
        <v/>
      </c>
      <c r="G64" s="15">
        <f>-($B$14-$B$14*$B$4/$B$5)</f>
        <v/>
      </c>
      <c r="H64" s="15">
        <f>E64+F64+G64</f>
        <v/>
      </c>
    </row>
    <row r="66" ht="28" customHeight="1">
      <c r="A66" s="16" t="inlineStr">
        <is>
          <t>※ '리스 상각표 (선납+단품+결합)' 시트 값 기준: 리스채권 4,065,091 · 순수구독료 5,172,000 · 리스료 86,200 · 연이자율 9.91%.</t>
        </is>
      </c>
    </row>
    <row r="67" ht="28" customHeight="1">
      <c r="A67" s="16" t="inlineStr">
        <is>
          <t>※ 이자=기초×월이자율(1회차만 ×27/31), 리스료=86,200(부분월 비례), ROUND 전부 제거 → 막달 기말 정확히 0. 입력 바꾸면 자동 재계산. (제품v- 한 곳만 시트와 동일하게 ROUND)</t>
        </is>
      </c>
    </row>
  </sheetData>
  <mergeCells count="3">
    <mergeCell ref="A67:H67"/>
    <mergeCell ref="A66:H6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2026-06-14T23:46:26Z</dcterms:created>
  <dcterms:modified xsi:type="dcterms:W3CDTF">2026-06-14T23:46:26Z</dcterms:modified>
</cp:coreProperties>
</file>
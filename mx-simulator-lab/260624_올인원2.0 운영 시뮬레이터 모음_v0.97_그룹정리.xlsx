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worksheets/sheet16.xml" ContentType="application/vnd.openxmlformats-officedocument.spreadsheetml.worksheet+xml"/>
  <Override PartName="/xl/comments/comment4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omments/comment5.xml" ContentType="application/vnd.openxmlformats-officedocument.spreadsheetml.comments+xml"/>
  <Override PartName="/xl/worksheets/sheet33.xml" ContentType="application/vnd.openxmlformats-officedocument.spreadsheetml.worksheet+xml"/>
  <Override PartName="/xl/comments/comment6.xml" ContentType="application/vnd.openxmlformats-officedocument.spreadsheetml.comments+xml"/>
  <Override PartName="/xl/worksheets/sheet34.xml" ContentType="application/vnd.openxmlformats-officedocument.spreadsheetml.worksheet+xml"/>
  <Override PartName="/xl/comments/comment7.xml" ContentType="application/vnd.openxmlformats-officedocument.spreadsheetml.comments+xml"/>
  <Override PartName="/xl/worksheets/sheet35.xml" ContentType="application/vnd.openxmlformats-officedocument.spreadsheetml.worksheet+xml"/>
  <Override PartName="/xl/comments/comment8.xml" ContentType="application/vnd.openxmlformats-officedocument.spreadsheetml.comments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comments/comment9.xml" ContentType="application/vnd.openxmlformats-officedocument.spreadsheetml.comments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899" firstSheet="0" activeTab="0" autoFilterDateGrouping="1"/>
  </bookViews>
  <sheets>
    <sheet name="📋 목차" sheetId="1" state="visible" r:id="rId1"/>
    <sheet name="v0.96 변경내역" sheetId="2" state="visible" r:id="rId2"/>
    <sheet name="리스 상각표(CE) (할인분배)" sheetId="3" state="visible" r:id="rId3"/>
    <sheet name="리스 상각표 (할인전, 선납반영 후) (할인분배)" sheetId="4" state="visible" r:id="rId4"/>
    <sheet name="리스 상각표 (결합할인,A해지,월할) (할인분배)" sheetId="5" state="visible" r:id="rId5"/>
    <sheet name="정상만기(CE) (할인분배)" sheetId="6" state="visible" r:id="rId6"/>
    <sheet name="정상만기(MX) (할인분배)" sheetId="7" state="visible" r:id="rId7"/>
    <sheet name="중도해지_선납,선납할인 (할인분배)" sheetId="8" state="visible" r:id="rId8"/>
    <sheet name="중도해지_선납,선납할인_MX (할인분배)" sheetId="9" state="visible" r:id="rId9"/>
    <sheet name="중도해지_선납,선납할인,단품할인 (할인분배)" sheetId="10" state="visible" r:id="rId10"/>
    <sheet name="중도해지(할인분배)" sheetId="11" state="visible" r:id="rId11"/>
    <sheet name="중도완납_선납_로직변경 (할인분배)" sheetId="12" state="visible" r:id="rId12"/>
    <sheet name="연체미납 강제해지 (계약중지일 기준) (할인분배)" sheetId="13" state="visible" r:id="rId13"/>
    <sheet name="연체미납 강제해지 (계약중지일 기준)_MX (할인분배)" sheetId="14" state="visible" r:id="rId14"/>
    <sheet name="연체미납 강제해지_선납+단품+결합(CE) (할인분배)" sheetId="15" state="visible" r:id="rId15"/>
    <sheet name="할인원복_선납,선납할인,결합할인 (익익월) (할인분배)" sheetId="16" state="visible" r:id="rId16"/>
    <sheet name="할인원복_선납,선납할인,결합할인 (익익월) (6개월면제)" sheetId="17" state="visible" r:id="rId17"/>
    <sheet name="AS미사용 기간 보상 (할인분배)" sheetId="18" state="visible" r:id="rId18"/>
    <sheet name="AS미사용 기간 보상_MX (할인분배)" sheetId="19" state="visible" r:id="rId19"/>
    <sheet name="리스 상각표 (할인전, 선납반영전)" sheetId="20" state="visible" r:id="rId20"/>
    <sheet name="리스 상각표 (할인전, 선납반영 후)" sheetId="21" state="visible" r:id="rId21"/>
    <sheet name="리스 상각표 (선납+단품+결합)" sheetId="22" state="visible" r:id="rId22"/>
    <sheet name="리스 상각표 (결합할인,A해지,월할)" sheetId="23" state="visible" r:id="rId23"/>
    <sheet name="정상만기_선납+단품+결합(CE)" sheetId="24" state="visible" r:id="rId24"/>
    <sheet name="정상만기_선납+단품+결합(MX)" sheetId="25" state="visible" r:id="rId25"/>
    <sheet name="정상만기구독료_첫달,막달 일할" sheetId="26" state="visible" r:id="rId26"/>
    <sheet name="중도해지_선납,선납할인" sheetId="27" state="visible" r:id="rId27"/>
    <sheet name="중도해지_선납,선납할인_MX" sheetId="28" state="visible" r:id="rId28"/>
    <sheet name="중도해지_선납,선납할인,단품할인" sheetId="29" state="visible" r:id="rId29"/>
    <sheet name="중도해지_선납+단품+결합할인" sheetId="30" state="visible" r:id="rId30"/>
    <sheet name="중도완납_선납_로직변경" sheetId="31" state="visible" r:id="rId31"/>
    <sheet name="연체미납 강제해지 (계약중지일 기준)" sheetId="32" state="visible" r:id="rId32"/>
    <sheet name="연체미납 강제해지 (계약중지일 기준)_MX" sheetId="33" state="visible" r:id="rId33"/>
    <sheet name="연체미납 강제해지_선납+단품+결합(CE)" sheetId="34" state="visible" r:id="rId34"/>
    <sheet name="할인원복_선납,선납할인,결합할인 (익익월)" sheetId="35" state="visible" r:id="rId35"/>
    <sheet name="AS미사용 기간 보상" sheetId="36" state="visible" r:id="rId36"/>
    <sheet name="AS미사용 기간 보상_MX" sheetId="37" state="visible" r:id="rId37"/>
    <sheet name="정상만기_선납할인(CE),로직변경" sheetId="38" state="hidden" r:id="rId38"/>
    <sheet name="정상만기구독료_선납,선납할인 (CE)" sheetId="39" state="hidden" r:id="rId39"/>
    <sheet name="정상만기_선납할인(MX),로직변경" sheetId="40" state="hidden" r:id="rId40"/>
    <sheet name="리스 상각표 (선납할인)" sheetId="41" state="hidden" r:id="rId41"/>
    <sheet name="정상만기_단품할인(CE)" sheetId="42" state="hidden" r:id="rId42"/>
    <sheet name="정상만기_단품할인(MX)" sheetId="43" state="hidden" r:id="rId43"/>
    <sheet name="리스 상각표 (단품할인)" sheetId="44" state="hidden" r:id="rId44"/>
    <sheet name="정상만기구독료_선납,선납할인 (MX)_수정필요" sheetId="45" state="hidden" r:id="rId45"/>
    <sheet name="정상만기구독료_선납,선납할인 (할인검토필요)" sheetId="46" state="hidden" r:id="rId46"/>
    <sheet name="정상만기구독료_선납,선납할인 (MX)_수정" sheetId="47" state="hidden" r:id="rId47"/>
    <sheet name="중도해지_선납,선납할인 (간략화)" sheetId="48" state="hidden" r:id="rId48"/>
    <sheet name="연체미납 강제해지 (간략화)" sheetId="49" state="hidden" r:id="rId49"/>
    <sheet name="정상만기구독료_선납,선납할인,차감성 할인" sheetId="50" state="hidden" r:id="rId50"/>
    <sheet name="연체미납 강제해지 (연체3회차밸생월의전월말일기준)" sheetId="51" state="hidden" r:id="rId51"/>
    <sheet name="정상만기구독료_선납,선납할인 (선납계산식 변경)" sheetId="52" state="hidden" r:id="rId52"/>
    <sheet name="할인원복_선납,선납할인,차감성 할인 (일할)" sheetId="53" state="hidden" r:id="rId53"/>
  </sheets>
  <externalReferences>
    <externalReference r:id="rId54"/>
  </externalReferences>
  <definedNames>
    <definedName name="_Order1" hidden="1">255</definedName>
    <definedName name="_Sort" hidden="1">#REF!</definedName>
    <definedName name="_SORT1" hidden="1">#REF!</definedName>
    <definedName name="a" hidden="1">#REF!</definedName>
    <definedName name="ㅁㄴㅇㄹ" hidden="1">#REF!</definedName>
    <definedName name="ㅁㅇ" hidden="1">#REF!</definedName>
    <definedName name="ㅁㅇㄴㄹ" hidden="1">#REF!</definedName>
    <definedName name="_Sort" localSheetId="2" hidden="1">#REF!</definedName>
    <definedName name="_SORT1" localSheetId="2" hidden="1">#REF!</definedName>
    <definedName name="a" localSheetId="2" hidden="1">#REF!</definedName>
    <definedName name="solver_adj" localSheetId="2" hidden="1">'리스 상각표(CE) (할인분배)'!$F$2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'리스 상각표(CE) (할인분배)'!$C$2</definedName>
    <definedName name="solver_pre" localSheetId="2" hidden="1">0.000001</definedName>
    <definedName name="solver_rbv" localSheetId="2" hidden="1">2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842040</definedName>
    <definedName name="solver_ver" localSheetId="2" hidden="1">3</definedName>
    <definedName name="ㅁㄴㅇㄹ" localSheetId="2" hidden="1">#REF!</definedName>
    <definedName name="ㅁㅇ" localSheetId="2" hidden="1">#REF!</definedName>
    <definedName name="ㅁㅇㄴㄹ" localSheetId="2" hidden="1">#REF!</definedName>
    <definedName name="_Sort" localSheetId="3" hidden="1">#REF!</definedName>
    <definedName name="_SORT1" localSheetId="3" hidden="1">#REF!</definedName>
    <definedName name="a" localSheetId="3" hidden="1">#REF!</definedName>
    <definedName name="solver_adj" localSheetId="3" hidden="1">'리스 상각표 (할인전, 선납반영 후) (할인분배)'!$F$2</definedName>
    <definedName name="solver_cvg" localSheetId="3" hidden="1">0.0001</definedName>
    <definedName name="solver_drv" localSheetId="3" hidden="1">2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'리스 상각표 (할인전, 선납반영 후) (할인분배)'!$C$2</definedName>
    <definedName name="solver_pre" localSheetId="3" hidden="1">0.000001</definedName>
    <definedName name="solver_rbv" localSheetId="3" hidden="1">2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842040</definedName>
    <definedName name="solver_ver" localSheetId="3" hidden="1">3</definedName>
    <definedName name="ㅁㄴㅇㄹ" localSheetId="3" hidden="1">#REF!</definedName>
    <definedName name="ㅁㅇ" localSheetId="3" hidden="1">#REF!</definedName>
    <definedName name="ㅁㅇㄴㄹ" localSheetId="3" hidden="1">#REF!</definedName>
    <definedName name="_Sort" localSheetId="4" hidden="1">#REF!</definedName>
    <definedName name="_SORT1" localSheetId="4" hidden="1">#REF!</definedName>
    <definedName name="a" localSheetId="4" hidden="1">#REF!</definedName>
    <definedName name="solver_adj" localSheetId="4" hidden="1">'리스 상각표 (결합할인,A해지,월할) (할인분배)'!$F$2</definedName>
    <definedName name="solver_cvg" localSheetId="4" hidden="1">0.0001</definedName>
    <definedName name="solver_drv" localSheetId="4" hidden="1">2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0</definedName>
    <definedName name="solver_nwt" localSheetId="4" hidden="1">1</definedName>
    <definedName name="solver_opt" localSheetId="4" hidden="1">'리스 상각표 (결합할인,A해지,월할) (할인분배)'!$C$2</definedName>
    <definedName name="solver_pre" localSheetId="4" hidden="1">0.000001</definedName>
    <definedName name="solver_rbv" localSheetId="4" hidden="1">2</definedName>
    <definedName name="solver_rlx" localSheetId="4" hidden="1">2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3</definedName>
    <definedName name="solver_val" localSheetId="4" hidden="1">842040</definedName>
    <definedName name="solver_ver" localSheetId="4" hidden="1">3</definedName>
    <definedName name="ㅁㄴㅇㄹ" localSheetId="4" hidden="1">#REF!</definedName>
    <definedName name="ㅁㅇ" localSheetId="4" hidden="1">#REF!</definedName>
    <definedName name="ㅁㅇㄴㄹ" localSheetId="4" hidden="1">#REF!</definedName>
    <definedName name="_Sort" localSheetId="11" hidden="1">#REF!</definedName>
    <definedName name="_SORT1" localSheetId="11" hidden="1">#REF!</definedName>
    <definedName name="a" localSheetId="11" hidden="1">#REF!</definedName>
    <definedName name="ㅁㄴㅇㄹ" localSheetId="11" hidden="1">#REF!</definedName>
    <definedName name="ㅁㅇ" localSheetId="11" hidden="1">#REF!</definedName>
    <definedName name="ㅁㅇㄴㄹ" localSheetId="11" hidden="1">#REF!</definedName>
    <definedName name="_Sort" localSheetId="15" hidden="1">#REF!</definedName>
    <definedName name="_SORT1" localSheetId="15" hidden="1">#REF!</definedName>
    <definedName name="a" localSheetId="15" hidden="1">#REF!</definedName>
    <definedName name="ㅁㄴㅇㄹ" localSheetId="15" hidden="1">#REF!</definedName>
    <definedName name="ㅁㅇ" localSheetId="15" hidden="1">#REF!</definedName>
    <definedName name="ㅁㅇㄴㄹ" localSheetId="15" hidden="1">#REF!</definedName>
    <definedName name="_Sort" localSheetId="16" hidden="1">#REF!</definedName>
    <definedName name="_SORT1" localSheetId="16" hidden="1">#REF!</definedName>
    <definedName name="a" localSheetId="16" hidden="1">#REF!</definedName>
    <definedName name="ㅁㄴㅇㄹ" localSheetId="16" hidden="1">#REF!</definedName>
    <definedName name="ㅁㅇ" localSheetId="16" hidden="1">#REF!</definedName>
    <definedName name="ㅁㅇㄴㄹ" localSheetId="16" hidden="1">#REF!</definedName>
    <definedName name="_Sort" localSheetId="19" hidden="1">#REF!</definedName>
    <definedName name="_SORT1" localSheetId="19" hidden="1">#REF!</definedName>
    <definedName name="a" localSheetId="19" hidden="1">#REF!</definedName>
    <definedName name="solver_adj" localSheetId="19" hidden="1">'리스 상각표 (할인전, 선납반영전)'!$F$2</definedName>
    <definedName name="solver_cvg" localSheetId="19" hidden="1">0.0001</definedName>
    <definedName name="solver_drv" localSheetId="19" hidden="1">2</definedName>
    <definedName name="solver_eng" localSheetId="19" hidden="1">1</definedName>
    <definedName name="solver_est" localSheetId="19" hidden="1">1</definedName>
    <definedName name="solver_itr" localSheetId="19" hidden="1">2147483647</definedName>
    <definedName name="solver_mip" localSheetId="19" hidden="1">2147483647</definedName>
    <definedName name="solver_mni" localSheetId="19" hidden="1">30</definedName>
    <definedName name="solver_mrt" localSheetId="19" hidden="1">0.075</definedName>
    <definedName name="solver_msl" localSheetId="19" hidden="1">2</definedName>
    <definedName name="solver_neg" localSheetId="19" hidden="1">1</definedName>
    <definedName name="solver_nod" localSheetId="19" hidden="1">2147483647</definedName>
    <definedName name="solver_num" localSheetId="19" hidden="1">0</definedName>
    <definedName name="solver_nwt" localSheetId="19" hidden="1">1</definedName>
    <definedName name="solver_opt" localSheetId="19" hidden="1">'리스 상각표 (할인전, 선납반영전)'!$C$2</definedName>
    <definedName name="solver_pre" localSheetId="19" hidden="1">0.000001</definedName>
    <definedName name="solver_rbv" localSheetId="19" hidden="1">2</definedName>
    <definedName name="solver_rlx" localSheetId="19" hidden="1">2</definedName>
    <definedName name="solver_rsd" localSheetId="19" hidden="1">0</definedName>
    <definedName name="solver_scl" localSheetId="19" hidden="1">2</definedName>
    <definedName name="solver_sho" localSheetId="19" hidden="1">2</definedName>
    <definedName name="solver_ssz" localSheetId="19" hidden="1">100</definedName>
    <definedName name="solver_tim" localSheetId="19" hidden="1">2147483647</definedName>
    <definedName name="solver_tol" localSheetId="19" hidden="1">0.01</definedName>
    <definedName name="solver_typ" localSheetId="19" hidden="1">3</definedName>
    <definedName name="solver_val" localSheetId="19" hidden="1">842040</definedName>
    <definedName name="solver_ver" localSheetId="19" hidden="1">3</definedName>
    <definedName name="ㅁㄴㅇㄹ" localSheetId="19" hidden="1">#REF!</definedName>
    <definedName name="ㅁㅇ" localSheetId="19" hidden="1">#REF!</definedName>
    <definedName name="ㅁㅇㄴㄹ" localSheetId="19" hidden="1">#REF!</definedName>
    <definedName name="_Sort" localSheetId="20" hidden="1">#REF!</definedName>
    <definedName name="_SORT1" localSheetId="20" hidden="1">#REF!</definedName>
    <definedName name="a" localSheetId="20" hidden="1">#REF!</definedName>
    <definedName name="solver_adj" localSheetId="20" hidden="1">'리스 상각표 (할인전, 선납반영 후)'!$F$2</definedName>
    <definedName name="solver_cvg" localSheetId="20" hidden="1">0.0001</definedName>
    <definedName name="solver_drv" localSheetId="20" hidden="1">2</definedName>
    <definedName name="solver_eng" localSheetId="20" hidden="1">1</definedName>
    <definedName name="solver_est" localSheetId="20" hidden="1">1</definedName>
    <definedName name="solver_itr" localSheetId="20" hidden="1">2147483647</definedName>
    <definedName name="solver_mip" localSheetId="20" hidden="1">2147483647</definedName>
    <definedName name="solver_mni" localSheetId="20" hidden="1">30</definedName>
    <definedName name="solver_mrt" localSheetId="20" hidden="1">0.075</definedName>
    <definedName name="solver_msl" localSheetId="20" hidden="1">2</definedName>
    <definedName name="solver_neg" localSheetId="20" hidden="1">1</definedName>
    <definedName name="solver_nod" localSheetId="20" hidden="1">2147483647</definedName>
    <definedName name="solver_num" localSheetId="20" hidden="1">0</definedName>
    <definedName name="solver_nwt" localSheetId="20" hidden="1">1</definedName>
    <definedName name="solver_opt" localSheetId="20" hidden="1">'리스 상각표 (할인전, 선납반영 후)'!$C$2</definedName>
    <definedName name="solver_pre" localSheetId="20" hidden="1">0.000001</definedName>
    <definedName name="solver_rbv" localSheetId="20" hidden="1">2</definedName>
    <definedName name="solver_rlx" localSheetId="20" hidden="1">2</definedName>
    <definedName name="solver_rsd" localSheetId="20" hidden="1">0</definedName>
    <definedName name="solver_scl" localSheetId="20" hidden="1">2</definedName>
    <definedName name="solver_sho" localSheetId="20" hidden="1">2</definedName>
    <definedName name="solver_ssz" localSheetId="20" hidden="1">100</definedName>
    <definedName name="solver_tim" localSheetId="20" hidden="1">2147483647</definedName>
    <definedName name="solver_tol" localSheetId="20" hidden="1">0.01</definedName>
    <definedName name="solver_typ" localSheetId="20" hidden="1">3</definedName>
    <definedName name="solver_val" localSheetId="20" hidden="1">842040</definedName>
    <definedName name="solver_ver" localSheetId="20" hidden="1">3</definedName>
    <definedName name="ㅁㄴㅇㄹ" localSheetId="20" hidden="1">#REF!</definedName>
    <definedName name="ㅁㅇ" localSheetId="20" hidden="1">#REF!</definedName>
    <definedName name="ㅁㅇㄴㄹ" localSheetId="20" hidden="1">#REF!</definedName>
    <definedName name="_Sort" localSheetId="21" hidden="1">#REF!</definedName>
    <definedName name="_SORT1" localSheetId="21" hidden="1">#REF!</definedName>
    <definedName name="a" localSheetId="21" hidden="1">#REF!</definedName>
    <definedName name="solver_adj" localSheetId="21" hidden="1">'리스 상각표 (선납+단품+결합)'!$F$2</definedName>
    <definedName name="solver_cvg" localSheetId="21" hidden="1">0.0001</definedName>
    <definedName name="solver_drv" localSheetId="21" hidden="1">2</definedName>
    <definedName name="solver_eng" localSheetId="21" hidden="1">1</definedName>
    <definedName name="solver_est" localSheetId="21" hidden="1">1</definedName>
    <definedName name="solver_itr" localSheetId="21" hidden="1">2147483647</definedName>
    <definedName name="solver_mip" localSheetId="21" hidden="1">2147483647</definedName>
    <definedName name="solver_mni" localSheetId="21" hidden="1">30</definedName>
    <definedName name="solver_mrt" localSheetId="21" hidden="1">0.075</definedName>
    <definedName name="solver_msl" localSheetId="21" hidden="1">2</definedName>
    <definedName name="solver_neg" localSheetId="21" hidden="1">1</definedName>
    <definedName name="solver_nod" localSheetId="21" hidden="1">2147483647</definedName>
    <definedName name="solver_num" localSheetId="21" hidden="1">0</definedName>
    <definedName name="solver_nwt" localSheetId="21" hidden="1">1</definedName>
    <definedName name="solver_opt" localSheetId="21" hidden="1">'리스 상각표 (선납+단품+결합)'!$C$2</definedName>
    <definedName name="solver_pre" localSheetId="21" hidden="1">0.000001</definedName>
    <definedName name="solver_rbv" localSheetId="21" hidden="1">2</definedName>
    <definedName name="solver_rlx" localSheetId="21" hidden="1">2</definedName>
    <definedName name="solver_rsd" localSheetId="21" hidden="1">0</definedName>
    <definedName name="solver_scl" localSheetId="21" hidden="1">2</definedName>
    <definedName name="solver_sho" localSheetId="21" hidden="1">2</definedName>
    <definedName name="solver_ssz" localSheetId="21" hidden="1">100</definedName>
    <definedName name="solver_tim" localSheetId="21" hidden="1">2147483647</definedName>
    <definedName name="solver_tol" localSheetId="21" hidden="1">0.01</definedName>
    <definedName name="solver_typ" localSheetId="21" hidden="1">3</definedName>
    <definedName name="solver_val" localSheetId="21" hidden="1">842040</definedName>
    <definedName name="solver_ver" localSheetId="21" hidden="1">3</definedName>
    <definedName name="ㅁㄴㅇㄹ" localSheetId="21" hidden="1">#REF!</definedName>
    <definedName name="ㅁㅇ" localSheetId="21" hidden="1">#REF!</definedName>
    <definedName name="ㅁㅇㄴㄹ" localSheetId="21" hidden="1">#REF!</definedName>
    <definedName name="_Sort" localSheetId="22" hidden="1">#REF!</definedName>
    <definedName name="_SORT1" localSheetId="22" hidden="1">#REF!</definedName>
    <definedName name="a" localSheetId="22" hidden="1">#REF!</definedName>
    <definedName name="solver_adj" localSheetId="22" hidden="1">'리스 상각표 (결합할인,A해지,월할)'!$F$2</definedName>
    <definedName name="solver_cvg" localSheetId="22" hidden="1">0.0001</definedName>
    <definedName name="solver_drv" localSheetId="22" hidden="1">2</definedName>
    <definedName name="solver_eng" localSheetId="22" hidden="1">1</definedName>
    <definedName name="solver_est" localSheetId="22" hidden="1">1</definedName>
    <definedName name="solver_itr" localSheetId="22" hidden="1">2147483647</definedName>
    <definedName name="solver_mip" localSheetId="22" hidden="1">2147483647</definedName>
    <definedName name="solver_mni" localSheetId="22" hidden="1">30</definedName>
    <definedName name="solver_mrt" localSheetId="22" hidden="1">0.075</definedName>
    <definedName name="solver_msl" localSheetId="22" hidden="1">2</definedName>
    <definedName name="solver_neg" localSheetId="22" hidden="1">1</definedName>
    <definedName name="solver_nod" localSheetId="22" hidden="1">2147483647</definedName>
    <definedName name="solver_num" localSheetId="22" hidden="1">0</definedName>
    <definedName name="solver_nwt" localSheetId="22" hidden="1">1</definedName>
    <definedName name="solver_opt" localSheetId="22" hidden="1">'리스 상각표 (결합할인,A해지,월할)'!$C$2</definedName>
    <definedName name="solver_pre" localSheetId="22" hidden="1">0.000001</definedName>
    <definedName name="solver_rbv" localSheetId="22" hidden="1">2</definedName>
    <definedName name="solver_rlx" localSheetId="22" hidden="1">2</definedName>
    <definedName name="solver_rsd" localSheetId="22" hidden="1">0</definedName>
    <definedName name="solver_scl" localSheetId="22" hidden="1">2</definedName>
    <definedName name="solver_sho" localSheetId="22" hidden="1">2</definedName>
    <definedName name="solver_ssz" localSheetId="22" hidden="1">100</definedName>
    <definedName name="solver_tim" localSheetId="22" hidden="1">2147483647</definedName>
    <definedName name="solver_tol" localSheetId="22" hidden="1">0.01</definedName>
    <definedName name="solver_typ" localSheetId="22" hidden="1">3</definedName>
    <definedName name="solver_val" localSheetId="22" hidden="1">842040</definedName>
    <definedName name="solver_ver" localSheetId="22" hidden="1">3</definedName>
    <definedName name="ㅁㄴㅇㄹ" localSheetId="22" hidden="1">#REF!</definedName>
    <definedName name="ㅁㅇ" localSheetId="22" hidden="1">#REF!</definedName>
    <definedName name="ㅁㅇㄴㄹ" localSheetId="22" hidden="1">#REF!</definedName>
    <definedName name="_Sort" localSheetId="30" hidden="1">#REF!</definedName>
    <definedName name="_SORT1" localSheetId="30" hidden="1">#REF!</definedName>
    <definedName name="a" localSheetId="30" hidden="1">#REF!</definedName>
    <definedName name="ㅁㄴㅇㄹ" localSheetId="30" hidden="1">#REF!</definedName>
    <definedName name="ㅁㅇ" localSheetId="30" hidden="1">#REF!</definedName>
    <definedName name="ㅁㅇㄴㄹ" localSheetId="30" hidden="1">#REF!</definedName>
    <definedName name="_Sort" localSheetId="34" hidden="1">#REF!</definedName>
    <definedName name="_SORT1" localSheetId="34" hidden="1">#REF!</definedName>
    <definedName name="a" localSheetId="34" hidden="1">#REF!</definedName>
    <definedName name="ㅁㄴㅇㄹ" localSheetId="34" hidden="1">#REF!</definedName>
    <definedName name="ㅁㅇ" localSheetId="34" hidden="1">#REF!</definedName>
    <definedName name="ㅁㅇㄴㄹ" localSheetId="34" hidden="1">#REF!</definedName>
    <definedName name="_Sort" localSheetId="40" hidden="1">#REF!</definedName>
    <definedName name="_SORT1" localSheetId="40" hidden="1">#REF!</definedName>
    <definedName name="a" localSheetId="40" hidden="1">#REF!</definedName>
    <definedName name="solver_adj" localSheetId="40" hidden="1">'리스 상각표 (선납할인)'!$F$2</definedName>
    <definedName name="solver_cvg" localSheetId="40" hidden="1">0.0001</definedName>
    <definedName name="solver_drv" localSheetId="40" hidden="1">2</definedName>
    <definedName name="solver_eng" localSheetId="40" hidden="1">1</definedName>
    <definedName name="solver_est" localSheetId="40" hidden="1">1</definedName>
    <definedName name="solver_itr" localSheetId="40" hidden="1">2147483647</definedName>
    <definedName name="solver_mip" localSheetId="40" hidden="1">2147483647</definedName>
    <definedName name="solver_mni" localSheetId="40" hidden="1">30</definedName>
    <definedName name="solver_mrt" localSheetId="40" hidden="1">0.075</definedName>
    <definedName name="solver_msl" localSheetId="40" hidden="1">2</definedName>
    <definedName name="solver_neg" localSheetId="40" hidden="1">1</definedName>
    <definedName name="solver_nod" localSheetId="40" hidden="1">2147483647</definedName>
    <definedName name="solver_num" localSheetId="40" hidden="1">0</definedName>
    <definedName name="solver_nwt" localSheetId="40" hidden="1">1</definedName>
    <definedName name="solver_opt" localSheetId="40" hidden="1">'리스 상각표 (선납할인)'!$C$2</definedName>
    <definedName name="solver_pre" localSheetId="40" hidden="1">0.000001</definedName>
    <definedName name="solver_rbv" localSheetId="40" hidden="1">2</definedName>
    <definedName name="solver_rlx" localSheetId="40" hidden="1">2</definedName>
    <definedName name="solver_rsd" localSheetId="40" hidden="1">0</definedName>
    <definedName name="solver_scl" localSheetId="40" hidden="1">2</definedName>
    <definedName name="solver_sho" localSheetId="40" hidden="1">2</definedName>
    <definedName name="solver_ssz" localSheetId="40" hidden="1">100</definedName>
    <definedName name="solver_tim" localSheetId="40" hidden="1">2147483647</definedName>
    <definedName name="solver_tol" localSheetId="40" hidden="1">0.01</definedName>
    <definedName name="solver_typ" localSheetId="40" hidden="1">3</definedName>
    <definedName name="solver_val" localSheetId="40" hidden="1">842040</definedName>
    <definedName name="solver_ver" localSheetId="40" hidden="1">3</definedName>
    <definedName name="ㅁㄴㅇㄹ" localSheetId="40" hidden="1">#REF!</definedName>
    <definedName name="ㅁㅇ" localSheetId="40" hidden="1">#REF!</definedName>
    <definedName name="ㅁㅇㄴㄹ" localSheetId="40" hidden="1">#REF!</definedName>
    <definedName name="_Sort" localSheetId="43" hidden="1">#REF!</definedName>
    <definedName name="_SORT1" localSheetId="43" hidden="1">#REF!</definedName>
    <definedName name="a" localSheetId="43" hidden="1">#REF!</definedName>
    <definedName name="solver_adj" localSheetId="43" hidden="1">'리스 상각표 (단품할인)'!$F$2</definedName>
    <definedName name="solver_cvg" localSheetId="43" hidden="1">0.0001</definedName>
    <definedName name="solver_drv" localSheetId="43" hidden="1">2</definedName>
    <definedName name="solver_eng" localSheetId="43" hidden="1">1</definedName>
    <definedName name="solver_est" localSheetId="43" hidden="1">1</definedName>
    <definedName name="solver_itr" localSheetId="43" hidden="1">2147483647</definedName>
    <definedName name="solver_mip" localSheetId="43" hidden="1">2147483647</definedName>
    <definedName name="solver_mni" localSheetId="43" hidden="1">30</definedName>
    <definedName name="solver_mrt" localSheetId="43" hidden="1">0.075</definedName>
    <definedName name="solver_msl" localSheetId="43" hidden="1">2</definedName>
    <definedName name="solver_neg" localSheetId="43" hidden="1">1</definedName>
    <definedName name="solver_nod" localSheetId="43" hidden="1">2147483647</definedName>
    <definedName name="solver_num" localSheetId="43" hidden="1">0</definedName>
    <definedName name="solver_nwt" localSheetId="43" hidden="1">1</definedName>
    <definedName name="solver_opt" localSheetId="43" hidden="1">'리스 상각표 (단품할인)'!$C$2</definedName>
    <definedName name="solver_pre" localSheetId="43" hidden="1">0.000001</definedName>
    <definedName name="solver_rbv" localSheetId="43" hidden="1">2</definedName>
    <definedName name="solver_rlx" localSheetId="43" hidden="1">2</definedName>
    <definedName name="solver_rsd" localSheetId="43" hidden="1">0</definedName>
    <definedName name="solver_scl" localSheetId="43" hidden="1">2</definedName>
    <definedName name="solver_sho" localSheetId="43" hidden="1">2</definedName>
    <definedName name="solver_ssz" localSheetId="43" hidden="1">100</definedName>
    <definedName name="solver_tim" localSheetId="43" hidden="1">2147483647</definedName>
    <definedName name="solver_tol" localSheetId="43" hidden="1">0.01</definedName>
    <definedName name="solver_typ" localSheetId="43" hidden="1">3</definedName>
    <definedName name="solver_val" localSheetId="43" hidden="1">842040</definedName>
    <definedName name="solver_ver" localSheetId="43" hidden="1">3</definedName>
    <definedName name="ㅁㄴㅇㄹ" localSheetId="43" hidden="1">#REF!</definedName>
    <definedName name="ㅁㅇ" localSheetId="43" hidden="1">#REF!</definedName>
    <definedName name="ㅁㅇㄴㄹ" localSheetId="43" hidden="1">#REF!</definedName>
    <definedName name="_Sort" localSheetId="49" hidden="1">#REF!</definedName>
    <definedName name="_SORT1" localSheetId="49" hidden="1">#REF!</definedName>
    <definedName name="a" localSheetId="49" hidden="1">#REF!</definedName>
    <definedName name="ㅁㄴㅇㄹ" localSheetId="49" hidden="1">#REF!</definedName>
    <definedName name="ㅁㅇ" localSheetId="49" hidden="1">#REF!</definedName>
    <definedName name="ㅁㅇㄴㄹ" localSheetId="49" hidden="1">#REF!</definedName>
    <definedName name="_Sort" localSheetId="50" hidden="1">#REF!</definedName>
    <definedName name="_SORT1" localSheetId="50" hidden="1">#REF!</definedName>
    <definedName name="a" localSheetId="50" hidden="1">#REF!</definedName>
    <definedName name="ㅁㄴㅇㄹ" localSheetId="50" hidden="1">#REF!</definedName>
    <definedName name="ㅁㅇ" localSheetId="50" hidden="1">#REF!</definedName>
    <definedName name="ㅁㅇㄴㄹ" localSheetId="50" hidden="1">#REF!</definedName>
    <definedName name="_Sort" localSheetId="52" hidden="1">#REF!</definedName>
    <definedName name="_SORT1" localSheetId="52" hidden="1">#REF!</definedName>
    <definedName name="a" localSheetId="52" hidden="1">#REF!</definedName>
    <definedName name="ㅁㄴㅇㄹ" localSheetId="52" hidden="1">#REF!</definedName>
    <definedName name="ㅁㅇ" localSheetId="52" hidden="1">#REF!</definedName>
    <definedName name="ㅁㅇㄴㄹ" localSheetId="52" hidden="1">#REF!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_-* #,##0_-;\-* #,##0_-;_-* &quot;-&quot;_-;_-@_-"/>
    <numFmt numFmtId="165" formatCode="#,##0;[Red]\(#,##0\);\-"/>
    <numFmt numFmtId="166" formatCode="0.0000%"/>
    <numFmt numFmtId="167" formatCode="#,##0.000;[Red]\(#,##0.000\);\-"/>
    <numFmt numFmtId="168" formatCode="#,##0.0000;[Red]\(#,##0.0000\);\-"/>
    <numFmt numFmtId="169" formatCode="#,##0.00;[Red]\(#,##0.00\);\-"/>
    <numFmt numFmtId="170" formatCode="#,##0.0;[Red]\(#,##0.0\);\-"/>
    <numFmt numFmtId="171" formatCode="_-* #,##0.00_-;\-* #,##0.00_-;_-* &quot;-&quot;??_-;_-@_-"/>
    <numFmt numFmtId="172" formatCode="_-* #,##0.0_-;\-* #,##0.0_-;_-* &quot;-&quot;?_-;_-@_-"/>
    <numFmt numFmtId="173" formatCode="#,##0_);\(#,##0\)"/>
    <numFmt numFmtId="174" formatCode="&quot;₩&quot;#,##0_);[Red]\(&quot;₩&quot;#,##0\)"/>
    <numFmt numFmtId="175" formatCode="_-* #,##0.0_-;\-* #,##0.0_-;_-* &quot;-&quot;_-;_-@_-"/>
    <numFmt numFmtId="176" formatCode="0.0%"/>
    <numFmt numFmtId="177" formatCode="0.000%"/>
    <numFmt numFmtId="178" formatCode="0.0000000000000000%"/>
    <numFmt numFmtId="179" formatCode="0&quot;개월&quot;"/>
  </numFmts>
  <fonts count="3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1"/>
      <sz val="8"/>
    </font>
    <font>
      <name val="맑은 고딕"/>
      <charset val="129"/>
      <family val="2"/>
      <color theme="1"/>
      <sz val="8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2"/>
      <color rgb="FFC00000"/>
      <sz val="11"/>
      <scheme val="minor"/>
    </font>
    <font>
      <name val="맑은 고딕"/>
      <charset val="129"/>
      <family val="3"/>
      <color rgb="FFC00000"/>
      <sz val="11"/>
      <scheme val="minor"/>
    </font>
    <font>
      <name val="맑은 고딕"/>
      <charset val="129"/>
      <family val="3"/>
      <b val="1"/>
      <color theme="8"/>
      <sz val="11"/>
      <scheme val="minor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2"/>
      <color theme="0" tint="-0.499984740745262"/>
      <sz val="11"/>
      <scheme val="minor"/>
    </font>
    <font>
      <name val="맑은 고딕"/>
      <charset val="129"/>
      <family val="3"/>
      <color indexed="81"/>
      <sz val="14"/>
      <scheme val="minor"/>
    </font>
    <font>
      <name val="맑은 고딕"/>
      <charset val="129"/>
      <family val="2"/>
      <strike val="1"/>
      <color theme="1"/>
      <sz val="11"/>
      <scheme val="minor"/>
    </font>
    <font>
      <name val="맑은 고딕"/>
      <charset val="129"/>
      <family val="3"/>
      <b val="1"/>
      <color indexed="81"/>
      <sz val="14"/>
      <u val="single"/>
      <scheme val="minor"/>
    </font>
    <font>
      <name val="맑은 고딕"/>
      <charset val="129"/>
      <family val="2"/>
      <color rgb="FF0000FF"/>
      <sz val="11"/>
      <scheme val="minor"/>
    </font>
    <font>
      <name val="맑은 고딕"/>
      <charset val="129"/>
      <family val="2"/>
      <color theme="1"/>
      <sz val="13"/>
      <scheme val="minor"/>
    </font>
    <font>
      <name val="맑은 고딕"/>
      <charset val="129"/>
      <family val="3"/>
      <color theme="1" tint="0.499984740745262"/>
      <sz val="11"/>
      <scheme val="minor"/>
    </font>
    <font>
      <name val="맑은 고딕"/>
      <charset val="129"/>
      <family val="3"/>
      <b val="1"/>
      <color theme="1" tint="0.499984740745262"/>
      <sz val="11"/>
      <scheme val="minor"/>
    </font>
    <font>
      <name val="맑은 고딕"/>
      <charset val="129"/>
      <family val="2"/>
      <color theme="2"/>
      <sz val="11"/>
      <scheme val="minor"/>
    </font>
    <font>
      <name val="맑은 고딕"/>
      <charset val="129"/>
      <family val="3"/>
      <color theme="2"/>
      <sz val="11"/>
      <scheme val="minor"/>
    </font>
    <font>
      <name val="맑은 고딕"/>
      <charset val="129"/>
      <family val="2"/>
      <color theme="2" tint="-0.249977111117893"/>
      <sz val="11"/>
      <scheme val="minor"/>
    </font>
    <font>
      <name val="맑은 고딕"/>
      <b val="1"/>
      <color rgb="001F3864"/>
      <sz val="11"/>
    </font>
    <font>
      <name val="맑은 고딕"/>
      <color rgb="00222222"/>
      <sz val="11"/>
    </font>
    <font>
      <name val="맑은 고딕"/>
      <b val="1"/>
      <color rgb="00FFFFFF"/>
      <sz val="15"/>
    </font>
    <font>
      <name val="맑은 고딕"/>
      <color rgb="00666666"/>
      <sz val="9"/>
    </font>
    <font>
      <name val="맑은 고딕"/>
      <sz val="10"/>
    </font>
    <font>
      <name val="맑은 고딕"/>
      <color rgb="00888888"/>
      <sz val="9"/>
    </font>
  </fonts>
  <fills count="2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1F3864"/>
      </patternFill>
    </fill>
    <fill>
      <patternFill patternType="solid">
        <fgColor rgb="002E7D32"/>
      </patternFill>
    </fill>
    <fill>
      <patternFill patternType="solid">
        <fgColor rgb="00C0392B"/>
      </patternFill>
    </fill>
    <fill>
      <patternFill patternType="solid">
        <fgColor rgb="00E08A1E"/>
      </patternFill>
    </fill>
    <fill>
      <patternFill patternType="solid">
        <fgColor rgb="007030A0"/>
      </patternFill>
    </fill>
    <fill>
      <patternFill patternType="solid">
        <fgColor rgb="000F9ED5"/>
      </patternFill>
    </fill>
    <fill>
      <patternFill patternType="solid">
        <fgColor rgb="00A6A6A6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75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1">
      <alignment vertical="center"/>
    </xf>
    <xf numFmtId="164" fontId="0" fillId="0" borderId="1" applyAlignment="1" pivotButton="0" quotePrefix="0" xfId="0">
      <alignment vertical="center"/>
    </xf>
    <xf numFmtId="164" fontId="0" fillId="2" borderId="1" applyAlignment="1" pivotButton="0" quotePrefix="0" xfId="1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Continuous"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0" fillId="0" borderId="1" applyAlignment="1" pivotButton="0" quotePrefix="0" xfId="1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64" fontId="0" fillId="0" borderId="0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0" fillId="0" borderId="5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164" fontId="0" fillId="0" borderId="8" applyAlignment="1" pivotButton="0" quotePrefix="0" xfId="0">
      <alignment vertical="center"/>
    </xf>
    <xf numFmtId="164" fontId="0" fillId="0" borderId="9" applyAlignment="1" pivotButton="0" quotePrefix="0" xfId="1">
      <alignment vertical="center"/>
    </xf>
    <xf numFmtId="164" fontId="0" fillId="0" borderId="10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14" fontId="0" fillId="4" borderId="0" applyAlignment="1" pivotButton="0" quotePrefix="0" xfId="0">
      <alignment horizontal="center" vertical="center"/>
    </xf>
    <xf numFmtId="14" fontId="0" fillId="4" borderId="5" applyAlignment="1" pivotButton="0" quotePrefix="0" xfId="0">
      <alignment horizontal="center" vertical="center"/>
    </xf>
    <xf numFmtId="164" fontId="0" fillId="4" borderId="5" applyAlignment="1" pivotButton="0" quotePrefix="0" xfId="1">
      <alignment vertical="center"/>
    </xf>
    <xf numFmtId="164" fontId="0" fillId="4" borderId="8" applyAlignment="1" pivotButton="0" quotePrefix="0" xfId="0">
      <alignment vertical="center"/>
    </xf>
    <xf numFmtId="164" fontId="0" fillId="4" borderId="0" applyAlignment="1" pivotButton="0" quotePrefix="0" xfId="1">
      <alignment vertical="center"/>
    </xf>
    <xf numFmtId="164" fontId="0" fillId="4" borderId="9" applyAlignment="1" pivotButton="0" quotePrefix="0" xfId="1">
      <alignment vertical="center"/>
    </xf>
    <xf numFmtId="0" fontId="0" fillId="4" borderId="6" applyAlignment="1" pivotButton="0" quotePrefix="0" xfId="0">
      <alignment horizontal="center" vertical="center"/>
    </xf>
    <xf numFmtId="14" fontId="0" fillId="4" borderId="7" applyAlignment="1" pivotButton="0" quotePrefix="0" xfId="0">
      <alignment horizontal="center" vertical="center"/>
    </xf>
    <xf numFmtId="14" fontId="0" fillId="4" borderId="6" applyAlignment="1" pivotButton="0" quotePrefix="0" xfId="0">
      <alignment horizontal="center" vertical="center"/>
    </xf>
    <xf numFmtId="164" fontId="0" fillId="4" borderId="6" applyAlignment="1" pivotButton="0" quotePrefix="0" xfId="1">
      <alignment vertical="center"/>
    </xf>
    <xf numFmtId="164" fontId="0" fillId="4" borderId="10" applyAlignment="1" pivotButton="0" quotePrefix="0" xfId="0">
      <alignment vertical="center"/>
    </xf>
    <xf numFmtId="164" fontId="0" fillId="4" borderId="7" applyAlignment="1" pivotButton="0" quotePrefix="0" xfId="1">
      <alignment vertical="center"/>
    </xf>
    <xf numFmtId="164" fontId="0" fillId="4" borderId="11" applyAlignment="1" pivotButton="0" quotePrefix="0" xfId="1">
      <alignment vertical="center"/>
    </xf>
    <xf numFmtId="165" fontId="0" fillId="0" borderId="0" applyAlignment="1" pivotButton="0" quotePrefix="0" xfId="0">
      <alignment vertical="center"/>
    </xf>
    <xf numFmtId="165" fontId="0" fillId="2" borderId="0" applyAlignment="1" pivotButton="0" quotePrefix="0" xfId="0">
      <alignment vertical="center"/>
    </xf>
    <xf numFmtId="10" fontId="0" fillId="0" borderId="0" applyAlignment="1" pivotButton="0" quotePrefix="0" xfId="2">
      <alignment vertical="center"/>
    </xf>
    <xf numFmtId="165" fontId="0" fillId="0" borderId="0" applyAlignment="1" pivotButton="0" quotePrefix="1" xfId="0">
      <alignment vertical="center"/>
    </xf>
    <xf numFmtId="165" fontId="0" fillId="0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65" fontId="0" fillId="0" borderId="0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165" fontId="4" fillId="0" borderId="0" applyAlignment="1" pivotButton="0" quotePrefix="0" xfId="0">
      <alignment vertical="center"/>
    </xf>
    <xf numFmtId="166" fontId="0" fillId="7" borderId="0" applyAlignment="1" pivotButton="0" quotePrefix="0" xfId="2">
      <alignment vertical="center"/>
    </xf>
    <xf numFmtId="167" fontId="5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165" fontId="0" fillId="0" borderId="0" applyAlignment="1" pivotButton="0" quotePrefix="0" xfId="0">
      <alignment horizontal="center" vertical="center"/>
    </xf>
    <xf numFmtId="10" fontId="0" fillId="0" borderId="0" applyAlignment="1" pivotButton="0" quotePrefix="0" xfId="2">
      <alignment horizontal="center" vertical="center"/>
    </xf>
    <xf numFmtId="164" fontId="0" fillId="0" borderId="8" applyAlignment="1" pivotButton="0" quotePrefix="0" xfId="1">
      <alignment vertical="center"/>
    </xf>
    <xf numFmtId="0" fontId="0" fillId="0" borderId="1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9" fontId="0" fillId="0" borderId="1" applyAlignment="1" pivotButton="0" quotePrefix="0" xfId="2">
      <alignment vertical="center"/>
    </xf>
    <xf numFmtId="169" fontId="0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41" fontId="0" fillId="2" borderId="1" applyAlignment="1" pivotButton="0" quotePrefix="0" xfId="1">
      <alignment vertical="center"/>
    </xf>
    <xf numFmtId="170" fontId="0" fillId="0" borderId="0" applyAlignment="1" pivotButton="0" quotePrefix="0" xfId="0">
      <alignment vertical="center"/>
    </xf>
    <xf numFmtId="41" fontId="0" fillId="0" borderId="1" applyAlignment="1" pivotButton="0" quotePrefix="0" xfId="1">
      <alignment vertical="center"/>
    </xf>
    <xf numFmtId="0" fontId="4" fillId="0" borderId="0" applyAlignment="1" pivotButton="0" quotePrefix="0" xfId="0">
      <alignment horizontal="center" vertical="center"/>
    </xf>
    <xf numFmtId="41" fontId="0" fillId="0" borderId="0" applyAlignment="1" pivotButton="0" quotePrefix="0" xfId="1">
      <alignment vertical="center"/>
    </xf>
    <xf numFmtId="164" fontId="0" fillId="0" borderId="1" applyAlignment="1" pivotButton="0" quotePrefix="0" xfId="1">
      <alignment vertical="center"/>
    </xf>
    <xf numFmtId="0" fontId="0" fillId="8" borderId="3" applyAlignment="1" pivotButton="0" quotePrefix="0" xfId="0">
      <alignment horizontal="centerContinuous" vertical="center"/>
    </xf>
    <xf numFmtId="0" fontId="0" fillId="8" borderId="4" applyAlignment="1" pivotButton="0" quotePrefix="0" xfId="0">
      <alignment horizontal="centerContinuous" vertical="center"/>
    </xf>
    <xf numFmtId="164" fontId="4" fillId="8" borderId="2" applyAlignment="1" pivotButton="0" quotePrefix="0" xfId="0">
      <alignment horizontal="centerContinuous" vertical="center"/>
    </xf>
    <xf numFmtId="164" fontId="4" fillId="8" borderId="3" applyAlignment="1" pivotButton="0" quotePrefix="0" xfId="0">
      <alignment horizontal="centerContinuous" vertical="center"/>
    </xf>
    <xf numFmtId="164" fontId="4" fillId="8" borderId="4" applyAlignment="1" pivotButton="0" quotePrefix="0" xfId="0">
      <alignment horizontal="centerContinuous" vertical="center"/>
    </xf>
    <xf numFmtId="0" fontId="4" fillId="8" borderId="2" applyAlignment="1" pivotButton="0" quotePrefix="0" xfId="0">
      <alignment horizontal="centerContinuous" vertical="center"/>
    </xf>
    <xf numFmtId="0" fontId="4" fillId="8" borderId="3" applyAlignment="1" pivotButton="0" quotePrefix="0" xfId="0">
      <alignment horizontal="centerContinuous" vertical="center"/>
    </xf>
    <xf numFmtId="164" fontId="0" fillId="0" borderId="9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11" applyAlignment="1" pivotButton="0" quotePrefix="0" xfId="0">
      <alignment vertical="center"/>
    </xf>
    <xf numFmtId="0" fontId="0" fillId="9" borderId="5" applyAlignment="1" pivotButton="0" quotePrefix="0" xfId="0">
      <alignment horizontal="center" vertical="center"/>
    </xf>
    <xf numFmtId="14" fontId="0" fillId="9" borderId="0" applyAlignment="1" pivotButton="0" quotePrefix="0" xfId="0">
      <alignment horizontal="center" vertical="center"/>
    </xf>
    <xf numFmtId="14" fontId="0" fillId="9" borderId="5" applyAlignment="1" pivotButton="0" quotePrefix="0" xfId="0">
      <alignment horizontal="center" vertical="center"/>
    </xf>
    <xf numFmtId="164" fontId="0" fillId="9" borderId="5" applyAlignment="1" pivotButton="0" quotePrefix="0" xfId="1">
      <alignment vertical="center"/>
    </xf>
    <xf numFmtId="164" fontId="0" fillId="9" borderId="8" applyAlignment="1" pivotButton="0" quotePrefix="0" xfId="0">
      <alignment vertical="center"/>
    </xf>
    <xf numFmtId="164" fontId="0" fillId="9" borderId="0" applyAlignment="1" pivotButton="0" quotePrefix="0" xfId="1">
      <alignment vertical="center"/>
    </xf>
    <xf numFmtId="164" fontId="0" fillId="9" borderId="9" applyAlignment="1" pivotButton="0" quotePrefix="0" xfId="1">
      <alignment vertical="center"/>
    </xf>
    <xf numFmtId="164" fontId="0" fillId="9" borderId="0" applyAlignment="1" pivotButton="0" quotePrefix="0" xfId="0">
      <alignment vertical="center"/>
    </xf>
    <xf numFmtId="164" fontId="0" fillId="9" borderId="9" applyAlignment="1" pivotButton="0" quotePrefix="0" xfId="0">
      <alignment vertical="center"/>
    </xf>
    <xf numFmtId="164" fontId="0" fillId="0" borderId="14" applyAlignment="1" pivotButton="0" quotePrefix="0" xfId="0">
      <alignment vertical="center"/>
    </xf>
    <xf numFmtId="164" fontId="0" fillId="0" borderId="14" applyAlignment="1" pivotButton="0" quotePrefix="0" xfId="1">
      <alignment vertical="center"/>
    </xf>
    <xf numFmtId="0" fontId="0" fillId="0" borderId="15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171" fontId="0" fillId="0" borderId="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164" fontId="0" fillId="0" borderId="12" applyAlignment="1" pivotButton="0" quotePrefix="0" xfId="1">
      <alignment vertical="center"/>
    </xf>
    <xf numFmtId="14" fontId="0" fillId="9" borderId="8" applyAlignment="1" pivotButton="0" quotePrefix="0" xfId="0">
      <alignment vertical="center"/>
    </xf>
    <xf numFmtId="0" fontId="0" fillId="9" borderId="5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1">
      <alignment vertical="center"/>
    </xf>
    <xf numFmtId="164" fontId="0" fillId="0" borderId="8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4" fontId="0" fillId="0" borderId="9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0" fontId="0" fillId="7" borderId="0" applyAlignment="1" pivotButton="0" quotePrefix="0" xfId="2">
      <alignment vertical="center"/>
    </xf>
    <xf numFmtId="0" fontId="0" fillId="0" borderId="6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14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1">
      <alignment vertical="center"/>
    </xf>
    <xf numFmtId="164" fontId="0" fillId="0" borderId="10" applyAlignment="1" pivotButton="0" quotePrefix="0" xfId="0">
      <alignment vertical="center"/>
    </xf>
    <xf numFmtId="164" fontId="0" fillId="0" borderId="7" applyAlignment="1" pivotButton="0" quotePrefix="0" xfId="1">
      <alignment vertical="center"/>
    </xf>
    <xf numFmtId="164" fontId="0" fillId="0" borderId="11" applyAlignment="1" pivotButton="0" quotePrefix="0" xfId="1">
      <alignment vertical="center"/>
    </xf>
    <xf numFmtId="0" fontId="10" fillId="2" borderId="1" applyAlignment="1" pivotButton="0" quotePrefix="0" xfId="0">
      <alignment horizontal="center" vertical="center"/>
    </xf>
    <xf numFmtId="164" fontId="0" fillId="9" borderId="5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4" fillId="3" borderId="14" applyAlignment="1" pivotButton="0" quotePrefix="0" xfId="0">
      <alignment horizontal="center" vertical="center"/>
    </xf>
    <xf numFmtId="0" fontId="4" fillId="3" borderId="13" applyAlignment="1" pivotButton="0" quotePrefix="0" xfId="0">
      <alignment horizontal="left" vertical="center"/>
    </xf>
    <xf numFmtId="0" fontId="0" fillId="3" borderId="14" applyAlignment="1" pivotButton="0" quotePrefix="0" xfId="0">
      <alignment vertical="center"/>
    </xf>
    <xf numFmtId="0" fontId="0" fillId="3" borderId="15" applyAlignment="1" pivotButton="0" quotePrefix="0" xfId="0">
      <alignment vertical="center"/>
    </xf>
    <xf numFmtId="0" fontId="0" fillId="3" borderId="10" applyAlignment="1" pivotButton="0" quotePrefix="0" xfId="0">
      <alignment vertical="center"/>
    </xf>
    <xf numFmtId="164" fontId="0" fillId="0" borderId="10" applyAlignment="1" pivotButton="0" quotePrefix="0" xfId="1">
      <alignment vertical="center"/>
    </xf>
    <xf numFmtId="171" fontId="0" fillId="9" borderId="8" applyAlignment="1" pivotButton="0" quotePrefix="0" xfId="0">
      <alignment vertical="center"/>
    </xf>
    <xf numFmtId="0" fontId="4" fillId="3" borderId="13" applyAlignment="1" pivotButton="0" quotePrefix="0" xfId="0">
      <alignment vertical="center"/>
    </xf>
    <xf numFmtId="0" fontId="4" fillId="3" borderId="14" applyAlignment="1" pivotButton="0" quotePrefix="0" xfId="0">
      <alignment vertical="center"/>
    </xf>
    <xf numFmtId="0" fontId="0" fillId="3" borderId="8" applyAlignment="1" pivotButton="0" quotePrefix="0" xfId="0">
      <alignment vertical="center"/>
    </xf>
    <xf numFmtId="173" fontId="0" fillId="9" borderId="9" applyAlignment="1" pivotButton="0" quotePrefix="0" xfId="1">
      <alignment vertical="center"/>
    </xf>
    <xf numFmtId="0" fontId="3" fillId="0" borderId="12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Continuous" vertical="center"/>
    </xf>
    <xf numFmtId="16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10" borderId="5" applyAlignment="1" pivotButton="0" quotePrefix="0" xfId="0">
      <alignment horizontal="center" vertical="center"/>
    </xf>
    <xf numFmtId="14" fontId="0" fillId="10" borderId="0" applyAlignment="1" pivotButton="0" quotePrefix="0" xfId="0">
      <alignment horizontal="center" vertical="center"/>
    </xf>
    <xf numFmtId="14" fontId="0" fillId="10" borderId="5" applyAlignment="1" pivotButton="0" quotePrefix="0" xfId="0">
      <alignment horizontal="center" vertical="center"/>
    </xf>
    <xf numFmtId="164" fontId="0" fillId="10" borderId="5" applyAlignment="1" pivotButton="0" quotePrefix="0" xfId="1">
      <alignment vertical="center"/>
    </xf>
    <xf numFmtId="164" fontId="0" fillId="10" borderId="8" applyAlignment="1" pivotButton="0" quotePrefix="0" xfId="0">
      <alignment vertical="center"/>
    </xf>
    <xf numFmtId="164" fontId="0" fillId="10" borderId="0" applyAlignment="1" pivotButton="0" quotePrefix="0" xfId="1">
      <alignment vertical="center"/>
    </xf>
    <xf numFmtId="164" fontId="0" fillId="10" borderId="9" applyAlignment="1" pivotButton="0" quotePrefix="0" xfId="1">
      <alignment vertical="center"/>
    </xf>
    <xf numFmtId="164" fontId="0" fillId="10" borderId="0" applyAlignment="1" pivotButton="0" quotePrefix="0" xfId="0">
      <alignment vertical="center"/>
    </xf>
    <xf numFmtId="164" fontId="0" fillId="10" borderId="9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171" fontId="0" fillId="10" borderId="0" applyAlignment="1" pivotButton="0" quotePrefix="0" xfId="0">
      <alignment vertical="center"/>
    </xf>
    <xf numFmtId="164" fontId="0" fillId="10" borderId="5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171" fontId="0" fillId="10" borderId="8" applyAlignment="1" pivotButton="0" quotePrefix="0" xfId="0">
      <alignment vertical="center"/>
    </xf>
    <xf numFmtId="171" fontId="0" fillId="10" borderId="9" applyAlignment="1" pivotButton="0" quotePrefix="0" xfId="0">
      <alignment vertical="center"/>
    </xf>
    <xf numFmtId="0" fontId="0" fillId="10" borderId="5" applyAlignment="1" pivotButton="0" quotePrefix="0" xfId="0">
      <alignment vertical="center"/>
    </xf>
    <xf numFmtId="0" fontId="3" fillId="10" borderId="5" applyAlignment="1" pivotButton="0" quotePrefix="0" xfId="0">
      <alignment vertical="center"/>
    </xf>
    <xf numFmtId="0" fontId="0" fillId="10" borderId="8" applyAlignment="1" pivotButton="0" quotePrefix="0" xfId="0">
      <alignment vertical="center"/>
    </xf>
    <xf numFmtId="0" fontId="0" fillId="10" borderId="9" applyAlignment="1" pivotButton="0" quotePrefix="0" xfId="0">
      <alignment vertical="center"/>
    </xf>
    <xf numFmtId="14" fontId="0" fillId="2" borderId="5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171" fontId="0" fillId="2" borderId="8" applyAlignment="1" pivotButton="0" quotePrefix="0" xfId="0">
      <alignment vertical="center"/>
    </xf>
    <xf numFmtId="164" fontId="0" fillId="2" borderId="0" applyAlignment="1" pivotButton="0" quotePrefix="0" xfId="1">
      <alignment vertical="center"/>
    </xf>
    <xf numFmtId="171" fontId="0" fillId="2" borderId="0" applyAlignment="1" pivotButton="0" quotePrefix="0" xfId="0">
      <alignment vertical="center"/>
    </xf>
    <xf numFmtId="164" fontId="0" fillId="2" borderId="9" applyAlignment="1" pivotButton="0" quotePrefix="0" xfId="1">
      <alignment vertical="center"/>
    </xf>
    <xf numFmtId="164" fontId="3" fillId="10" borderId="5" applyAlignment="1" pivotButton="0" quotePrefix="0" xfId="1">
      <alignment vertical="center"/>
    </xf>
    <xf numFmtId="164" fontId="0" fillId="0" borderId="5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64" fontId="11" fillId="0" borderId="1" applyAlignment="1" pivotButton="0" quotePrefix="0" xfId="1">
      <alignment vertical="center"/>
    </xf>
    <xf numFmtId="171" fontId="0" fillId="0" borderId="8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0" fontId="4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0" fillId="0" borderId="9" applyAlignment="1" pivotButton="0" quotePrefix="0" xfId="0">
      <alignment vertical="center" wrapText="1"/>
    </xf>
    <xf numFmtId="0" fontId="4" fillId="8" borderId="0" applyAlignment="1" pivotButton="0" quotePrefix="0" xfId="0">
      <alignment horizontal="centerContinuous" vertical="center"/>
    </xf>
    <xf numFmtId="0" fontId="4" fillId="8" borderId="0" applyAlignment="1" pivotButton="0" quotePrefix="1" xfId="0">
      <alignment horizontal="centerContinuous" vertical="center"/>
    </xf>
    <xf numFmtId="0" fontId="4" fillId="8" borderId="13" applyAlignment="1" pivotButton="0" quotePrefix="0" xfId="0">
      <alignment horizontal="centerContinuous" vertical="center"/>
    </xf>
    <xf numFmtId="0" fontId="4" fillId="8" borderId="14" applyAlignment="1" pivotButton="0" quotePrefix="0" xfId="0">
      <alignment horizontal="centerContinuous" vertical="center"/>
    </xf>
    <xf numFmtId="0" fontId="4" fillId="8" borderId="15" applyAlignment="1" pivotButton="0" quotePrefix="0" xfId="0">
      <alignment horizontal="centerContinuous" vertical="center"/>
    </xf>
    <xf numFmtId="0" fontId="10" fillId="4" borderId="1" applyAlignment="1" pivotButton="0" quotePrefix="0" xfId="0">
      <alignment horizontal="center" vertical="center"/>
    </xf>
    <xf numFmtId="164" fontId="11" fillId="4" borderId="1" applyAlignment="1" pivotButton="0" quotePrefix="0" xfId="1">
      <alignment vertical="center"/>
    </xf>
    <xf numFmtId="0" fontId="4" fillId="3" borderId="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right" vertical="center"/>
    </xf>
    <xf numFmtId="164" fontId="0" fillId="0" borderId="0" applyAlignment="1" pivotButton="0" quotePrefix="0" xfId="1">
      <alignment horizontal="center" vertical="center"/>
    </xf>
    <xf numFmtId="9" fontId="0" fillId="0" borderId="0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11" applyAlignment="1" pivotButton="0" quotePrefix="0" xfId="0">
      <alignment vertical="center"/>
    </xf>
    <xf numFmtId="164" fontId="4" fillId="8" borderId="14" applyAlignment="1" pivotButton="0" quotePrefix="0" xfId="0">
      <alignment horizontal="centerContinuous" vertical="center"/>
    </xf>
    <xf numFmtId="164" fontId="0" fillId="0" borderId="8" applyAlignment="1" pivotButton="0" quotePrefix="0" xfId="1">
      <alignment vertical="center"/>
    </xf>
    <xf numFmtId="164" fontId="12" fillId="0" borderId="5" applyAlignment="1" pivotButton="0" quotePrefix="0" xfId="1">
      <alignment vertical="center"/>
    </xf>
    <xf numFmtId="164" fontId="0" fillId="9" borderId="8" applyAlignment="1" pivotButton="0" quotePrefix="0" xfId="1">
      <alignment vertical="center"/>
    </xf>
    <xf numFmtId="14" fontId="0" fillId="0" borderId="8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173" fontId="0" fillId="0" borderId="9" applyAlignment="1" pivotButton="0" quotePrefix="0" xfId="1">
      <alignment vertical="center"/>
    </xf>
    <xf numFmtId="164" fontId="3" fillId="0" borderId="9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164" fontId="3" fillId="0" borderId="5" applyAlignment="1" pivotButton="0" quotePrefix="0" xfId="1">
      <alignment vertical="center"/>
    </xf>
    <xf numFmtId="164" fontId="1" fillId="0" borderId="9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164" fontId="11" fillId="9" borderId="5" applyAlignment="1" pivotButton="0" quotePrefix="0" xfId="1">
      <alignment vertical="center"/>
    </xf>
    <xf numFmtId="0" fontId="4" fillId="0" borderId="0" applyAlignment="1" pivotButton="0" quotePrefix="0" xfId="0">
      <alignment horizontal="center" vertical="center"/>
    </xf>
    <xf numFmtId="165" fontId="15" fillId="0" borderId="0" applyAlignment="1" pivotButton="0" quotePrefix="0" xfId="0">
      <alignment vertical="center"/>
    </xf>
    <xf numFmtId="174" fontId="4" fillId="0" borderId="1" applyAlignment="1" pivotButton="0" quotePrefix="0" xfId="1">
      <alignment horizontal="right" vertical="center"/>
    </xf>
    <xf numFmtId="0" fontId="9" fillId="0" borderId="1" applyAlignment="1" pivotButton="0" quotePrefix="0" xfId="0">
      <alignment vertical="center"/>
    </xf>
    <xf numFmtId="164" fontId="4" fillId="0" borderId="1" applyAlignment="1" pivotButton="0" quotePrefix="0" xfId="1">
      <alignment horizontal="right" vertical="center"/>
    </xf>
    <xf numFmtId="164" fontId="0" fillId="10" borderId="0" applyAlignment="1" pivotButton="0" quotePrefix="0" xfId="0">
      <alignment vertical="center"/>
    </xf>
    <xf numFmtId="171" fontId="0" fillId="1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vertical="center"/>
    </xf>
    <xf numFmtId="175" fontId="0" fillId="0" borderId="0" applyAlignment="1" pivotButton="0" quotePrefix="0" xfId="1">
      <alignment vertical="center"/>
    </xf>
    <xf numFmtId="164" fontId="0" fillId="4" borderId="13" applyAlignment="1" pivotButton="0" quotePrefix="0" xfId="0">
      <alignment vertical="center"/>
    </xf>
    <xf numFmtId="164" fontId="0" fillId="4" borderId="14" applyAlignment="1" pivotButton="0" quotePrefix="0" xfId="1">
      <alignment vertical="center"/>
    </xf>
    <xf numFmtId="164" fontId="0" fillId="4" borderId="15" applyAlignment="1" pivotButton="0" quotePrefix="0" xfId="1">
      <alignment vertical="center"/>
    </xf>
    <xf numFmtId="164" fontId="0" fillId="4" borderId="15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171" fontId="0" fillId="0" borderId="1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164" fontId="0" fillId="11" borderId="0" applyAlignment="1" pivotButton="0" quotePrefix="0" xfId="0">
      <alignment vertical="center"/>
    </xf>
    <xf numFmtId="164" fontId="4" fillId="11" borderId="2" applyAlignment="1" pivotButton="0" quotePrefix="0" xfId="0">
      <alignment horizontal="centerContinuous" vertical="center"/>
    </xf>
    <xf numFmtId="164" fontId="4" fillId="11" borderId="3" applyAlignment="1" pivotButton="0" quotePrefix="0" xfId="0">
      <alignment horizontal="centerContinuous" vertical="center"/>
    </xf>
    <xf numFmtId="164" fontId="4" fillId="11" borderId="4" applyAlignment="1" pivotButton="0" quotePrefix="0" xfId="0">
      <alignment horizontal="centerContinuous" vertical="center"/>
    </xf>
    <xf numFmtId="0" fontId="4" fillId="11" borderId="1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1" borderId="3" applyAlignment="1" pivotButton="0" quotePrefix="0" xfId="0">
      <alignment horizontal="center" vertical="center"/>
    </xf>
    <xf numFmtId="0" fontId="4" fillId="11" borderId="4" applyAlignment="1" pivotButton="0" quotePrefix="0" xfId="0">
      <alignment horizontal="center" vertical="center"/>
    </xf>
    <xf numFmtId="164" fontId="0" fillId="11" borderId="5" applyAlignment="1" pivotButton="0" quotePrefix="0" xfId="1">
      <alignment vertical="center"/>
    </xf>
    <xf numFmtId="164" fontId="0" fillId="11" borderId="13" applyAlignment="1" pivotButton="0" quotePrefix="0" xfId="0">
      <alignment vertical="center"/>
    </xf>
    <xf numFmtId="164" fontId="0" fillId="11" borderId="14" applyAlignment="1" pivotButton="0" quotePrefix="0" xfId="1">
      <alignment vertical="center"/>
    </xf>
    <xf numFmtId="164" fontId="0" fillId="11" borderId="15" applyAlignment="1" pivotButton="0" quotePrefix="0" xfId="1">
      <alignment vertical="center"/>
    </xf>
    <xf numFmtId="164" fontId="0" fillId="11" borderId="9" applyAlignment="1" pivotButton="0" quotePrefix="0" xfId="1">
      <alignment vertical="center"/>
    </xf>
    <xf numFmtId="164" fontId="0" fillId="11" borderId="8" applyAlignment="1" pivotButton="0" quotePrefix="0" xfId="0">
      <alignment vertical="center"/>
    </xf>
    <xf numFmtId="164" fontId="0" fillId="11" borderId="0" applyAlignment="1" pivotButton="0" quotePrefix="0" xfId="1">
      <alignment vertical="center"/>
    </xf>
    <xf numFmtId="164" fontId="0" fillId="11" borderId="6" applyAlignment="1" pivotButton="0" quotePrefix="0" xfId="1">
      <alignment vertical="center"/>
    </xf>
    <xf numFmtId="164" fontId="0" fillId="11" borderId="10" applyAlignment="1" pivotButton="0" quotePrefix="0" xfId="0">
      <alignment vertical="center"/>
    </xf>
    <xf numFmtId="164" fontId="0" fillId="11" borderId="7" applyAlignment="1" pivotButton="0" quotePrefix="0" xfId="1">
      <alignment vertical="center"/>
    </xf>
    <xf numFmtId="164" fontId="0" fillId="11" borderId="11" applyAlignment="1" pivotButton="0" quotePrefix="0" xfId="1">
      <alignment vertical="center"/>
    </xf>
    <xf numFmtId="0" fontId="18" fillId="11" borderId="0" applyAlignment="1" pivotButton="0" quotePrefix="0" xfId="0">
      <alignment vertical="center"/>
    </xf>
    <xf numFmtId="0" fontId="19" fillId="11" borderId="0" applyAlignment="1" pivotButton="0" quotePrefix="0" xfId="0">
      <alignment vertical="center"/>
    </xf>
    <xf numFmtId="172" fontId="19" fillId="11" borderId="0" applyAlignment="1" pivotButton="0" quotePrefix="0" xfId="0">
      <alignment vertical="center"/>
    </xf>
    <xf numFmtId="172" fontId="0" fillId="0" borderId="0" applyAlignment="1" pivotButton="0" quotePrefix="0" xfId="0">
      <alignment horizontal="center" vertical="center"/>
    </xf>
    <xf numFmtId="164" fontId="0" fillId="4" borderId="12" applyAlignment="1" pivotButton="0" quotePrefix="0" xfId="1">
      <alignment vertical="center"/>
    </xf>
    <xf numFmtId="164" fontId="0" fillId="4" borderId="12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vertical="center"/>
    </xf>
    <xf numFmtId="173" fontId="0" fillId="9" borderId="0" applyAlignment="1" pivotButton="0" quotePrefix="0" xfId="1">
      <alignment vertical="center"/>
    </xf>
    <xf numFmtId="171" fontId="0" fillId="9" borderId="0" applyAlignment="1" pivotButton="0" quotePrefix="0" xfId="0">
      <alignment vertical="center"/>
    </xf>
    <xf numFmtId="0" fontId="0" fillId="8" borderId="14" applyAlignment="1" pivotButton="0" quotePrefix="0" xfId="0">
      <alignment horizontal="centerContinuous" vertical="center"/>
    </xf>
    <xf numFmtId="0" fontId="0" fillId="8" borderId="15" applyAlignment="1" pivotButton="0" quotePrefix="0" xfId="0">
      <alignment horizontal="centerContinuous" vertical="center"/>
    </xf>
    <xf numFmtId="0" fontId="20" fillId="3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9" borderId="8" applyAlignment="1" pivotButton="0" quotePrefix="0" xfId="0">
      <alignment vertical="center"/>
    </xf>
    <xf numFmtId="9" fontId="0" fillId="0" borderId="0" applyAlignment="1" pivotButton="0" quotePrefix="0" xfId="2">
      <alignment vertical="center"/>
    </xf>
    <xf numFmtId="164" fontId="4" fillId="8" borderId="1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Continuous" vertical="center"/>
    </xf>
    <xf numFmtId="164" fontId="4" fillId="3" borderId="4" applyAlignment="1" pivotButton="0" quotePrefix="0" xfId="0">
      <alignment horizontal="centerContinuous" vertical="center"/>
    </xf>
    <xf numFmtId="0" fontId="4" fillId="3" borderId="12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164" fontId="4" fillId="3" borderId="13" applyAlignment="1" pivotButton="0" quotePrefix="0" xfId="0">
      <alignment horizontal="left" vertical="center"/>
    </xf>
    <xf numFmtId="164" fontId="4" fillId="3" borderId="12" applyAlignment="1" pivotButton="0" quotePrefix="0" xfId="0">
      <alignment horizontal="left" vertical="center"/>
    </xf>
    <xf numFmtId="164" fontId="4" fillId="3" borderId="12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13" applyAlignment="1" pivotButton="0" quotePrefix="0" xfId="0">
      <alignment vertical="center"/>
    </xf>
    <xf numFmtId="0" fontId="4" fillId="3" borderId="14" applyAlignment="1" pivotButton="0" quotePrefix="0" xfId="0">
      <alignment vertical="center"/>
    </xf>
    <xf numFmtId="164" fontId="0" fillId="9" borderId="0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14" fontId="0" fillId="0" borderId="6" applyAlignment="1" pivotButton="0" quotePrefix="0" xfId="0">
      <alignment horizontal="center" vertical="center"/>
    </xf>
    <xf numFmtId="164" fontId="0" fillId="0" borderId="10" applyAlignment="1" pivotButton="0" quotePrefix="0" xfId="1">
      <alignment vertical="center"/>
    </xf>
    <xf numFmtId="0" fontId="3" fillId="0" borderId="12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164" fontId="0" fillId="0" borderId="5" applyAlignment="1" pivotButton="0" quotePrefix="0" xfId="0">
      <alignment horizontal="center" vertical="center"/>
    </xf>
    <xf numFmtId="171" fontId="0" fillId="2" borderId="0" applyAlignment="1" pivotButton="0" quotePrefix="0" xfId="0">
      <alignment vertical="center"/>
    </xf>
    <xf numFmtId="0" fontId="4" fillId="3" borderId="14" applyAlignment="1" pivotButton="0" quotePrefix="0" xfId="0">
      <alignment horizontal="left" vertical="center"/>
    </xf>
    <xf numFmtId="0" fontId="4" fillId="3" borderId="8" applyAlignment="1" pivotButton="0" quotePrefix="0" xfId="0">
      <alignment horizontal="left" vertical="center"/>
    </xf>
    <xf numFmtId="176" fontId="0" fillId="0" borderId="0" applyAlignment="1" pivotButton="0" quotePrefix="0" xfId="2">
      <alignment vertical="center"/>
    </xf>
    <xf numFmtId="9" fontId="0" fillId="0" borderId="1" applyAlignment="1" pivotButton="0" quotePrefix="0" xfId="0">
      <alignment vertical="center"/>
    </xf>
    <xf numFmtId="164" fontId="0" fillId="0" borderId="12" applyAlignment="1" pivotButton="0" quotePrefix="0" xfId="1">
      <alignment vertical="center"/>
    </xf>
    <xf numFmtId="164" fontId="21" fillId="0" borderId="17" applyAlignment="1" pivotButton="0" quotePrefix="0" xfId="1">
      <alignment vertical="center"/>
    </xf>
    <xf numFmtId="164" fontId="21" fillId="0" borderId="19" applyAlignment="1" pivotButton="0" quotePrefix="0" xfId="1">
      <alignment vertical="center"/>
    </xf>
    <xf numFmtId="164" fontId="21" fillId="0" borderId="23" applyAlignment="1" pivotButton="0" quotePrefix="0" xfId="1">
      <alignment vertical="center"/>
    </xf>
    <xf numFmtId="0" fontId="20" fillId="3" borderId="16" applyAlignment="1" pivotButton="0" quotePrefix="0" xfId="0">
      <alignment horizontal="center" vertical="center"/>
    </xf>
    <xf numFmtId="0" fontId="20" fillId="3" borderId="18" applyAlignment="1" pivotButton="0" quotePrefix="0" xfId="0">
      <alignment horizontal="center" vertical="center"/>
    </xf>
    <xf numFmtId="0" fontId="20" fillId="3" borderId="22" applyAlignment="1" pivotButton="0" quotePrefix="0" xfId="0">
      <alignment horizontal="center" vertical="center"/>
    </xf>
    <xf numFmtId="0" fontId="20" fillId="12" borderId="16" applyAlignment="1" pivotButton="0" quotePrefix="0" xfId="0">
      <alignment horizontal="center" vertical="center"/>
    </xf>
    <xf numFmtId="164" fontId="21" fillId="12" borderId="17" applyAlignment="1" pivotButton="0" quotePrefix="0" xfId="1">
      <alignment vertical="center"/>
    </xf>
    <xf numFmtId="0" fontId="20" fillId="12" borderId="20" applyAlignment="1" pivotButton="0" quotePrefix="0" xfId="0">
      <alignment horizontal="center" vertical="center"/>
    </xf>
    <xf numFmtId="164" fontId="21" fillId="12" borderId="21" applyAlignment="1" pivotButton="0" quotePrefix="0" xfId="1">
      <alignment vertical="center"/>
    </xf>
    <xf numFmtId="164" fontId="0" fillId="12" borderId="21" applyAlignment="1" pivotButton="0" quotePrefix="0" xfId="1">
      <alignment vertical="center"/>
    </xf>
    <xf numFmtId="0" fontId="4" fillId="12" borderId="18" applyAlignment="1" pivotButton="0" quotePrefix="0" xfId="0">
      <alignment horizontal="center" vertical="center"/>
    </xf>
    <xf numFmtId="164" fontId="0" fillId="12" borderId="19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 wrapText="1"/>
    </xf>
    <xf numFmtId="170" fontId="4" fillId="0" borderId="0" applyAlignment="1" pivotButton="0" quotePrefix="0" xfId="0">
      <alignment vertical="center"/>
    </xf>
    <xf numFmtId="170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2">
      <alignment horizontal="center" vertical="center"/>
    </xf>
    <xf numFmtId="170" fontId="0" fillId="2" borderId="0" applyAlignment="1" pivotButton="0" quotePrefix="0" xfId="0">
      <alignment vertical="center"/>
    </xf>
    <xf numFmtId="164" fontId="0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9" fontId="0" fillId="12" borderId="1" applyAlignment="1" pivotButton="0" quotePrefix="0" xfId="2">
      <alignment vertical="center"/>
    </xf>
    <xf numFmtId="172" fontId="0" fillId="0" borderId="1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172" fontId="22" fillId="0" borderId="0" applyAlignment="1" pivotButton="0" quotePrefix="0" xfId="0">
      <alignment vertical="center"/>
    </xf>
    <xf numFmtId="176" fontId="22" fillId="0" borderId="0" applyAlignment="1" pivotButton="0" quotePrefix="0" xfId="2">
      <alignment vertical="center"/>
    </xf>
    <xf numFmtId="0" fontId="20" fillId="5" borderId="16" applyAlignment="1" pivotButton="0" quotePrefix="0" xfId="0">
      <alignment horizontal="center" vertical="center"/>
    </xf>
    <xf numFmtId="164" fontId="21" fillId="5" borderId="17" applyAlignment="1" pivotButton="0" quotePrefix="0" xfId="1">
      <alignment vertical="center"/>
    </xf>
    <xf numFmtId="0" fontId="20" fillId="5" borderId="18" applyAlignment="1" pivotButton="0" quotePrefix="0" xfId="0">
      <alignment horizontal="center" vertical="center"/>
    </xf>
    <xf numFmtId="164" fontId="21" fillId="5" borderId="19" applyAlignment="1" pivotButton="0" quotePrefix="0" xfId="1">
      <alignment vertical="center"/>
    </xf>
    <xf numFmtId="0" fontId="20" fillId="5" borderId="22" applyAlignment="1" pivotButton="0" quotePrefix="0" xfId="0">
      <alignment horizontal="center" vertical="center"/>
    </xf>
    <xf numFmtId="164" fontId="21" fillId="5" borderId="23" applyAlignment="1" pivotButton="0" quotePrefix="0" xfId="1">
      <alignment vertical="center"/>
    </xf>
    <xf numFmtId="0" fontId="0" fillId="0" borderId="2" applyAlignment="1" pivotButton="0" quotePrefix="0" xfId="0">
      <alignment vertical="center"/>
    </xf>
    <xf numFmtId="170" fontId="0" fillId="0" borderId="1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164" fontId="0" fillId="4" borderId="9" applyAlignment="1" pivotButton="0" quotePrefix="0" xfId="0">
      <alignment vertical="center"/>
    </xf>
    <xf numFmtId="164" fontId="0" fillId="4" borderId="7" applyAlignment="1" pivotButton="0" quotePrefix="0" xfId="0">
      <alignment vertical="center"/>
    </xf>
    <xf numFmtId="164" fontId="0" fillId="4" borderId="11" applyAlignment="1" pivotButton="0" quotePrefix="0" xfId="0">
      <alignment vertical="center"/>
    </xf>
    <xf numFmtId="164" fontId="0" fillId="13" borderId="0" applyAlignment="1" pivotButton="0" quotePrefix="0" xfId="1">
      <alignment vertical="center"/>
    </xf>
    <xf numFmtId="173" fontId="0" fillId="13" borderId="0" applyAlignment="1" pivotButton="0" quotePrefix="0" xfId="1">
      <alignment vertical="center"/>
    </xf>
    <xf numFmtId="171" fontId="12" fillId="9" borderId="8" applyAlignment="1" pivotButton="0" quotePrefix="0" xfId="0">
      <alignment vertical="center"/>
    </xf>
    <xf numFmtId="164" fontId="12" fillId="9" borderId="0" applyAlignment="1" pivotButton="0" quotePrefix="0" xfId="1">
      <alignment vertical="center"/>
    </xf>
    <xf numFmtId="164" fontId="0" fillId="14" borderId="8" applyAlignment="1" pivotButton="0" quotePrefix="0" xfId="1">
      <alignment vertical="center"/>
    </xf>
    <xf numFmtId="0" fontId="20" fillId="12" borderId="1" applyAlignment="1" pivotButton="0" quotePrefix="0" xfId="0">
      <alignment horizontal="center" vertical="center"/>
    </xf>
    <xf numFmtId="9" fontId="21" fillId="12" borderId="1" applyAlignment="1" pivotButton="0" quotePrefix="0" xfId="1">
      <alignment vertical="center"/>
    </xf>
    <xf numFmtId="164" fontId="21" fillId="0" borderId="1" applyAlignment="1" pivotButton="0" quotePrefix="0" xfId="1">
      <alignment vertical="center"/>
    </xf>
    <xf numFmtId="0" fontId="20" fillId="6" borderId="1" applyAlignment="1" pivotButton="0" quotePrefix="0" xfId="0">
      <alignment horizontal="center" vertical="center"/>
    </xf>
    <xf numFmtId="164" fontId="24" fillId="15" borderId="9" applyAlignment="1" pivotButton="0" quotePrefix="0" xfId="1">
      <alignment vertical="center"/>
    </xf>
    <xf numFmtId="164" fontId="24" fillId="15" borderId="9" applyAlignment="1" pivotButton="0" quotePrefix="0" xfId="1">
      <alignment horizontal="left" vertical="center"/>
    </xf>
    <xf numFmtId="0" fontId="22" fillId="0" borderId="0" applyAlignment="1" pivotButton="0" quotePrefix="0" xfId="0">
      <alignment vertical="center"/>
    </xf>
    <xf numFmtId="164" fontId="21" fillId="12" borderId="24" applyAlignment="1" pivotButton="0" quotePrefix="0" xfId="1">
      <alignment vertical="center"/>
    </xf>
    <xf numFmtId="164" fontId="21" fillId="12" borderId="2" applyAlignment="1" pivotButton="0" quotePrefix="0" xfId="1">
      <alignment vertical="center"/>
    </xf>
    <xf numFmtId="164" fontId="0" fillId="12" borderId="2" applyAlignment="1" pivotButton="0" quotePrefix="0" xfId="1">
      <alignment vertical="center"/>
    </xf>
    <xf numFmtId="164" fontId="0" fillId="12" borderId="25" applyAlignment="1" pivotButton="0" quotePrefix="0" xfId="1">
      <alignment vertical="center"/>
    </xf>
    <xf numFmtId="0" fontId="4" fillId="0" borderId="0" applyAlignment="1" pivotButton="0" quotePrefix="0" xfId="0">
      <alignment vertical="center"/>
    </xf>
    <xf numFmtId="9" fontId="0" fillId="12" borderId="1" applyAlignment="1" pivotButton="0" quotePrefix="0" xfId="0">
      <alignment vertical="center"/>
    </xf>
    <xf numFmtId="164" fontId="22" fillId="0" borderId="0" applyAlignment="1" pivotButton="0" quotePrefix="0" xfId="1">
      <alignment vertical="center"/>
    </xf>
    <xf numFmtId="170" fontId="0" fillId="16" borderId="0" applyAlignment="1" pivotButton="0" quotePrefix="0" xfId="0">
      <alignment vertical="center"/>
    </xf>
    <xf numFmtId="165" fontId="0" fillId="16" borderId="0" applyAlignment="1" pivotButton="0" quotePrefix="0" xfId="0">
      <alignment vertical="center"/>
    </xf>
    <xf numFmtId="10" fontId="0" fillId="16" borderId="0" applyAlignment="1" pivotButton="0" quotePrefix="0" xfId="2">
      <alignment vertical="center"/>
    </xf>
    <xf numFmtId="176" fontId="0" fillId="16" borderId="0" applyAlignment="1" pivotButton="0" quotePrefix="0" xfId="2">
      <alignment vertical="center"/>
    </xf>
    <xf numFmtId="170" fontId="26" fillId="16" borderId="0" applyAlignment="1" pivotButton="0" quotePrefix="0" xfId="0">
      <alignment vertical="center"/>
    </xf>
    <xf numFmtId="165" fontId="0" fillId="16" borderId="0" applyAlignment="1" pivotButton="0" quotePrefix="0" xfId="0">
      <alignment horizontal="center" vertical="center"/>
    </xf>
    <xf numFmtId="10" fontId="0" fillId="16" borderId="0" applyAlignment="1" pivotButton="0" quotePrefix="0" xfId="2">
      <alignment horizontal="center" vertical="center"/>
    </xf>
    <xf numFmtId="170" fontId="26" fillId="0" borderId="0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4" fontId="0" fillId="17" borderId="1" applyAlignment="1" pivotButton="0" quotePrefix="0" xfId="1">
      <alignment vertical="center"/>
    </xf>
    <xf numFmtId="165" fontId="0" fillId="17" borderId="1" applyAlignment="1" pivotButton="0" quotePrefix="0" xfId="0">
      <alignment vertical="center"/>
    </xf>
    <xf numFmtId="165" fontId="2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vertical="center"/>
    </xf>
    <xf numFmtId="172" fontId="0" fillId="0" borderId="1" applyAlignment="1" pivotButton="0" quotePrefix="0" xfId="0">
      <alignment vertical="center"/>
    </xf>
    <xf numFmtId="171" fontId="0" fillId="0" borderId="1" applyAlignment="1" pivotButton="0" quotePrefix="0" xfId="0">
      <alignment vertical="center"/>
    </xf>
    <xf numFmtId="164" fontId="0" fillId="0" borderId="15" applyAlignment="1" pivotButton="0" quotePrefix="0" xfId="0">
      <alignment vertical="center"/>
    </xf>
    <xf numFmtId="164" fontId="0" fillId="0" borderId="15" applyAlignment="1" pivotButton="0" quotePrefix="0" xfId="1">
      <alignment vertical="center"/>
    </xf>
    <xf numFmtId="164" fontId="0" fillId="0" borderId="15" applyAlignment="1" pivotButton="0" quotePrefix="0" xfId="0">
      <alignment vertical="center"/>
    </xf>
    <xf numFmtId="0" fontId="4" fillId="0" borderId="13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165" fontId="0" fillId="14" borderId="0" applyAlignment="1" pivotButton="0" quotePrefix="0" xfId="0">
      <alignment vertical="center"/>
    </xf>
    <xf numFmtId="170" fontId="0" fillId="14" borderId="0" applyAlignment="1" pivotButton="0" quotePrefix="0" xfId="0">
      <alignment vertical="center"/>
    </xf>
    <xf numFmtId="170" fontId="26" fillId="0" borderId="0" applyAlignment="1" pivotButton="0" quotePrefix="0" xfId="0">
      <alignment vertical="center"/>
    </xf>
    <xf numFmtId="164" fontId="0" fillId="14" borderId="1" applyAlignment="1" pivotButton="0" quotePrefix="0" xfId="1">
      <alignment vertical="center"/>
    </xf>
    <xf numFmtId="165" fontId="0" fillId="0" borderId="13" applyAlignment="1" pivotButton="0" quotePrefix="0" xfId="0">
      <alignment vertical="center"/>
    </xf>
    <xf numFmtId="165" fontId="0" fillId="0" borderId="14" applyAlignment="1" pivotButton="0" quotePrefix="0" xfId="0">
      <alignment vertical="center"/>
    </xf>
    <xf numFmtId="165" fontId="0" fillId="0" borderId="15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1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0" fontId="29" fillId="0" borderId="13" applyAlignment="1" pivotButton="0" quotePrefix="0" xfId="0">
      <alignment horizontal="left" vertical="center"/>
    </xf>
    <xf numFmtId="0" fontId="28" fillId="0" borderId="14" applyAlignment="1" pivotButton="0" quotePrefix="0" xfId="0">
      <alignment vertical="center"/>
    </xf>
    <xf numFmtId="164" fontId="28" fillId="0" borderId="15" applyAlignment="1" pivotButton="0" quotePrefix="0" xfId="1">
      <alignment vertical="center"/>
    </xf>
    <xf numFmtId="172" fontId="28" fillId="0" borderId="0" applyAlignment="1" pivotButton="0" quotePrefix="0" xfId="0">
      <alignment vertical="center"/>
    </xf>
    <xf numFmtId="0" fontId="29" fillId="0" borderId="8" applyAlignment="1" pivotButton="0" quotePrefix="0" xfId="0">
      <alignment horizontal="left" vertical="center"/>
    </xf>
    <xf numFmtId="164" fontId="28" fillId="0" borderId="1" applyAlignment="1" pivotButton="0" quotePrefix="0" xfId="1">
      <alignment vertical="center"/>
    </xf>
    <xf numFmtId="171" fontId="28" fillId="0" borderId="1" applyAlignment="1" pivotButton="0" quotePrefix="0" xfId="0">
      <alignment vertical="center"/>
    </xf>
    <xf numFmtId="0" fontId="29" fillId="0" borderId="10" applyAlignment="1" pivotButton="0" quotePrefix="0" xfId="0">
      <alignment horizontal="left" vertical="center"/>
    </xf>
    <xf numFmtId="172" fontId="28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172" fontId="0" fillId="0" borderId="0" applyAlignment="1" pivotButton="0" quotePrefix="0" xfId="0">
      <alignment vertical="center"/>
    </xf>
    <xf numFmtId="165" fontId="31" fillId="0" borderId="1" applyAlignment="1" pivotButton="0" quotePrefix="0" xfId="0">
      <alignment vertical="center"/>
    </xf>
    <xf numFmtId="0" fontId="4" fillId="2" borderId="2" applyAlignment="1" pivotButton="0" quotePrefix="0" xfId="0">
      <alignment horizontal="centerContinuous" vertical="center"/>
    </xf>
    <xf numFmtId="0" fontId="4" fillId="2" borderId="3" applyAlignment="1" pivotButton="0" quotePrefix="0" xfId="0">
      <alignment horizontal="centerContinuous" vertical="center"/>
    </xf>
    <xf numFmtId="164" fontId="0" fillId="18" borderId="5" applyAlignment="1" pivotButton="0" quotePrefix="0" xfId="1">
      <alignment vertical="center"/>
    </xf>
    <xf numFmtId="164" fontId="0" fillId="18" borderId="8" applyAlignment="1" pivotButton="0" quotePrefix="0" xfId="0">
      <alignment vertical="center"/>
    </xf>
    <xf numFmtId="164" fontId="0" fillId="18" borderId="0" applyAlignment="1" pivotButton="0" quotePrefix="0" xfId="0">
      <alignment vertical="center"/>
    </xf>
    <xf numFmtId="164" fontId="0" fillId="18" borderId="9" applyAlignment="1" pivotButton="0" quotePrefix="0" xfId="0">
      <alignment vertical="center"/>
    </xf>
    <xf numFmtId="0" fontId="4" fillId="2" borderId="4" applyAlignment="1" pivotButton="0" quotePrefix="0" xfId="0">
      <alignment horizontal="centerContinuous" vertical="center"/>
    </xf>
    <xf numFmtId="164" fontId="4" fillId="2" borderId="1" applyAlignment="1" pivotButton="0" quotePrefix="0" xfId="0">
      <alignment horizontal="centerContinuous" vertical="center"/>
    </xf>
    <xf numFmtId="170" fontId="0" fillId="15" borderId="0" applyAlignment="1" pivotButton="0" quotePrefix="0" xfId="0">
      <alignment vertical="center"/>
    </xf>
    <xf numFmtId="0" fontId="0" fillId="2" borderId="3" applyAlignment="1" pivotButton="0" quotePrefix="0" xfId="0">
      <alignment horizontal="centerContinuous" vertical="center"/>
    </xf>
    <xf numFmtId="0" fontId="0" fillId="2" borderId="14" applyAlignment="1" pivotButton="0" quotePrefix="0" xfId="0">
      <alignment horizontal="centerContinuous" vertical="center"/>
    </xf>
    <xf numFmtId="0" fontId="0" fillId="2" borderId="15" applyAlignment="1" pivotButton="0" quotePrefix="0" xfId="0">
      <alignment horizontal="centerContinuous" vertical="center"/>
    </xf>
    <xf numFmtId="0" fontId="0" fillId="2" borderId="4" applyAlignment="1" pivotButton="0" quotePrefix="0" xfId="0">
      <alignment horizontal="centerContinuous" vertical="center"/>
    </xf>
    <xf numFmtId="0" fontId="0" fillId="9" borderId="5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164" fontId="0" fillId="0" borderId="33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70" fontId="0" fillId="18" borderId="0" applyAlignment="1" pivotButton="0" quotePrefix="0" xfId="0">
      <alignment vertical="center"/>
    </xf>
    <xf numFmtId="165" fontId="0" fillId="19" borderId="0" applyAlignment="1" pivotButton="0" quotePrefix="0" xfId="0">
      <alignment vertical="center"/>
    </xf>
    <xf numFmtId="170" fontId="0" fillId="19" borderId="0" applyAlignment="1" pivotButton="0" quotePrefix="0" xfId="0">
      <alignment vertical="center"/>
    </xf>
    <xf numFmtId="169" fontId="0" fillId="19" borderId="0" applyAlignment="1" pivotButton="0" quotePrefix="0" xfId="0">
      <alignment vertical="center"/>
    </xf>
    <xf numFmtId="10" fontId="0" fillId="19" borderId="0" applyAlignment="1" pivotButton="0" quotePrefix="0" xfId="2">
      <alignment vertical="center"/>
    </xf>
    <xf numFmtId="165" fontId="26" fillId="0" borderId="0" applyAlignment="1" pivotButton="0" quotePrefix="0" xfId="0">
      <alignment vertical="center"/>
    </xf>
    <xf numFmtId="170" fontId="12" fillId="0" borderId="0" applyAlignment="1" pivotButton="0" quotePrefix="0" xfId="0">
      <alignment vertical="center"/>
    </xf>
    <xf numFmtId="170" fontId="12" fillId="0" borderId="0" applyAlignment="1" pivotButton="0" quotePrefix="0" xfId="0">
      <alignment vertical="center"/>
    </xf>
    <xf numFmtId="170" fontId="26" fillId="19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7" fontId="0" fillId="16" borderId="0" applyAlignment="1" pivotButton="0" quotePrefix="0" xfId="0">
      <alignment vertical="center"/>
    </xf>
    <xf numFmtId="176" fontId="0" fillId="19" borderId="0" applyAlignment="1" pivotButton="0" quotePrefix="0" xfId="2">
      <alignment vertical="center"/>
    </xf>
    <xf numFmtId="165" fontId="22" fillId="0" borderId="0" applyAlignment="1" pivotButton="0" quotePrefix="0" xfId="0">
      <alignment vertical="center"/>
    </xf>
    <xf numFmtId="168" fontId="22" fillId="0" borderId="0" applyAlignment="1" pivotButton="0" quotePrefix="0" xfId="0">
      <alignment vertical="center"/>
    </xf>
    <xf numFmtId="169" fontId="22" fillId="19" borderId="0" applyAlignment="1" pivotButton="0" quotePrefix="0" xfId="0">
      <alignment vertical="center"/>
    </xf>
    <xf numFmtId="165" fontId="22" fillId="19" borderId="0" applyAlignment="1" pivotButton="0" quotePrefix="0" xfId="0">
      <alignment vertical="center"/>
    </xf>
    <xf numFmtId="165" fontId="0" fillId="18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0" fontId="0" fillId="0" borderId="0" applyAlignment="1" pivotButton="0" quotePrefix="0" xfId="2">
      <alignment vertical="center"/>
    </xf>
    <xf numFmtId="166" fontId="0" fillId="0" borderId="0" applyAlignment="1" pivotButton="0" quotePrefix="0" xfId="2">
      <alignment vertical="center"/>
    </xf>
    <xf numFmtId="177" fontId="0" fillId="0" borderId="0" applyAlignment="1" pivotButton="0" quotePrefix="0" xfId="2">
      <alignment vertical="center"/>
    </xf>
    <xf numFmtId="166" fontId="0" fillId="0" borderId="0" applyAlignment="1" pivotButton="0" quotePrefix="0" xfId="2">
      <alignment vertical="center"/>
    </xf>
    <xf numFmtId="178" fontId="0" fillId="0" borderId="0" applyAlignment="1" pivotButton="0" quotePrefix="0" xfId="2">
      <alignment vertical="center"/>
    </xf>
    <xf numFmtId="165" fontId="0" fillId="0" borderId="0" applyAlignment="1" pivotButton="0" quotePrefix="0" xfId="0">
      <alignment horizontal="center" vertical="center"/>
    </xf>
    <xf numFmtId="10" fontId="0" fillId="0" borderId="0" applyAlignment="1" pivotButton="0" quotePrefix="0" xfId="2">
      <alignment horizontal="center" vertical="center"/>
    </xf>
    <xf numFmtId="164" fontId="0" fillId="0" borderId="1" applyAlignment="1" pivotButton="0" quotePrefix="0" xfId="1">
      <alignment vertical="center"/>
    </xf>
    <xf numFmtId="14" fontId="0" fillId="0" borderId="0" applyAlignment="1" pivotButton="0" quotePrefix="0" xfId="0">
      <alignment vertical="center"/>
    </xf>
    <xf numFmtId="14" fontId="0" fillId="0" borderId="0" applyAlignment="1" pivotButton="0" quotePrefix="1" xfId="0">
      <alignment vertical="center"/>
    </xf>
    <xf numFmtId="177" fontId="0" fillId="2" borderId="0" applyAlignment="1" pivotButton="0" quotePrefix="0" xfId="2">
      <alignment vertical="center"/>
    </xf>
    <xf numFmtId="170" fontId="26" fillId="2" borderId="0" applyAlignment="1" pivotButton="0" quotePrefix="0" xfId="0">
      <alignment vertical="center"/>
    </xf>
    <xf numFmtId="14" fontId="0" fillId="9" borderId="0" applyAlignment="1" pivotButton="0" quotePrefix="0" xfId="1">
      <alignment vertical="center"/>
    </xf>
    <xf numFmtId="164" fontId="24" fillId="0" borderId="9" applyAlignment="1" pivotButton="0" quotePrefix="0" xfId="1">
      <alignment vertical="center"/>
    </xf>
    <xf numFmtId="164" fontId="24" fillId="0" borderId="9" applyAlignment="1" pivotButton="0" quotePrefix="0" xfId="1">
      <alignment horizontal="left" vertical="center"/>
    </xf>
    <xf numFmtId="164" fontId="3" fillId="0" borderId="9" applyAlignment="1" pivotButton="0" quotePrefix="0" xfId="1">
      <alignment vertical="center"/>
    </xf>
    <xf numFmtId="164" fontId="24" fillId="9" borderId="8" applyAlignment="1" pivotButton="0" quotePrefix="0" xfId="1">
      <alignment vertical="center"/>
    </xf>
    <xf numFmtId="164" fontId="32" fillId="11" borderId="5" applyAlignment="1" pivotButton="0" quotePrefix="0" xfId="1">
      <alignment vertical="center"/>
    </xf>
    <xf numFmtId="164" fontId="32" fillId="11" borderId="8" applyAlignment="1" pivotButton="0" quotePrefix="0" xfId="0">
      <alignment vertical="center"/>
    </xf>
    <xf numFmtId="164" fontId="32" fillId="11" borderId="0" applyAlignment="1" pivotButton="0" quotePrefix="0" xfId="1">
      <alignment vertical="center"/>
    </xf>
    <xf numFmtId="164" fontId="32" fillId="11" borderId="9" applyAlignment="1" pivotButton="0" quotePrefix="0" xfId="1">
      <alignment vertical="center"/>
    </xf>
    <xf numFmtId="164" fontId="32" fillId="11" borderId="6" applyAlignment="1" pivotButton="0" quotePrefix="0" xfId="1">
      <alignment vertical="center"/>
    </xf>
    <xf numFmtId="164" fontId="32" fillId="11" borderId="10" applyAlignment="1" pivotButton="0" quotePrefix="0" xfId="0">
      <alignment vertical="center"/>
    </xf>
    <xf numFmtId="164" fontId="32" fillId="11" borderId="7" applyAlignment="1" pivotButton="0" quotePrefix="0" xfId="1">
      <alignment vertical="center"/>
    </xf>
    <xf numFmtId="164" fontId="32" fillId="11" borderId="11" applyAlignment="1" pivotButton="0" quotePrefix="0" xfId="1">
      <alignment vertical="center"/>
    </xf>
    <xf numFmtId="164" fontId="32" fillId="9" borderId="5" applyAlignment="1" pivotButton="0" quotePrefix="0" xfId="1">
      <alignment vertical="center"/>
    </xf>
    <xf numFmtId="164" fontId="32" fillId="9" borderId="8" applyAlignment="1" pivotButton="0" quotePrefix="0" xfId="0">
      <alignment vertical="center"/>
    </xf>
    <xf numFmtId="164" fontId="32" fillId="9" borderId="0" applyAlignment="1" pivotButton="0" quotePrefix="0" xfId="1">
      <alignment vertical="center"/>
    </xf>
    <xf numFmtId="164" fontId="32" fillId="9" borderId="9" applyAlignment="1" pivotButton="0" quotePrefix="0" xfId="1">
      <alignment vertical="center"/>
    </xf>
    <xf numFmtId="164" fontId="12" fillId="11" borderId="5" applyAlignment="1" pivotButton="0" quotePrefix="0" xfId="1">
      <alignment vertical="center"/>
    </xf>
    <xf numFmtId="179" fontId="0" fillId="0" borderId="1" applyAlignment="1" pivotButton="0" quotePrefix="0" xfId="0">
      <alignment horizontal="center" vertical="center"/>
    </xf>
    <xf numFmtId="164" fontId="0" fillId="0" borderId="13" applyAlignment="1" pivotButton="0" quotePrefix="0" xfId="0">
      <alignment vertical="center"/>
    </xf>
    <xf numFmtId="164" fontId="0" fillId="0" borderId="14" applyAlignment="1" pivotButton="0" quotePrefix="0" xfId="1">
      <alignment vertical="center"/>
    </xf>
    <xf numFmtId="164" fontId="0" fillId="0" borderId="11" applyAlignment="1" pivotButton="0" quotePrefix="0" xfId="1">
      <alignment vertical="center"/>
    </xf>
    <xf numFmtId="164" fontId="0" fillId="0" borderId="14" applyAlignment="1" pivotButton="0" quotePrefix="0" xfId="0">
      <alignment vertical="center"/>
    </xf>
    <xf numFmtId="176" fontId="0" fillId="12" borderId="26" applyAlignment="1" pivotButton="0" quotePrefix="0" xfId="2">
      <alignment horizontal="center" vertical="center"/>
    </xf>
    <xf numFmtId="176" fontId="0" fillId="12" borderId="27" applyAlignment="1" pivotButton="0" quotePrefix="0" xfId="2">
      <alignment horizontal="center" vertical="center"/>
    </xf>
    <xf numFmtId="176" fontId="0" fillId="12" borderId="28" applyAlignment="1" pivotButton="0" quotePrefix="0" xfId="2">
      <alignment horizontal="center" vertical="center"/>
    </xf>
    <xf numFmtId="176" fontId="0" fillId="12" borderId="29" applyAlignment="1" pivotButton="0" quotePrefix="0" xfId="2">
      <alignment horizontal="center" vertical="center"/>
    </xf>
    <xf numFmtId="176" fontId="0" fillId="12" borderId="30" applyAlignment="1" pivotButton="0" quotePrefix="0" xfId="2">
      <alignment horizontal="center" vertical="center"/>
    </xf>
    <xf numFmtId="176" fontId="0" fillId="12" borderId="31" applyAlignment="1" pivotButton="0" quotePrefix="0" xfId="2">
      <alignment horizontal="center" vertical="center"/>
    </xf>
    <xf numFmtId="9" fontId="9" fillId="12" borderId="29" applyAlignment="1" pivotButton="0" quotePrefix="0" xfId="0">
      <alignment horizontal="center" vertical="center"/>
    </xf>
    <xf numFmtId="9" fontId="9" fillId="12" borderId="30" applyAlignment="1" pivotButton="0" quotePrefix="0" xfId="0">
      <alignment horizontal="center" vertical="center"/>
    </xf>
    <xf numFmtId="9" fontId="9" fillId="12" borderId="31" applyAlignment="1" pivotButton="0" quotePrefix="0" xfId="0">
      <alignment horizontal="center" vertical="center"/>
    </xf>
    <xf numFmtId="9" fontId="0" fillId="12" borderId="29" applyAlignment="1" pivotButton="0" quotePrefix="0" xfId="0">
      <alignment horizontal="center" vertical="center"/>
    </xf>
    <xf numFmtId="9" fontId="0" fillId="12" borderId="30" applyAlignment="1" pivotButton="0" quotePrefix="0" xfId="0">
      <alignment horizontal="center" vertical="center"/>
    </xf>
    <xf numFmtId="9" fontId="0" fillId="12" borderId="3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/>
    </xf>
    <xf numFmtId="165" fontId="30" fillId="0" borderId="1" applyAlignment="1" pivotButton="0" quotePrefix="0" xfId="0">
      <alignment horizontal="center" vertical="center"/>
    </xf>
    <xf numFmtId="165" fontId="31" fillId="0" borderId="1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6" borderId="9" applyAlignment="1" pivotButton="0" quotePrefix="0" xfId="0">
      <alignment horizontal="center" vertical="center" wrapText="1"/>
    </xf>
    <xf numFmtId="0" fontId="0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164" fontId="0" fillId="0" borderId="0" applyAlignment="1" pivotButton="0" quotePrefix="0" xfId="0">
      <alignment vertical="center"/>
    </xf>
    <xf numFmtId="164" fontId="4" fillId="8" borderId="2" applyAlignment="1" pivotButton="0" quotePrefix="0" xfId="0">
      <alignment horizontal="centerContinuous" vertical="center"/>
    </xf>
    <xf numFmtId="164" fontId="4" fillId="8" borderId="3" applyAlignment="1" pivotButton="0" quotePrefix="0" xfId="0">
      <alignment horizontal="centerContinuous" vertical="center"/>
    </xf>
    <xf numFmtId="164" fontId="4" fillId="8" borderId="4" applyAlignment="1" pivotButton="0" quotePrefix="0" xfId="0">
      <alignment horizontal="centerContinuous" vertical="center"/>
    </xf>
    <xf numFmtId="164" fontId="0" fillId="0" borderId="15" applyAlignment="1" pivotButton="0" quotePrefix="0" xfId="1">
      <alignment vertical="center"/>
    </xf>
    <xf numFmtId="172" fontId="0" fillId="0" borderId="0" applyAlignment="1" pivotButton="0" quotePrefix="0" xfId="0">
      <alignment vertical="center"/>
    </xf>
    <xf numFmtId="164" fontId="0" fillId="0" borderId="1" applyAlignment="1" pivotButton="0" quotePrefix="0" xfId="1">
      <alignment vertical="center"/>
    </xf>
    <xf numFmtId="171" fontId="0" fillId="0" borderId="1" applyAlignment="1" pivotButton="0" quotePrefix="0" xfId="0">
      <alignment vertical="center"/>
    </xf>
    <xf numFmtId="164" fontId="0" fillId="4" borderId="5" applyAlignment="1" pivotButton="0" quotePrefix="0" xfId="1">
      <alignment vertical="center"/>
    </xf>
    <xf numFmtId="164" fontId="0" fillId="4" borderId="8" applyAlignment="1" pivotButton="0" quotePrefix="0" xfId="0">
      <alignment vertical="center"/>
    </xf>
    <xf numFmtId="164" fontId="0" fillId="4" borderId="0" applyAlignment="1" pivotButton="0" quotePrefix="0" xfId="1">
      <alignment vertical="center"/>
    </xf>
    <xf numFmtId="164" fontId="0" fillId="4" borderId="9" applyAlignment="1" pivotButton="0" quotePrefix="0" xfId="1">
      <alignment vertical="center"/>
    </xf>
    <xf numFmtId="164" fontId="0" fillId="4" borderId="0" applyAlignment="1" pivotButton="0" quotePrefix="0" xfId="0">
      <alignment vertical="center"/>
    </xf>
    <xf numFmtId="164" fontId="0" fillId="4" borderId="9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0" fillId="0" borderId="5" applyAlignment="1" pivotButton="0" quotePrefix="0" xfId="1">
      <alignment vertical="center"/>
    </xf>
    <xf numFmtId="164" fontId="0" fillId="0" borderId="8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4" fontId="0" fillId="0" borderId="9" applyAlignment="1" pivotButton="0" quotePrefix="0" xfId="1">
      <alignment vertical="center"/>
    </xf>
    <xf numFmtId="164" fontId="0" fillId="0" borderId="9" applyAlignment="1" pivotButton="0" quotePrefix="0" xfId="0">
      <alignment vertical="center"/>
    </xf>
    <xf numFmtId="164" fontId="0" fillId="18" borderId="5" applyAlignment="1" pivotButton="0" quotePrefix="0" xfId="1">
      <alignment vertical="center"/>
    </xf>
    <xf numFmtId="164" fontId="0" fillId="18" borderId="8" applyAlignment="1" pivotButton="0" quotePrefix="0" xfId="0">
      <alignment vertical="center"/>
    </xf>
    <xf numFmtId="164" fontId="0" fillId="18" borderId="0" applyAlignment="1" pivotButton="0" quotePrefix="0" xfId="0">
      <alignment vertical="center"/>
    </xf>
    <xf numFmtId="164" fontId="0" fillId="18" borderId="9" applyAlignment="1" pivotButton="0" quotePrefix="0" xfId="0">
      <alignment vertical="center"/>
    </xf>
    <xf numFmtId="172" fontId="0" fillId="0" borderId="1" applyAlignment="1" pivotButton="0" quotePrefix="0" xfId="0">
      <alignment vertical="center"/>
    </xf>
    <xf numFmtId="164" fontId="0" fillId="0" borderId="15" applyAlignment="1" pivotButton="0" quotePrefix="0" xfId="0">
      <alignment vertical="center"/>
    </xf>
    <xf numFmtId="164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0">
      <alignment vertical="center"/>
    </xf>
    <xf numFmtId="164" fontId="21" fillId="12" borderId="24" applyAlignment="1" pivotButton="0" quotePrefix="0" xfId="1">
      <alignment vertical="center"/>
    </xf>
    <xf numFmtId="176" fontId="0" fillId="12" borderId="26" applyAlignment="1" pivotButton="0" quotePrefix="0" xfId="2">
      <alignment horizontal="center" vertical="center"/>
    </xf>
    <xf numFmtId="164" fontId="21" fillId="12" borderId="2" applyAlignment="1" pivotButton="0" quotePrefix="0" xfId="1">
      <alignment vertical="center"/>
    </xf>
    <xf numFmtId="0" fontId="0" fillId="0" borderId="30" pivotButton="0" quotePrefix="0" xfId="0"/>
    <xf numFmtId="164" fontId="0" fillId="12" borderId="2" applyAlignment="1" pivotButton="0" quotePrefix="0" xfId="1">
      <alignment vertical="center"/>
    </xf>
    <xf numFmtId="164" fontId="0" fillId="12" borderId="25" applyAlignment="1" pivotButton="0" quotePrefix="0" xfId="1">
      <alignment vertical="center"/>
    </xf>
    <xf numFmtId="0" fontId="0" fillId="0" borderId="35" pivotButton="0" quotePrefix="0" xfId="0"/>
    <xf numFmtId="172" fontId="22" fillId="0" borderId="0" applyAlignment="1" pivotButton="0" quotePrefix="0" xfId="0">
      <alignment vertical="center"/>
    </xf>
    <xf numFmtId="164" fontId="21" fillId="0" borderId="17" applyAlignment="1" pivotButton="0" quotePrefix="0" xfId="1">
      <alignment vertical="center"/>
    </xf>
    <xf numFmtId="164" fontId="21" fillId="0" borderId="19" applyAlignment="1" pivotButton="0" quotePrefix="0" xfId="1">
      <alignment vertical="center"/>
    </xf>
    <xf numFmtId="164" fontId="21" fillId="0" borderId="23" applyAlignment="1" pivotButton="0" quotePrefix="0" xfId="1">
      <alignment vertical="center"/>
    </xf>
    <xf numFmtId="171" fontId="0" fillId="0" borderId="0" applyAlignment="1" pivotButton="0" quotePrefix="0" xfId="0">
      <alignment vertical="center"/>
    </xf>
    <xf numFmtId="176" fontId="0" fillId="12" borderId="36" applyAlignment="1" pivotButton="0" quotePrefix="0" xfId="2">
      <alignment horizontal="center" vertical="center"/>
    </xf>
    <xf numFmtId="0" fontId="0" fillId="0" borderId="31" pivotButton="0" quotePrefix="0" xfId="0"/>
    <xf numFmtId="164" fontId="21" fillId="5" borderId="17" applyAlignment="1" pivotButton="0" quotePrefix="0" xfId="1">
      <alignment vertical="center"/>
    </xf>
    <xf numFmtId="164" fontId="22" fillId="0" borderId="0" applyAlignment="1" pivotButton="0" quotePrefix="0" xfId="0">
      <alignment vertical="center"/>
    </xf>
    <xf numFmtId="164" fontId="21" fillId="5" borderId="19" applyAlignment="1" pivotButton="0" quotePrefix="0" xfId="1">
      <alignment vertical="center"/>
    </xf>
    <xf numFmtId="164" fontId="21" fillId="5" borderId="23" applyAlignment="1" pivotButton="0" quotePrefix="0" xfId="1">
      <alignment vertical="center"/>
    </xf>
    <xf numFmtId="164" fontId="0" fillId="4" borderId="6" applyAlignment="1" pivotButton="0" quotePrefix="0" xfId="1">
      <alignment vertical="center"/>
    </xf>
    <xf numFmtId="164" fontId="0" fillId="4" borderId="10" applyAlignment="1" pivotButton="0" quotePrefix="0" xfId="0">
      <alignment vertical="center"/>
    </xf>
    <xf numFmtId="164" fontId="0" fillId="4" borderId="7" applyAlignment="1" pivotButton="0" quotePrefix="0" xfId="1">
      <alignment vertical="center"/>
    </xf>
    <xf numFmtId="164" fontId="0" fillId="4" borderId="11" applyAlignment="1" pivotButton="0" quotePrefix="0" xfId="1">
      <alignment vertical="center"/>
    </xf>
    <xf numFmtId="164" fontId="0" fillId="4" borderId="7" applyAlignment="1" pivotButton="0" quotePrefix="0" xfId="0">
      <alignment vertical="center"/>
    </xf>
    <xf numFmtId="164" fontId="0" fillId="4" borderId="11" applyAlignment="1" pivotButton="0" quotePrefix="0" xfId="0">
      <alignment vertical="center"/>
    </xf>
    <xf numFmtId="172" fontId="0" fillId="0" borderId="0" applyAlignment="1" pivotButton="0" quotePrefix="0" xfId="0">
      <alignment horizontal="center" vertical="center"/>
    </xf>
    <xf numFmtId="172" fontId="19" fillId="11" borderId="0" applyAlignment="1" pivotButton="0" quotePrefix="0" xfId="0">
      <alignment vertical="center"/>
    </xf>
    <xf numFmtId="164" fontId="0" fillId="11" borderId="0" applyAlignment="1" pivotButton="0" quotePrefix="0" xfId="0">
      <alignment vertical="center"/>
    </xf>
    <xf numFmtId="164" fontId="4" fillId="11" borderId="2" applyAlignment="1" pivotButton="0" quotePrefix="0" xfId="0">
      <alignment horizontal="centerContinuous" vertical="center"/>
    </xf>
    <xf numFmtId="164" fontId="4" fillId="11" borderId="3" applyAlignment="1" pivotButton="0" quotePrefix="0" xfId="0">
      <alignment horizontal="centerContinuous" vertical="center"/>
    </xf>
    <xf numFmtId="164" fontId="4" fillId="11" borderId="4" applyAlignment="1" pivotButton="0" quotePrefix="0" xfId="0">
      <alignment horizontal="centerContinuous" vertical="center"/>
    </xf>
    <xf numFmtId="164" fontId="4" fillId="8" borderId="1" applyAlignment="1" pivotButton="0" quotePrefix="0" xfId="0">
      <alignment horizontal="centerContinuous" vertical="center"/>
    </xf>
    <xf numFmtId="164" fontId="4" fillId="2" borderId="1" applyAlignment="1" pivotButton="0" quotePrefix="0" xfId="0">
      <alignment horizontal="centerContinuous" vertical="center"/>
    </xf>
    <xf numFmtId="164" fontId="4" fillId="3" borderId="3" applyAlignment="1" pivotButton="0" quotePrefix="0" xfId="0">
      <alignment horizontal="centerContinuous" vertical="center"/>
    </xf>
    <xf numFmtId="164" fontId="4" fillId="3" borderId="4" applyAlignment="1" pivotButton="0" quotePrefix="0" xfId="0">
      <alignment horizontal="centerContinuous" vertical="center"/>
    </xf>
    <xf numFmtId="164" fontId="0" fillId="11" borderId="5" applyAlignment="1" pivotButton="0" quotePrefix="0" xfId="1">
      <alignment vertical="center"/>
    </xf>
    <xf numFmtId="164" fontId="0" fillId="11" borderId="13" applyAlignment="1" pivotButton="0" quotePrefix="0" xfId="0">
      <alignment vertical="center"/>
    </xf>
    <xf numFmtId="164" fontId="0" fillId="11" borderId="14" applyAlignment="1" pivotButton="0" quotePrefix="0" xfId="1">
      <alignment vertical="center"/>
    </xf>
    <xf numFmtId="164" fontId="0" fillId="11" borderId="15" applyAlignment="1" pivotButton="0" quotePrefix="0" xfId="1">
      <alignment vertical="center"/>
    </xf>
    <xf numFmtId="164" fontId="0" fillId="11" borderId="9" applyAlignment="1" pivotButton="0" quotePrefix="0" xfId="1">
      <alignment vertical="center"/>
    </xf>
    <xf numFmtId="164" fontId="0" fillId="4" borderId="13" applyAlignment="1" pivotButton="0" quotePrefix="0" xfId="0">
      <alignment vertical="center"/>
    </xf>
    <xf numFmtId="164" fontId="0" fillId="4" borderId="14" applyAlignment="1" pivotButton="0" quotePrefix="0" xfId="1">
      <alignment vertical="center"/>
    </xf>
    <xf numFmtId="164" fontId="0" fillId="4" borderId="12" applyAlignment="1" pivotButton="0" quotePrefix="0" xfId="1">
      <alignment vertical="center"/>
    </xf>
    <xf numFmtId="164" fontId="0" fillId="4" borderId="12" applyAlignment="1" pivotButton="0" quotePrefix="0" xfId="0">
      <alignment vertical="center"/>
    </xf>
    <xf numFmtId="164" fontId="0" fillId="11" borderId="8" applyAlignment="1" pivotButton="0" quotePrefix="0" xfId="0">
      <alignment vertical="center"/>
    </xf>
    <xf numFmtId="164" fontId="0" fillId="11" borderId="0" applyAlignment="1" pivotButton="0" quotePrefix="0" xfId="1">
      <alignment vertical="center"/>
    </xf>
    <xf numFmtId="164" fontId="0" fillId="0" borderId="5" applyAlignment="1" pivotButton="0" quotePrefix="0" xfId="0">
      <alignment vertical="center"/>
    </xf>
    <xf numFmtId="164" fontId="0" fillId="0" borderId="12" applyAlignment="1" pivotButton="0" quotePrefix="0" xfId="1">
      <alignment vertical="center"/>
    </xf>
    <xf numFmtId="164" fontId="22" fillId="0" borderId="0" applyAlignment="1" pivotButton="0" quotePrefix="0" xfId="1">
      <alignment vertical="center"/>
    </xf>
    <xf numFmtId="164" fontId="21" fillId="12" borderId="17" applyAlignment="1" pivotButton="0" quotePrefix="0" xfId="1">
      <alignment vertical="center"/>
    </xf>
    <xf numFmtId="9" fontId="9" fillId="12" borderId="36" applyAlignment="1" pivotButton="0" quotePrefix="0" xfId="0">
      <alignment horizontal="center" vertical="center"/>
    </xf>
    <xf numFmtId="164" fontId="21" fillId="12" borderId="21" applyAlignment="1" pivotButton="0" quotePrefix="0" xfId="1">
      <alignment vertical="center"/>
    </xf>
    <xf numFmtId="164" fontId="0" fillId="12" borderId="21" applyAlignment="1" pivotButton="0" quotePrefix="0" xfId="1">
      <alignment vertical="center"/>
    </xf>
    <xf numFmtId="164" fontId="0" fillId="12" borderId="19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176" fontId="22" fillId="0" borderId="0" applyAlignment="1" pivotButton="0" quotePrefix="0" xfId="2">
      <alignment vertical="center"/>
    </xf>
    <xf numFmtId="9" fontId="0" fillId="12" borderId="36" applyAlignment="1" pivotButton="0" quotePrefix="0" xfId="0">
      <alignment horizontal="center" vertical="center"/>
    </xf>
    <xf numFmtId="164" fontId="0" fillId="11" borderId="6" applyAlignment="1" pivotButton="0" quotePrefix="0" xfId="1">
      <alignment vertical="center"/>
    </xf>
    <xf numFmtId="164" fontId="0" fillId="11" borderId="10" applyAlignment="1" pivotButton="0" quotePrefix="0" xfId="0">
      <alignment vertical="center"/>
    </xf>
    <xf numFmtId="164" fontId="0" fillId="11" borderId="7" applyAlignment="1" pivotButton="0" quotePrefix="0" xfId="1">
      <alignment vertical="center"/>
    </xf>
    <xf numFmtId="164" fontId="0" fillId="11" borderId="11" applyAlignment="1" pivotButton="0" quotePrefix="0" xfId="1">
      <alignment vertical="center"/>
    </xf>
    <xf numFmtId="164" fontId="0" fillId="0" borderId="10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77" fontId="0" fillId="0" borderId="0" applyAlignment="1" pivotButton="0" quotePrefix="0" xfId="2">
      <alignment vertical="center"/>
    </xf>
    <xf numFmtId="170" fontId="0" fillId="14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65" fontId="0" fillId="14" borderId="0" applyAlignment="1" pivotButton="0" quotePrefix="0" xfId="0">
      <alignment vertical="center"/>
    </xf>
    <xf numFmtId="165" fontId="0" fillId="0" borderId="0" applyAlignment="1" pivotButton="0" quotePrefix="1" xfId="0">
      <alignment vertical="center"/>
    </xf>
    <xf numFmtId="164" fontId="4" fillId="0" borderId="1" applyAlignment="1" pivotButton="0" quotePrefix="0" xfId="1">
      <alignment horizontal="right" vertical="center"/>
    </xf>
    <xf numFmtId="165" fontId="0" fillId="0" borderId="1" applyAlignment="1" pivotButton="0" quotePrefix="0" xfId="0">
      <alignment vertical="center"/>
    </xf>
    <xf numFmtId="165" fontId="0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vertical="center"/>
    </xf>
    <xf numFmtId="166" fontId="0" fillId="7" borderId="0" applyAlignment="1" pivotButton="0" quotePrefix="0" xfId="2">
      <alignment vertical="center"/>
    </xf>
    <xf numFmtId="167" fontId="5" fillId="0" borderId="0" applyAlignment="1" pivotButton="0" quotePrefix="0" xfId="0">
      <alignment vertical="center"/>
    </xf>
    <xf numFmtId="177" fontId="0" fillId="2" borderId="0" applyAlignment="1" pivotButton="0" quotePrefix="0" xfId="2">
      <alignment vertical="center"/>
    </xf>
    <xf numFmtId="166" fontId="0" fillId="0" borderId="0" applyAlignment="1" pivotButton="0" quotePrefix="0" xfId="2">
      <alignment vertical="center"/>
    </xf>
    <xf numFmtId="170" fontId="0" fillId="0" borderId="1" applyAlignment="1" pivotButton="0" quotePrefix="0" xfId="0">
      <alignment vertical="center"/>
    </xf>
    <xf numFmtId="165" fontId="0" fillId="0" borderId="0" applyAlignment="1" pivotButton="0" quotePrefix="0" xfId="0">
      <alignment horizontal="center" vertical="center"/>
    </xf>
    <xf numFmtId="178" fontId="0" fillId="0" borderId="0" applyAlignment="1" pivotButton="0" quotePrefix="0" xfId="2">
      <alignment vertical="center"/>
    </xf>
    <xf numFmtId="41" fontId="0" fillId="0" borderId="1" applyAlignment="1" pivotButton="0" quotePrefix="0" xfId="1">
      <alignment vertical="center"/>
    </xf>
    <xf numFmtId="170" fontId="26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75" fontId="0" fillId="0" borderId="0" applyAlignment="1" pivotButton="0" quotePrefix="0" xfId="1">
      <alignment vertical="center"/>
    </xf>
    <xf numFmtId="170" fontId="26" fillId="2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70" fontId="0" fillId="15" borderId="0" applyAlignment="1" pivotButton="0" quotePrefix="0" xfId="0">
      <alignment vertical="center"/>
    </xf>
    <xf numFmtId="165" fontId="0" fillId="0" borderId="2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41" fontId="0" fillId="2" borderId="1" applyAlignment="1" pivotButton="0" quotePrefix="0" xfId="1">
      <alignment vertical="center"/>
    </xf>
    <xf numFmtId="41" fontId="0" fillId="0" borderId="0" applyAlignment="1" pivotButton="0" quotePrefix="0" xfId="1">
      <alignment vertical="center"/>
    </xf>
    <xf numFmtId="164" fontId="21" fillId="0" borderId="1" applyAlignment="1" pivotButton="0" quotePrefix="0" xfId="1">
      <alignment vertical="center"/>
    </xf>
    <xf numFmtId="165" fontId="28" fillId="0" borderId="0" applyAlignment="1" pivotButton="0" quotePrefix="0" xfId="0">
      <alignment vertical="center"/>
    </xf>
    <xf numFmtId="164" fontId="28" fillId="0" borderId="15" applyAlignment="1" pivotButton="0" quotePrefix="0" xfId="1">
      <alignment vertical="center"/>
    </xf>
    <xf numFmtId="172" fontId="28" fillId="0" borderId="0" applyAlignment="1" pivotButton="0" quotePrefix="0" xfId="0">
      <alignment vertical="center"/>
    </xf>
    <xf numFmtId="164" fontId="28" fillId="0" borderId="1" applyAlignment="1" pivotButton="0" quotePrefix="0" xfId="1">
      <alignment vertical="center"/>
    </xf>
    <xf numFmtId="171" fontId="28" fillId="0" borderId="1" applyAlignment="1" pivotButton="0" quotePrefix="0" xfId="0">
      <alignment vertical="center"/>
    </xf>
    <xf numFmtId="172" fontId="28" fillId="0" borderId="1" applyAlignment="1" pivotButton="0" quotePrefix="0" xfId="0">
      <alignment vertical="center"/>
    </xf>
    <xf numFmtId="164" fontId="0" fillId="0" borderId="14" applyAlignment="1" pivotButton="0" quotePrefix="0" xfId="0">
      <alignment vertical="center"/>
    </xf>
    <xf numFmtId="164" fontId="0" fillId="0" borderId="14" applyAlignment="1" pivotButton="0" quotePrefix="0" xfId="1">
      <alignment vertical="center"/>
    </xf>
    <xf numFmtId="0" fontId="0" fillId="0" borderId="9" pivotButton="0" quotePrefix="0" xfId="0"/>
    <xf numFmtId="171" fontId="0" fillId="0" borderId="8" applyAlignment="1" pivotButton="0" quotePrefix="0" xfId="0">
      <alignment vertical="center"/>
    </xf>
    <xf numFmtId="164" fontId="0" fillId="9" borderId="5" applyAlignment="1" pivotButton="0" quotePrefix="0" xfId="1">
      <alignment vertical="center"/>
    </xf>
    <xf numFmtId="164" fontId="0" fillId="9" borderId="8" applyAlignment="1" pivotButton="0" quotePrefix="0" xfId="0">
      <alignment vertical="center"/>
    </xf>
    <xf numFmtId="164" fontId="0" fillId="9" borderId="0" applyAlignment="1" pivotButton="0" quotePrefix="0" xfId="1">
      <alignment vertical="center"/>
    </xf>
    <xf numFmtId="164" fontId="0" fillId="9" borderId="9" applyAlignment="1" pivotButton="0" quotePrefix="0" xfId="1">
      <alignment vertical="center"/>
    </xf>
    <xf numFmtId="164" fontId="0" fillId="9" borderId="0" applyAlignment="1" pivotButton="0" quotePrefix="0" xfId="0">
      <alignment vertical="center"/>
    </xf>
    <xf numFmtId="164" fontId="0" fillId="9" borderId="9" applyAlignment="1" pivotButton="0" quotePrefix="0" xfId="0">
      <alignment vertical="center"/>
    </xf>
    <xf numFmtId="171" fontId="0" fillId="9" borderId="8" applyAlignment="1" pivotButton="0" quotePrefix="0" xfId="0">
      <alignment vertical="center"/>
    </xf>
    <xf numFmtId="173" fontId="0" fillId="9" borderId="0" applyAlignment="1" pivotButton="0" quotePrefix="0" xfId="1">
      <alignment vertical="center"/>
    </xf>
    <xf numFmtId="173" fontId="0" fillId="9" borderId="9" applyAlignment="1" pivotButton="0" quotePrefix="0" xfId="1">
      <alignment vertical="center"/>
    </xf>
    <xf numFmtId="171" fontId="0" fillId="9" borderId="0" applyAlignment="1" pivotButton="0" quotePrefix="0" xfId="0">
      <alignment vertical="center"/>
    </xf>
    <xf numFmtId="164" fontId="0" fillId="0" borderId="7" applyAlignment="1" pivotButton="0" quotePrefix="0" xfId="1">
      <alignment vertical="center"/>
    </xf>
    <xf numFmtId="164" fontId="0" fillId="0" borderId="11" applyAlignment="1" pivotButton="0" quotePrefix="0" xfId="1">
      <alignment vertical="center"/>
    </xf>
    <xf numFmtId="164" fontId="0" fillId="0" borderId="11" applyAlignment="1" pivotButton="0" quotePrefix="0" xfId="0">
      <alignment vertical="center"/>
    </xf>
    <xf numFmtId="164" fontId="4" fillId="3" borderId="13" applyAlignment="1" pivotButton="0" quotePrefix="0" xfId="0">
      <alignment horizontal="left" vertical="center"/>
    </xf>
    <xf numFmtId="164" fontId="4" fillId="3" borderId="12" applyAlignment="1" pivotButton="0" quotePrefix="0" xfId="0">
      <alignment horizontal="left" vertical="center"/>
    </xf>
    <xf numFmtId="164" fontId="4" fillId="3" borderId="12" applyAlignment="1" pivotButton="0" quotePrefix="0" xfId="0">
      <alignment horizontal="center" vertical="center"/>
    </xf>
    <xf numFmtId="164" fontId="0" fillId="0" borderId="8" applyAlignment="1" pivotButton="0" quotePrefix="0" xfId="1">
      <alignment vertical="center"/>
    </xf>
    <xf numFmtId="164" fontId="0" fillId="9" borderId="8" applyAlignment="1" pivotButton="0" quotePrefix="0" xfId="1">
      <alignment vertical="center"/>
    </xf>
    <xf numFmtId="164" fontId="0" fillId="2" borderId="0" applyAlignment="1" pivotButton="0" quotePrefix="0" xfId="1">
      <alignment vertical="center"/>
    </xf>
    <xf numFmtId="164" fontId="0" fillId="2" borderId="1" applyAlignment="1" pivotButton="0" quotePrefix="0" xfId="1">
      <alignment vertical="center"/>
    </xf>
    <xf numFmtId="164" fontId="11" fillId="0" borderId="1" applyAlignment="1" pivotButton="0" quotePrefix="0" xfId="1">
      <alignment vertical="center"/>
    </xf>
    <xf numFmtId="164" fontId="11" fillId="4" borderId="1" applyAlignment="1" pivotButton="0" quotePrefix="0" xfId="1">
      <alignment vertical="center"/>
    </xf>
    <xf numFmtId="164" fontId="0" fillId="14" borderId="1" applyAlignment="1" pivotButton="0" quotePrefix="0" xfId="1">
      <alignment vertical="center"/>
    </xf>
    <xf numFmtId="164" fontId="0" fillId="0" borderId="10" applyAlignment="1" pivotButton="0" quotePrefix="0" xfId="1">
      <alignment vertical="center"/>
    </xf>
    <xf numFmtId="164" fontId="0" fillId="13" borderId="0" applyAlignment="1" pivotButton="0" quotePrefix="0" xfId="1">
      <alignment vertical="center"/>
    </xf>
    <xf numFmtId="173" fontId="0" fillId="13" borderId="0" applyAlignment="1" pivotButton="0" quotePrefix="0" xfId="1">
      <alignment vertical="center"/>
    </xf>
    <xf numFmtId="164" fontId="0" fillId="0" borderId="33" applyAlignment="1" pivotButton="0" quotePrefix="0" xfId="0">
      <alignment vertical="center"/>
    </xf>
    <xf numFmtId="165" fontId="27" fillId="0" borderId="0" applyAlignment="1" pivotButton="0" quotePrefix="0" xfId="0">
      <alignment vertical="center"/>
    </xf>
    <xf numFmtId="176" fontId="0" fillId="0" borderId="0" applyAlignment="1" pivotButton="0" quotePrefix="0" xfId="2">
      <alignment vertical="center"/>
    </xf>
    <xf numFmtId="165" fontId="0" fillId="2" borderId="0" applyAlignment="1" pivotButton="0" quotePrefix="0" xfId="0">
      <alignment vertical="center"/>
    </xf>
    <xf numFmtId="174" fontId="4" fillId="0" borderId="1" applyAlignment="1" pivotButton="0" quotePrefix="0" xfId="1">
      <alignment horizontal="right" vertical="center"/>
    </xf>
    <xf numFmtId="165" fontId="4" fillId="0" borderId="0" applyAlignment="1" pivotButton="0" quotePrefix="0" xfId="0">
      <alignment vertical="center"/>
    </xf>
    <xf numFmtId="170" fontId="0" fillId="2" borderId="0" applyAlignment="1" pivotButton="0" quotePrefix="0" xfId="0">
      <alignment vertical="center"/>
    </xf>
    <xf numFmtId="165" fontId="22" fillId="0" borderId="0" applyAlignment="1" pivotButton="0" quotePrefix="0" xfId="0">
      <alignment vertical="center"/>
    </xf>
    <xf numFmtId="165" fontId="0" fillId="19" borderId="0" applyAlignment="1" pivotButton="0" quotePrefix="0" xfId="0">
      <alignment vertical="center"/>
    </xf>
    <xf numFmtId="176" fontId="0" fillId="19" borderId="0" applyAlignment="1" pivotButton="0" quotePrefix="0" xfId="2">
      <alignment vertical="center"/>
    </xf>
    <xf numFmtId="165" fontId="15" fillId="0" borderId="0" applyAlignment="1" pivotButton="0" quotePrefix="0" xfId="0">
      <alignment vertical="center"/>
    </xf>
    <xf numFmtId="168" fontId="22" fillId="0" borderId="0" applyAlignment="1" pivotButton="0" quotePrefix="0" xfId="0">
      <alignment vertical="center"/>
    </xf>
    <xf numFmtId="170" fontId="0" fillId="18" borderId="0" applyAlignment="1" pivotButton="0" quotePrefix="0" xfId="0">
      <alignment vertical="center"/>
    </xf>
    <xf numFmtId="164" fontId="0" fillId="17" borderId="1" applyAlignment="1" pivotButton="0" quotePrefix="0" xfId="1">
      <alignment vertical="center"/>
    </xf>
    <xf numFmtId="165" fontId="0" fillId="17" borderId="1" applyAlignment="1" pivotButton="0" quotePrefix="0" xfId="0">
      <alignment vertical="center"/>
    </xf>
    <xf numFmtId="170" fontId="0" fillId="19" borderId="0" applyAlignment="1" pivotButton="0" quotePrefix="0" xfId="0">
      <alignment vertical="center"/>
    </xf>
    <xf numFmtId="169" fontId="0" fillId="19" borderId="0" applyAlignment="1" pivotButton="0" quotePrefix="0" xfId="0">
      <alignment vertical="center"/>
    </xf>
    <xf numFmtId="169" fontId="22" fillId="19" borderId="0" applyAlignment="1" pivotButton="0" quotePrefix="0" xfId="0">
      <alignment vertical="center"/>
    </xf>
    <xf numFmtId="170" fontId="26" fillId="19" borderId="0" applyAlignment="1" pivotButton="0" quotePrefix="0" xfId="0">
      <alignment vertical="center"/>
    </xf>
    <xf numFmtId="165" fontId="22" fillId="19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65" fontId="0" fillId="18" borderId="0" applyAlignment="1" pivotButton="0" quotePrefix="0" xfId="0">
      <alignment vertical="center"/>
    </xf>
    <xf numFmtId="165" fontId="0" fillId="0" borderId="13" applyAlignment="1" pivotButton="0" quotePrefix="0" xfId="0">
      <alignment vertical="center"/>
    </xf>
    <xf numFmtId="165" fontId="0" fillId="0" borderId="14" applyAlignment="1" pivotButton="0" quotePrefix="0" xfId="0">
      <alignment vertical="center"/>
    </xf>
    <xf numFmtId="165" fontId="0" fillId="0" borderId="15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10" applyAlignment="1" pivotButton="0" quotePrefix="0" xfId="0">
      <alignment vertical="center"/>
    </xf>
    <xf numFmtId="170" fontId="0" fillId="16" borderId="0" applyAlignment="1" pivotButton="0" quotePrefix="0" xfId="0">
      <alignment vertical="center"/>
    </xf>
    <xf numFmtId="167" fontId="0" fillId="16" borderId="0" applyAlignment="1" pivotButton="0" quotePrefix="0" xfId="0">
      <alignment vertical="center"/>
    </xf>
    <xf numFmtId="176" fontId="0" fillId="16" borderId="0" applyAlignment="1" pivotButton="0" quotePrefix="0" xfId="2">
      <alignment vertical="center"/>
    </xf>
    <xf numFmtId="170" fontId="12" fillId="0" borderId="0" applyAlignment="1" pivotButton="0" quotePrefix="0" xfId="0">
      <alignment vertical="center"/>
    </xf>
    <xf numFmtId="165" fontId="0" fillId="16" borderId="0" applyAlignment="1" pivotButton="0" quotePrefix="0" xfId="0">
      <alignment vertical="center"/>
    </xf>
    <xf numFmtId="170" fontId="26" fillId="16" borderId="0" applyAlignment="1" pivotButton="0" quotePrefix="0" xfId="0">
      <alignment vertical="center"/>
    </xf>
    <xf numFmtId="165" fontId="0" fillId="16" borderId="0" applyAlignment="1" pivotButton="0" quotePrefix="0" xfId="0">
      <alignment horizontal="center" vertical="center"/>
    </xf>
    <xf numFmtId="164" fontId="4" fillId="8" borderId="14" applyAlignment="1" pivotButton="0" quotePrefix="0" xfId="0">
      <alignment horizontal="centerContinuous" vertical="center"/>
    </xf>
    <xf numFmtId="164" fontId="0" fillId="0" borderId="13" applyAlignment="1" pivotButton="0" quotePrefix="0" xfId="0">
      <alignment vertical="center"/>
    </xf>
    <xf numFmtId="164" fontId="24" fillId="9" borderId="8" applyAlignment="1" pivotButton="0" quotePrefix="0" xfId="1">
      <alignment vertical="center"/>
    </xf>
    <xf numFmtId="164" fontId="32" fillId="11" borderId="5" applyAlignment="1" pivotButton="0" quotePrefix="0" xfId="1">
      <alignment vertical="center"/>
    </xf>
    <xf numFmtId="164" fontId="32" fillId="11" borderId="8" applyAlignment="1" pivotButton="0" quotePrefix="0" xfId="0">
      <alignment vertical="center"/>
    </xf>
    <xf numFmtId="164" fontId="32" fillId="11" borderId="0" applyAlignment="1" pivotButton="0" quotePrefix="0" xfId="1">
      <alignment vertical="center"/>
    </xf>
    <xf numFmtId="164" fontId="32" fillId="11" borderId="9" applyAlignment="1" pivotButton="0" quotePrefix="0" xfId="1">
      <alignment vertical="center"/>
    </xf>
    <xf numFmtId="164" fontId="0" fillId="0" borderId="0" applyAlignment="1" pivotButton="0" quotePrefix="0" xfId="1">
      <alignment horizontal="center" vertical="center"/>
    </xf>
    <xf numFmtId="164" fontId="24" fillId="0" borderId="9" applyAlignment="1" pivotButton="0" quotePrefix="0" xfId="1">
      <alignment vertical="center"/>
    </xf>
    <xf numFmtId="173" fontId="0" fillId="0" borderId="9" applyAlignment="1" pivotButton="0" quotePrefix="0" xfId="1">
      <alignment vertical="center"/>
    </xf>
    <xf numFmtId="164" fontId="24" fillId="0" borderId="9" applyAlignment="1" pivotButton="0" quotePrefix="0" xfId="1">
      <alignment horizontal="left" vertical="center"/>
    </xf>
    <xf numFmtId="164" fontId="3" fillId="0" borderId="9" applyAlignment="1" pivotButton="0" quotePrefix="0" xfId="1">
      <alignment vertical="center"/>
    </xf>
    <xf numFmtId="164" fontId="0" fillId="0" borderId="0" applyAlignment="1" pivotButton="0" quotePrefix="0" xfId="1">
      <alignment horizontal="right" vertical="center"/>
    </xf>
    <xf numFmtId="164" fontId="32" fillId="9" borderId="5" applyAlignment="1" pivotButton="0" quotePrefix="0" xfId="1">
      <alignment vertical="center"/>
    </xf>
    <xf numFmtId="164" fontId="32" fillId="9" borderId="8" applyAlignment="1" pivotButton="0" quotePrefix="0" xfId="0">
      <alignment vertical="center"/>
    </xf>
    <xf numFmtId="164" fontId="32" fillId="9" borderId="0" applyAlignment="1" pivotButton="0" quotePrefix="0" xfId="1">
      <alignment vertical="center"/>
    </xf>
    <xf numFmtId="164" fontId="32" fillId="9" borderId="9" applyAlignment="1" pivotButton="0" quotePrefix="0" xfId="1">
      <alignment vertical="center"/>
    </xf>
    <xf numFmtId="164" fontId="32" fillId="11" borderId="6" applyAlignment="1" pivotButton="0" quotePrefix="0" xfId="1">
      <alignment vertical="center"/>
    </xf>
    <xf numFmtId="164" fontId="32" fillId="11" borderId="10" applyAlignment="1" pivotButton="0" quotePrefix="0" xfId="0">
      <alignment vertical="center"/>
    </xf>
    <xf numFmtId="164" fontId="32" fillId="11" borderId="7" applyAlignment="1" pivotButton="0" quotePrefix="0" xfId="1">
      <alignment vertical="center"/>
    </xf>
    <xf numFmtId="164" fontId="32" fillId="11" borderId="11" applyAlignment="1" pivotButton="0" quotePrefix="0" xfId="1">
      <alignment vertical="center"/>
    </xf>
    <xf numFmtId="179" fontId="0" fillId="0" borderId="1" applyAlignment="1" pivotButton="0" quotePrefix="0" xfId="0">
      <alignment horizontal="center" vertical="center"/>
    </xf>
    <xf numFmtId="164" fontId="12" fillId="11" borderId="5" applyAlignment="1" pivotButton="0" quotePrefix="0" xfId="1">
      <alignment vertical="center"/>
    </xf>
    <xf numFmtId="164" fontId="11" fillId="9" borderId="5" applyAlignment="1" pivotButton="0" quotePrefix="0" xfId="1">
      <alignment vertical="center"/>
    </xf>
    <xf numFmtId="164" fontId="0" fillId="14" borderId="8" applyAlignment="1" pivotButton="0" quotePrefix="0" xfId="1">
      <alignment vertical="center"/>
    </xf>
    <xf numFmtId="164" fontId="24" fillId="15" borderId="9" applyAlignment="1" pivotButton="0" quotePrefix="0" xfId="1">
      <alignment vertical="center"/>
    </xf>
    <xf numFmtId="164" fontId="24" fillId="15" borderId="9" applyAlignment="1" pivotButton="0" quotePrefix="0" xfId="1">
      <alignment horizontal="left" vertical="center"/>
    </xf>
    <xf numFmtId="171" fontId="12" fillId="9" borderId="8" applyAlignment="1" pivotButton="0" quotePrefix="0" xfId="0">
      <alignment vertical="center"/>
    </xf>
    <xf numFmtId="164" fontId="12" fillId="9" borderId="0" applyAlignment="1" pivotButton="0" quotePrefix="0" xfId="1">
      <alignment vertical="center"/>
    </xf>
    <xf numFmtId="0" fontId="0" fillId="0" borderId="5" pivotButton="0" quotePrefix="0" xfId="0"/>
    <xf numFmtId="164" fontId="0" fillId="10" borderId="5" applyAlignment="1" pivotButton="0" quotePrefix="0" xfId="1">
      <alignment vertical="center"/>
    </xf>
    <xf numFmtId="164" fontId="0" fillId="10" borderId="8" applyAlignment="1" pivotButton="0" quotePrefix="0" xfId="0">
      <alignment vertical="center"/>
    </xf>
    <xf numFmtId="164" fontId="0" fillId="10" borderId="0" applyAlignment="1" pivotButton="0" quotePrefix="0" xfId="1">
      <alignment vertical="center"/>
    </xf>
    <xf numFmtId="164" fontId="0" fillId="10" borderId="9" applyAlignment="1" pivotButton="0" quotePrefix="0" xfId="1">
      <alignment vertical="center"/>
    </xf>
    <xf numFmtId="164" fontId="0" fillId="10" borderId="0" applyAlignment="1" pivotButton="0" quotePrefix="0" xfId="0">
      <alignment vertical="center"/>
    </xf>
    <xf numFmtId="164" fontId="0" fillId="10" borderId="9" applyAlignment="1" pivotButton="0" quotePrefix="0" xfId="0">
      <alignment vertical="center"/>
    </xf>
    <xf numFmtId="164" fontId="0" fillId="10" borderId="5" applyAlignment="1" pivotButton="0" quotePrefix="0" xfId="0">
      <alignment vertical="center"/>
    </xf>
    <xf numFmtId="164" fontId="3" fillId="10" borderId="5" applyAlignment="1" pivotButton="0" quotePrefix="0" xfId="1">
      <alignment vertical="center"/>
    </xf>
    <xf numFmtId="171" fontId="0" fillId="10" borderId="8" applyAlignment="1" pivotButton="0" quotePrefix="0" xfId="0">
      <alignment vertical="center"/>
    </xf>
    <xf numFmtId="171" fontId="0" fillId="10" borderId="0" applyAlignment="1" pivotButton="0" quotePrefix="0" xfId="0">
      <alignment vertical="center"/>
    </xf>
    <xf numFmtId="171" fontId="0" fillId="10" borderId="9" applyAlignment="1" pivotButton="0" quotePrefix="0" xfId="0">
      <alignment vertical="center"/>
    </xf>
    <xf numFmtId="164" fontId="0" fillId="0" borderId="5" applyAlignment="1" pivotButton="0" quotePrefix="0" xfId="0">
      <alignment horizontal="center" vertical="center"/>
    </xf>
    <xf numFmtId="171" fontId="0" fillId="2" borderId="8" applyAlignment="1" pivotButton="0" quotePrefix="0" xfId="0">
      <alignment vertical="center"/>
    </xf>
    <xf numFmtId="171" fontId="0" fillId="2" borderId="0" applyAlignment="1" pivotButton="0" quotePrefix="0" xfId="0">
      <alignment vertical="center"/>
    </xf>
    <xf numFmtId="164" fontId="0" fillId="2" borderId="9" applyAlignment="1" pivotButton="0" quotePrefix="0" xfId="1">
      <alignment vertical="center"/>
    </xf>
    <xf numFmtId="164" fontId="0" fillId="9" borderId="5" applyAlignment="1" pivotButton="0" quotePrefix="0" xfId="0">
      <alignment vertical="center"/>
    </xf>
    <xf numFmtId="165" fontId="30" fillId="0" borderId="1" applyAlignment="1" pivotButton="0" quotePrefix="0" xfId="0">
      <alignment horizontal="center" vertical="center"/>
    </xf>
    <xf numFmtId="0" fontId="0" fillId="0" borderId="4" pivotButton="0" quotePrefix="0" xfId="0"/>
    <xf numFmtId="165" fontId="31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center" vertical="center"/>
    </xf>
    <xf numFmtId="164" fontId="0" fillId="4" borderId="15" applyAlignment="1" pivotButton="0" quotePrefix="0" xfId="1">
      <alignment vertical="center"/>
    </xf>
    <xf numFmtId="164" fontId="0" fillId="4" borderId="15" applyAlignment="1" pivotButton="0" quotePrefix="0" xfId="0">
      <alignment vertical="center"/>
    </xf>
    <xf numFmtId="164" fontId="12" fillId="0" borderId="5" applyAlignment="1" pivotButton="0" quotePrefix="0" xfId="1">
      <alignment vertical="center"/>
    </xf>
    <xf numFmtId="164" fontId="3" fillId="0" borderId="5" applyAlignment="1" pivotButton="0" quotePrefix="0" xfId="1">
      <alignment vertical="center"/>
    </xf>
    <xf numFmtId="164" fontId="1" fillId="0" borderId="9" applyAlignment="1" pivotButton="0" quotePrefix="0" xfId="1">
      <alignment horizontal="left" vertical="center"/>
    </xf>
    <xf numFmtId="170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2">
      <alignment horizontal="center" vertical="center"/>
    </xf>
    <xf numFmtId="0" fontId="35" fillId="20" borderId="0" applyAlignment="1" pivotButton="0" quotePrefix="0" xfId="0">
      <alignment vertical="center" indent="1"/>
    </xf>
    <xf numFmtId="0" fontId="0" fillId="2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38" fillId="0" borderId="0" pivotButton="0" quotePrefix="0" xfId="0"/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externalLink" Target="/xl/externalLinks/externalLink1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comments/comment1.xml><?xml version="1.0" encoding="utf-8"?>
<comments xmlns="http://schemas.openxmlformats.org/spreadsheetml/2006/main">
  <authors>
    <author>admin</author>
  </authors>
  <commentList>
    <comment ref="U21" authorId="0" shapeId="0">
      <text>
        <t>1/16(포함)~2/14(포함) 기간 사이의
누적이자분 계산</t>
      </text>
    </comment>
    <comment ref="U22" authorId="0" shapeId="0">
      <text>
        <t>1/16(포함)~3/14(포함) 기간 사이의
누적이자분 계산</t>
      </text>
    </comment>
    <comment ref="V22" authorId="0" shapeId="0">
      <text>
        <t>2/16(포함)~3/14(포함) 기간 사이의
누적이자분 계산</t>
      </text>
    </comment>
    <comment ref="U23" authorId="0" shapeId="0">
      <text>
        <t>1/16(포함)~4/14(포함) 기간 사이의
누적이자분 계산</t>
      </text>
    </comment>
    <comment ref="V23" authorId="0" shapeId="0">
      <text>
        <t>2/16(포함)~4/14(포함) 기간 사이의
누적이자분 계산</t>
      </text>
    </comment>
    <comment ref="W23" authorId="0" shapeId="0">
      <text>
        <t>3/16(포함)~4/14(포함) 기간 사이의
누적이자분 계산</t>
      </text>
    </comment>
  </commentList>
</comments>
</file>

<file path=xl/comments/comment2.xml><?xml version="1.0" encoding="utf-8"?>
<comments xmlns="http://schemas.openxmlformats.org/spreadsheetml/2006/main">
  <authors>
    <author>admin</author>
  </authors>
  <commentList>
    <comment ref="Y22" authorId="0" shapeId="0">
      <text>
        <t>1/16(포함)~2/14(포함) 기간 사이의
누적이자분 계산</t>
      </text>
    </comment>
    <comment ref="Y23" authorId="0" shapeId="0">
      <text>
        <t>1/16(포함)~3/14(포함) 기간 사이의
누적이자분 계산</t>
      </text>
    </comment>
    <comment ref="Z23" authorId="0" shapeId="0">
      <text>
        <t>2/16(포함)~3/14(포함) 기간 사이의
누적이자분 계산</t>
      </text>
    </comment>
    <comment ref="Y24" authorId="0" shapeId="0">
      <text>
        <t>1/16(포함)~4/14(포함) 기간 사이의
누적이자분 계산</t>
      </text>
    </comment>
    <comment ref="Z24" authorId="0" shapeId="0">
      <text>
        <t>2/16(포함)~4/14(포함) 기간 사이의
누적이자분 계산</t>
      </text>
    </comment>
    <comment ref="AA24" authorId="0" shapeId="0">
      <text>
        <t>3/16(포함)~4/14(포함) 기간 사이의
누적이자분 계산</t>
      </text>
    </comment>
  </commentList>
</comments>
</file>

<file path=xl/comments/comment3.xml><?xml version="1.0" encoding="utf-8"?>
<comments xmlns="http://schemas.openxmlformats.org/spreadsheetml/2006/main">
  <authors>
    <author>admin</author>
  </authors>
  <commentList>
    <comment ref="U21" authorId="0" shapeId="0">
      <text>
        <t>1/16(포함)~2/14(포함) 기간 사이의
누적이자분 계산</t>
      </text>
    </comment>
    <comment ref="U22" authorId="0" shapeId="0">
      <text>
        <t>1/16(포함)~3/14(포함) 기간 사이의
누적이자분 계산</t>
      </text>
    </comment>
    <comment ref="V22" authorId="0" shapeId="0">
      <text>
        <t>2/16(포함)~3/14(포함) 기간 사이의
누적이자분 계산</t>
      </text>
    </comment>
    <comment ref="U23" authorId="0" shapeId="0">
      <text>
        <t>1/16(포함)~4/14(포함) 기간 사이의
누적이자분 계산</t>
      </text>
    </comment>
    <comment ref="V23" authorId="0" shapeId="0">
      <text>
        <t>2/16(포함)~4/14(포함) 기간 사이의
누적이자분 계산</t>
      </text>
    </comment>
    <comment ref="W23" authorId="0" shapeId="0">
      <text>
        <t>3/16(포함)~4/14(포함) 기간 사이의
누적이자분 계산</t>
      </text>
    </comment>
  </commentList>
</comments>
</file>

<file path=xl/comments/comment4.xml><?xml version="1.0" encoding="utf-8"?>
<comments xmlns="http://schemas.openxmlformats.org/spreadsheetml/2006/main">
  <authors>
    <author>admin</author>
  </authors>
  <commentList>
    <comment ref="AE24" authorId="0" shapeId="0">
      <text>
        <t>결합할인이 풀리면 구독료 청구 원복 기준은 월할적용일 때,
할인금 회수분 계산시에는 결합할인 해지신청일 기준</t>
      </text>
    </comment>
    <comment ref="AG25" authorId="0" shapeId="0">
      <text>
        <t xml:space="preserve">
결합할인 풀리는 시점에 결합할인 혜택 미회수
(20260514_할인정책 정의서_v2.72, [당사 구독 정책서] 시트
 "해지정책 항목" 中 아래 내용 참조 및 근거
▶ 2대 中 1대 중도해지시 ① 중도해지한 제품의 위약금 및 할인혜택금 청구, ② 계약유지되는 제품은 구독료 원복(할인혜택금 미청구)</t>
      </text>
    </comment>
  </commentList>
</comments>
</file>

<file path=xl/comments/comment5.xml><?xml version="1.0" encoding="utf-8"?>
<comments xmlns="http://schemas.openxmlformats.org/spreadsheetml/2006/main">
  <authors>
    <author>admin</author>
  </authors>
  <commentList>
    <comment ref="U21" authorId="0" shapeId="0">
      <text>
        <t>1/16(포함)~2/14(포함) 기간 사이의
누적이자분 계산</t>
      </text>
    </comment>
    <comment ref="U22" authorId="0" shapeId="0">
      <text>
        <t>1/16(포함)~3/14(포함) 기간 사이의
누적이자분 계산</t>
      </text>
    </comment>
    <comment ref="V22" authorId="0" shapeId="0">
      <text>
        <t>2/16(포함)~3/14(포함) 기간 사이의
누적이자분 계산</t>
      </text>
    </comment>
    <comment ref="U23" authorId="0" shapeId="0">
      <text>
        <t>1/16(포함)~4/14(포함) 기간 사이의
누적이자분 계산</t>
      </text>
    </comment>
    <comment ref="V23" authorId="0" shapeId="0">
      <text>
        <t>2/16(포함)~4/14(포함) 기간 사이의
누적이자분 계산</t>
      </text>
    </comment>
    <comment ref="W23" authorId="0" shapeId="0">
      <text>
        <t>3/16(포함)~4/14(포함) 기간 사이의
누적이자분 계산</t>
      </text>
    </comment>
  </commentList>
</comments>
</file>

<file path=xl/comments/comment6.xml><?xml version="1.0" encoding="utf-8"?>
<comments xmlns="http://schemas.openxmlformats.org/spreadsheetml/2006/main">
  <authors>
    <author>admin</author>
  </authors>
  <commentList>
    <comment ref="Y22" authorId="0" shapeId="0">
      <text>
        <t>1/16(포함)~2/14(포함) 기간 사이의
누적이자분 계산</t>
      </text>
    </comment>
    <comment ref="Y23" authorId="0" shapeId="0">
      <text>
        <t>1/16(포함)~3/14(포함) 기간 사이의
누적이자분 계산</t>
      </text>
    </comment>
    <comment ref="Z23" authorId="0" shapeId="0">
      <text>
        <t>2/16(포함)~3/14(포함) 기간 사이의
누적이자분 계산</t>
      </text>
    </comment>
    <comment ref="Y24" authorId="0" shapeId="0">
      <text>
        <t>1/16(포함)~4/14(포함) 기간 사이의
누적이자분 계산</t>
      </text>
    </comment>
    <comment ref="Z24" authorId="0" shapeId="0">
      <text>
        <t>2/16(포함)~4/14(포함) 기간 사이의
누적이자분 계산</t>
      </text>
    </comment>
    <comment ref="AA24" authorId="0" shapeId="0">
      <text>
        <t>3/16(포함)~4/14(포함) 기간 사이의
누적이자분 계산</t>
      </text>
    </comment>
  </commentList>
</comments>
</file>

<file path=xl/comments/comment7.xml><?xml version="1.0" encoding="utf-8"?>
<comments xmlns="http://schemas.openxmlformats.org/spreadsheetml/2006/main">
  <authors>
    <author>admin</author>
  </authors>
  <commentList>
    <comment ref="U21" authorId="0" shapeId="0">
      <text>
        <t>1/16(포함)~2/14(포함) 기간 사이의
누적이자분 계산</t>
      </text>
    </comment>
    <comment ref="U22" authorId="0" shapeId="0">
      <text>
        <t>1/16(포함)~3/14(포함) 기간 사이의
누적이자분 계산</t>
      </text>
    </comment>
    <comment ref="V22" authorId="0" shapeId="0">
      <text>
        <t>2/16(포함)~3/14(포함) 기간 사이의
누적이자분 계산</t>
      </text>
    </comment>
    <comment ref="U23" authorId="0" shapeId="0">
      <text>
        <t>1/16(포함)~4/14(포함) 기간 사이의
누적이자분 계산</t>
      </text>
    </comment>
    <comment ref="V23" authorId="0" shapeId="0">
      <text>
        <t>2/16(포함)~4/14(포함) 기간 사이의
누적이자분 계산</t>
      </text>
    </comment>
    <comment ref="W23" authorId="0" shapeId="0">
      <text>
        <t>3/16(포함)~4/14(포함) 기간 사이의
누적이자분 계산</t>
      </text>
    </comment>
  </commentList>
</comments>
</file>

<file path=xl/comments/comment8.xml><?xml version="1.0" encoding="utf-8"?>
<comments xmlns="http://schemas.openxmlformats.org/spreadsheetml/2006/main">
  <authors>
    <author>admin</author>
  </authors>
  <commentList>
    <comment ref="AA24" authorId="0" shapeId="0">
      <text>
        <t>결합할인이 풀리면 구독료 청구 원복 기준은 월할적용일 때,
할인금 회수분 계산시에는 결합할인 해지신청일 기준</t>
      </text>
    </comment>
    <comment ref="AC25" authorId="0" shapeId="0">
      <text>
        <t xml:space="preserve">
결합할인 풀리는 시점에 결합할인 혜택 미회수
(20260514_할인정책 정의서_v2.72, [당사 구독 정책서] 시트
 "해지정책 항목" 中 아래 내용 참조 및 근거
▶ 2대 中 1대 중도해지시 ① 중도해지한 제품의 위약금 및 할인혜택금 청구, ② 계약유지되는 제품은 구독료 원복(할인혜택금 미청구)</t>
      </text>
    </comment>
  </commentList>
</comments>
</file>

<file path=xl/comments/comment9.xml><?xml version="1.0" encoding="utf-8"?>
<comments xmlns="http://schemas.openxmlformats.org/spreadsheetml/2006/main">
  <authors>
    <author>admin</author>
  </authors>
  <commentList>
    <comment ref="U21" authorId="0" shapeId="0">
      <text>
        <t>1/16(포함)~2/14(포함) 기간 사이의
누적이자분 계산</t>
      </text>
    </comment>
    <comment ref="U22" authorId="0" shapeId="0">
      <text>
        <t>1/16(포함)~3/14(포함) 기간 사이의
누적이자분 계산</t>
      </text>
    </comment>
    <comment ref="V22" authorId="0" shapeId="0">
      <text>
        <t>2/16(포함)~3/14(포함) 기간 사이의
누적이자분 계산</t>
      </text>
    </comment>
    <comment ref="U23" authorId="0" shapeId="0">
      <text>
        <t>1/16(포함)~4/14(포함) 기간 사이의
누적이자분 계산</t>
      </text>
    </comment>
    <comment ref="V23" authorId="0" shapeId="0">
      <text>
        <t>2/16(포함)~4/14(포함) 기간 사이의
누적이자분 계산</t>
      </text>
    </comment>
    <comment ref="W23" authorId="0" shapeId="0">
      <text>
        <t>3/16(포함)~4/14(포함) 기간 사이의
누적이자분 계산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&#9733;%20&#44396;&#46021;&#50868;&#50689;&#44536;&#47353;/01.%20&#54532;&#46972;&#51060;&#49905;%20&#44288;&#47532;/05.%20&#54532;&#46972;&#51060;&#49905;%20&#47196;&#51649;%20&#52628;&#44032;/02.%20&#44208;&#54633;&#54624;&#51064;&#51221;&#52293;/260601_&#50640;&#45572;&#47532;%20&#50896;&#48373;%20&#51060;&#51088;%20&#49345;&#44033;&#54364;_v0.4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정상만기구독료_첫달,막달 일할"/>
      <sheetName val="정상만기구독료_선납,선납할인 (CE)"/>
      <sheetName val="정상만기구독료_선납,선납할인 (MX)"/>
      <sheetName val="정상만기구독료_선납,선납할인 (할인검토필요)"/>
      <sheetName val="중도해지_선납,선납할인"/>
      <sheetName val="중도해지_선납,선납할인 (간략화)"/>
      <sheetName val="연체미납 강제해지 (간략화)"/>
      <sheetName val="연체미납 강제해지 (계약중지일 기준)"/>
      <sheetName val="연체미납 강제해지 (연체3회차밸생월의전월말일기준)"/>
      <sheetName val="리스 상각표 (할인전, 선납반영전)"/>
      <sheetName val="리스 상각표 (할인전, 선납반영 후)"/>
      <sheetName val="리스 상각표 (선납,선납할인 반영후)"/>
      <sheetName val="정상만기구독료_선납,선납할인 (선납계산식 변경)"/>
      <sheetName val="리스 상각표 (선납,선납할인 반영후) (2)"/>
      <sheetName val="리스 상각표 (할인전)"/>
      <sheetName val="리스 상각표 (할인전,품목A)"/>
      <sheetName val="리스 상각표 (할인전,품목B)"/>
      <sheetName val="리스 상각표 (A+B결합할인)"/>
      <sheetName val="리스 상각표 (결합할인,A해지,월할)"/>
      <sheetName val="리스 상각표 (결합할인,A해지,일할)"/>
      <sheetName val="AS미사용 기간 보상"/>
      <sheetName val="정상만기구독료_선납,선납할인,차감성 할인"/>
      <sheetName val="1안_할인원복_선납,선납할인,차감성 할인 (익익월)"/>
      <sheetName val="할인원복_선납,선납할인,차감성 할인 (일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H2">
            <v>115999.99999999999</v>
          </cell>
        </row>
        <row r="6">
          <cell r="E6">
            <v>-101100</v>
          </cell>
        </row>
        <row r="66">
          <cell r="E66">
            <v>-14899.999999999985</v>
          </cell>
        </row>
      </sheetData>
      <sheetData sheetId="17">
        <row r="2">
          <cell r="AK2">
            <v>8170800</v>
          </cell>
          <cell r="AL2">
            <v>7427999.9999999991</v>
          </cell>
        </row>
        <row r="3">
          <cell r="AK3">
            <v>5290000</v>
          </cell>
          <cell r="AL3">
            <v>4809090.9090909082</v>
          </cell>
        </row>
        <row r="4">
          <cell r="AK4">
            <v>2366000</v>
          </cell>
          <cell r="AL4">
            <v>2150909.0909090908</v>
          </cell>
        </row>
        <row r="5">
          <cell r="AK5">
            <v>455400.00000000006</v>
          </cell>
          <cell r="AL5">
            <v>414000</v>
          </cell>
        </row>
        <row r="6">
          <cell r="AK6">
            <v>59400.000000000007</v>
          </cell>
          <cell r="AL6">
            <v>54000</v>
          </cell>
        </row>
        <row r="7">
          <cell r="AK7">
            <v>409200.00000000006</v>
          </cell>
          <cell r="AL7">
            <v>372000</v>
          </cell>
        </row>
      </sheetData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5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C52"/>
  <sheetViews>
    <sheetView showGridLines="0" workbookViewId="0">
      <selection activeCell="A1" sqref="A1"/>
    </sheetView>
  </sheetViews>
  <sheetFormatPr baseColWidth="8" defaultRowHeight="15"/>
  <cols>
    <col width="4" customWidth="1" style="497" min="1" max="1"/>
    <col width="30" customWidth="1" style="497" min="2" max="2"/>
    <col width="58" customWidth="1" style="497" min="3" max="3"/>
  </cols>
  <sheetData>
    <row r="1" ht="28" customHeight="1" s="497">
      <c r="A1" s="747" t="inlineStr">
        <is>
          <t>올인원2.0 시뮬레이터 v0.97 — 그룹 정리판</t>
        </is>
      </c>
    </row>
    <row r="3">
      <c r="A3" s="748" t="inlineStr"/>
      <c r="B3" s="498" t="inlineStr">
        <is>
          <t>A. 할인분배·엔진</t>
        </is>
      </c>
      <c r="C3" s="749" t="inlineStr">
        <is>
          <t>상각표 3장 — 제품배분만 차감, N개월면제(IRR) 포함</t>
        </is>
      </c>
    </row>
    <row r="4">
      <c r="C4" s="750" t="inlineStr">
        <is>
          <t>리스 상각표(CE) (할인분배)</t>
        </is>
      </c>
    </row>
    <row r="5">
      <c r="C5" s="750" t="inlineStr">
        <is>
          <t>리스 상각표 (할인전, 선납반영 후) (할인분배)</t>
        </is>
      </c>
    </row>
    <row r="6">
      <c r="C6" s="750" t="inlineStr">
        <is>
          <t>리스 상각표 (결합할인,A해지,월할) (할인분배)</t>
        </is>
      </c>
    </row>
    <row r="8">
      <c r="A8" s="751" t="inlineStr"/>
      <c r="B8" s="498" t="inlineStr">
        <is>
          <t>B. 할인분배·정상만기</t>
        </is>
      </c>
      <c r="C8" s="749" t="inlineStr">
        <is>
          <t>청구표 — 케어/보증도 배분만큼 차감 (MX는 파손 4-way)</t>
        </is>
      </c>
    </row>
    <row r="9">
      <c r="C9" s="750" t="inlineStr">
        <is>
          <t>정상만기(CE) (할인분배)</t>
        </is>
      </c>
    </row>
    <row r="10">
      <c r="C10" s="750" t="inlineStr">
        <is>
          <t>정상만기(MX) (할인분배)</t>
        </is>
      </c>
    </row>
    <row r="12">
      <c r="A12" s="752" t="inlineStr"/>
      <c r="B12" s="498" t="inlineStr">
        <is>
          <t>C. 할인분배·중도해지</t>
        </is>
      </c>
      <c r="C12" s="749" t="inlineStr">
        <is>
          <t>정산 5종 (총액 불변, 분해만 배분 후)</t>
        </is>
      </c>
    </row>
    <row r="13">
      <c r="C13" s="750" t="inlineStr">
        <is>
          <t>중도해지_선납,선납할인 (할인분배)</t>
        </is>
      </c>
    </row>
    <row r="14">
      <c r="C14" s="750" t="inlineStr">
        <is>
          <t>중도해지_선납,선납할인_MX (할인분배)</t>
        </is>
      </c>
    </row>
    <row r="15">
      <c r="C15" s="750" t="inlineStr">
        <is>
          <t>중도해지_선납,선납할인,단품할인 (할인분배)</t>
        </is>
      </c>
    </row>
    <row r="16">
      <c r="C16" s="750" t="inlineStr">
        <is>
          <t>중도해지(할인분배)</t>
        </is>
      </c>
    </row>
    <row r="18">
      <c r="A18" s="753" t="inlineStr"/>
      <c r="B18" s="498" t="inlineStr">
        <is>
          <t>D. 할인분배·완납/연체</t>
        </is>
      </c>
      <c r="C18" s="749" t="inlineStr">
        <is>
          <t>완납·연체 강제해지 (공식 불변)</t>
        </is>
      </c>
    </row>
    <row r="19">
      <c r="C19" s="750" t="inlineStr">
        <is>
          <t>중도완납_선납_로직변경 (할인분배)</t>
        </is>
      </c>
    </row>
    <row r="20">
      <c r="C20" s="750" t="inlineStr">
        <is>
          <t>연체미납 강제해지 (계약중지일 기준) (할인분배)</t>
        </is>
      </c>
    </row>
    <row r="21">
      <c r="C21" s="750" t="inlineStr">
        <is>
          <t>연체미납 강제해지 (계약중지일 기준)_MX (할인분배)</t>
        </is>
      </c>
    </row>
    <row r="22">
      <c r="C22" s="750" t="inlineStr">
        <is>
          <t>연체미납 강제해지_선납+단품+결합(CE) (할인분배)</t>
        </is>
      </c>
    </row>
    <row r="24">
      <c r="A24" s="754" t="inlineStr"/>
      <c r="B24" s="498" t="inlineStr">
        <is>
          <t>E. 할인분배·원복/면제</t>
        </is>
      </c>
      <c r="C24" s="749" t="inlineStr">
        <is>
          <t>결합 깨짐 원복 + 6개월면제 결합 시나리오</t>
        </is>
      </c>
    </row>
    <row r="25">
      <c r="C25" s="750" t="inlineStr">
        <is>
          <t>할인원복_선납,선납할인,결합할인 (익익월) (할인분배)</t>
        </is>
      </c>
    </row>
    <row r="26">
      <c r="C26" s="750" t="inlineStr">
        <is>
          <t>할인원복_선납,선납할인,결합할인 (익익월) (6개월면제)</t>
        </is>
      </c>
    </row>
    <row r="28">
      <c r="A28" s="755" t="inlineStr"/>
      <c r="B28" s="498" t="inlineStr">
        <is>
          <t>F. 할인분배·AS보상</t>
        </is>
      </c>
      <c r="C28" s="749" t="inlineStr">
        <is>
          <t>기본구독료 기준 환급 (MX 파손 분리)</t>
        </is>
      </c>
    </row>
    <row r="29">
      <c r="C29" s="750" t="inlineStr">
        <is>
          <t>AS미사용 기간 보상 (할인분배)</t>
        </is>
      </c>
    </row>
    <row r="30">
      <c r="C30" s="750" t="inlineStr">
        <is>
          <t>AS미사용 기간 보상_MX (할인분배)</t>
        </is>
      </c>
    </row>
    <row r="32">
      <c r="A32" s="756" t="inlineStr"/>
      <c r="B32" s="498" t="inlineStr">
        <is>
          <t>G. 구버전(before·대조용)</t>
        </is>
      </c>
      <c r="C32" s="749" t="inlineStr">
        <is>
          <t>v0.92 원본 18장 — 배분 전 모습, 비교용</t>
        </is>
      </c>
    </row>
    <row r="33">
      <c r="C33" s="750" t="inlineStr">
        <is>
          <t>리스 상각표 (할인전, 선납반영전)</t>
        </is>
      </c>
    </row>
    <row r="34">
      <c r="C34" s="750" t="inlineStr">
        <is>
          <t>리스 상각표 (할인전, 선납반영 후)</t>
        </is>
      </c>
    </row>
    <row r="35">
      <c r="C35" s="750" t="inlineStr">
        <is>
          <t>리스 상각표 (선납+단품+결합)</t>
        </is>
      </c>
    </row>
    <row r="36">
      <c r="C36" s="750" t="inlineStr">
        <is>
          <t>리스 상각표 (결합할인,A해지,월할)</t>
        </is>
      </c>
    </row>
    <row r="37">
      <c r="C37" s="750" t="inlineStr">
        <is>
          <t>정상만기_선납+단품+결합(CE)</t>
        </is>
      </c>
    </row>
    <row r="38">
      <c r="C38" s="750" t="inlineStr">
        <is>
          <t>정상만기_선납+단품+결합(MX)</t>
        </is>
      </c>
    </row>
    <row r="39">
      <c r="C39" s="750" t="inlineStr">
        <is>
          <t>정상만기구독료_첫달,막달 일할</t>
        </is>
      </c>
    </row>
    <row r="40">
      <c r="C40" s="750" t="inlineStr">
        <is>
          <t>중도해지_선납,선납할인</t>
        </is>
      </c>
    </row>
    <row r="41">
      <c r="C41" s="750" t="inlineStr">
        <is>
          <t>중도해지_선납,선납할인_MX</t>
        </is>
      </c>
    </row>
    <row r="42">
      <c r="C42" s="750" t="inlineStr">
        <is>
          <t>중도해지_선납,선납할인,단품할인</t>
        </is>
      </c>
    </row>
    <row r="43">
      <c r="C43" s="750" t="inlineStr">
        <is>
          <t>중도해지_선납+단품+결합할인</t>
        </is>
      </c>
    </row>
    <row r="44">
      <c r="C44" s="750" t="inlineStr">
        <is>
          <t>중도완납_선납_로직변경</t>
        </is>
      </c>
    </row>
    <row r="45">
      <c r="C45" s="750" t="inlineStr">
        <is>
          <t>연체미납 강제해지 (계약중지일 기준)</t>
        </is>
      </c>
    </row>
    <row r="46">
      <c r="C46" s="750" t="inlineStr">
        <is>
          <t>연체미납 강제해지 (계약중지일 기준)_MX</t>
        </is>
      </c>
    </row>
    <row r="47">
      <c r="C47" s="750" t="inlineStr">
        <is>
          <t>연체미납 강제해지_선납+단품+결합(CE)</t>
        </is>
      </c>
    </row>
    <row r="48">
      <c r="C48" s="750" t="inlineStr">
        <is>
          <t>할인원복_선납,선납할인,결합할인 (익익월)</t>
        </is>
      </c>
    </row>
    <row r="49">
      <c r="C49" s="750" t="inlineStr">
        <is>
          <t>AS미사용 기간 보상</t>
        </is>
      </c>
    </row>
    <row r="50">
      <c r="C50" s="750" t="inlineStr">
        <is>
          <t>AS미사용 기간 보상_MX</t>
        </is>
      </c>
    </row>
    <row r="52">
      <c r="C52" s="757" t="inlineStr">
        <is>
          <t>※ 맨 뒤 회색 없는 숨김 시트들 = 작업 초안(학습 제외). 시트명은 수식 참조 보호를 위해 변경하지 않음.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10" customWidth="1" style="497" min="1" max="1"/>
  </cols>
  <sheetData>
    <row r="1">
      <c r="A1" s="498" t="inlineStr">
        <is>
          <t>v0.96 — CE(할인분배) 시트 예제 통일  (v0.95 대비 변경사항)</t>
        </is>
      </c>
    </row>
    <row r="2">
      <c r="A2" s="499" t="inlineStr"/>
    </row>
    <row r="3">
      <c r="A3" s="499" t="inlineStr">
        <is>
          <t>■ 통일 내용: 아래 7개 시트의 예제를 '정상만기(CE)(할인분배)'와 동일하게 변경</t>
        </is>
      </c>
    </row>
    <row r="4">
      <c r="A4" s="499" t="inlineStr">
        <is>
          <t xml:space="preserve">   케어서비스(v-) 1,087,200(=15,100×72) → 424,800(=5,900×72)</t>
        </is>
      </c>
    </row>
    <row r="5">
      <c r="A5" s="499" t="inlineStr">
        <is>
          <t xml:space="preserve">   총구독료(v-) 11,757,600 → 11,145,600  /  월구독료 163,300 → 154,800(수식화 =C14/C7)</t>
        </is>
      </c>
    </row>
    <row r="6">
      <c r="A6" s="499" t="inlineStr">
        <is>
          <t xml:space="preserve">   총구독료(v+)·월구독료(v+) 하드코딩 → 수식(=C14*1.1, =C15*1.1)</t>
        </is>
      </c>
    </row>
    <row r="7">
      <c r="A7" s="499" t="inlineStr"/>
    </row>
    <row r="8">
      <c r="A8" s="499" t="inlineStr">
        <is>
          <t xml:space="preserve">   · 중도해지(할인분배)</t>
        </is>
      </c>
    </row>
    <row r="9">
      <c r="A9" s="499" t="inlineStr">
        <is>
          <t xml:space="preserve">   · 중도해지_선납,선납할인 (할인분배)</t>
        </is>
      </c>
    </row>
    <row r="10">
      <c r="A10" s="499" t="inlineStr">
        <is>
          <t xml:space="preserve">   · 중도해지_선납,선납할인,단품할인 (할인분배)</t>
        </is>
      </c>
    </row>
    <row r="11">
      <c r="A11" s="499" t="inlineStr">
        <is>
          <t xml:space="preserve">   · 연체미납 강제해지 (계약중지일 기준) (할인분배)</t>
        </is>
      </c>
    </row>
    <row r="12">
      <c r="A12" s="499" t="inlineStr">
        <is>
          <t xml:space="preserve">   · 연체미납 강제해지_선납+단품+결합(CE) (할인분배)</t>
        </is>
      </c>
    </row>
    <row r="13">
      <c r="A13" s="499" t="inlineStr">
        <is>
          <t xml:space="preserve">   · AS미사용 기간 보상 (할인분배)</t>
        </is>
      </c>
    </row>
    <row r="14">
      <c r="A14" s="499" t="inlineStr">
        <is>
          <t xml:space="preserve">   · 중도완납_선납_로직변경 (할인분배)</t>
        </is>
      </c>
    </row>
    <row r="15">
      <c r="A15" s="499" t="inlineStr"/>
    </row>
    <row r="16">
      <c r="A16" s="499" t="inlineStr">
        <is>
          <t>■ 로직(수식)은 변경 없음 — 입력값만 통일. 열 때 전체 재계산됨.</t>
        </is>
      </c>
    </row>
    <row r="17">
      <c r="A17" s="499" t="inlineStr">
        <is>
          <t>■ 통일하지 않은 것(의도적):</t>
        </is>
      </c>
    </row>
    <row r="18">
      <c r="A18" s="499" t="inlineStr">
        <is>
          <t xml:space="preserve">   · 리스 상각표(CE)(할인분배): 60개월 자체 예제 (구조 변경 필요해서 보류)</t>
        </is>
      </c>
    </row>
    <row r="19">
      <c r="A19" s="499" t="inlineStr">
        <is>
          <t xml:space="preserve">   · 할인원복(익익월)(할인분배): 총 11,311,200 — 다품목 구성 시나리오라 별도 예제 유지</t>
        </is>
      </c>
    </row>
    <row r="20">
      <c r="A20" s="499" t="inlineStr">
        <is>
          <t xml:space="preserve">   · MX 시트들: 갤럭시탭 예제 (별도 제품)</t>
        </is>
      </c>
    </row>
    <row r="21">
      <c r="A21" s="499" t="inlineStr">
        <is>
          <t>■ 미결(원본 그대로 보존): 케어/보증 음수 하한 처리, AS보상 선납 이중환불 제외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AH68"/>
  <sheetViews>
    <sheetView zoomScale="70" zoomScaleNormal="70" workbookViewId="0">
      <pane xSplit="2" ySplit="3" topLeftCell="C4" activePane="bottomRight" state="frozen"/>
      <selection activeCell="W42" sqref="W42"/>
      <selection pane="topRight" activeCell="W42" sqref="W42"/>
      <selection pane="bottomLeft" activeCell="W42" sqref="W42"/>
      <selection pane="bottomRight" activeCell="K33" sqref="K33"/>
    </sheetView>
  </sheetViews>
  <sheetFormatPr baseColWidth="8" defaultColWidth="9" defaultRowHeight="16.9"/>
  <cols>
    <col width="12.375" bestFit="1" customWidth="1" style="591" min="1" max="1"/>
    <col width="14" bestFit="1" customWidth="1" style="591" min="2" max="2"/>
    <col width="12.125" bestFit="1" customWidth="1" style="591" min="3" max="3"/>
    <col width="12.375" bestFit="1" customWidth="1" style="591" min="4" max="4"/>
    <col width="11.3125" bestFit="1" customWidth="1" style="591" min="5" max="5"/>
    <col width="12.125" bestFit="1" customWidth="1" style="591" min="6" max="6"/>
    <col width="9.125" customWidth="1" style="591" min="7" max="7"/>
    <col width="13.5" customWidth="1" style="591" min="8" max="8"/>
    <col width="9.875" bestFit="1" customWidth="1" style="591" min="9" max="9"/>
    <col width="13.375" bestFit="1" customWidth="1" style="591" min="10" max="10"/>
    <col width="11.6875" bestFit="1" customWidth="1" style="591" min="11" max="11"/>
    <col width="9" customWidth="1" style="591" min="12" max="12"/>
    <col width="9.375" bestFit="1" customWidth="1" style="591" min="13" max="13"/>
    <col width="12.375" bestFit="1" customWidth="1" style="591" min="14" max="14"/>
    <col width="12.6875" bestFit="1" customWidth="1" style="591" min="15" max="15"/>
    <col width="9" customWidth="1" style="591" min="16" max="16"/>
    <col width="15.5" bestFit="1" customWidth="1" style="591" min="17" max="17"/>
    <col width="12.625" bestFit="1" customWidth="1" style="591" min="18" max="18"/>
    <col width="11" bestFit="1" customWidth="1" style="591" min="19" max="19"/>
    <col width="23.6875" bestFit="1" customWidth="1" style="591" min="20" max="21"/>
    <col width="9" customWidth="1" style="591" min="22" max="23"/>
    <col width="20.875" bestFit="1" customWidth="1" style="591" min="24" max="24"/>
    <col width="14.1875" bestFit="1" customWidth="1" style="591" min="25" max="25"/>
    <col width="12.125" bestFit="1" customWidth="1" style="591" min="26" max="26"/>
    <col width="10.5" bestFit="1" customWidth="1" style="591" min="27" max="27"/>
    <col width="8.875" bestFit="1" customWidth="1" style="591" min="28" max="28"/>
    <col hidden="1" width="43.1875" customWidth="1" style="591" min="29" max="29"/>
    <col hidden="1" width="12.125" customWidth="1" style="591" min="30" max="30"/>
    <col hidden="1" width="8.875" customWidth="1" style="591" min="31" max="31"/>
    <col width="15.1875" bestFit="1" customWidth="1" style="591" min="32" max="32"/>
    <col width="43.1875" bestFit="1" customWidth="1" style="591" min="33" max="33"/>
    <col width="11.6875" bestFit="1" customWidth="1" style="591" min="34" max="34"/>
    <col width="9" customWidth="1" style="591" min="35" max="16384"/>
  </cols>
  <sheetData>
    <row r="1">
      <c r="F1" s="592">
        <f>RATE(N1,H2,-C2,0,0)</f>
        <v/>
      </c>
      <c r="G1" s="591">
        <f>F1=F3</f>
        <v/>
      </c>
      <c r="M1" s="591" t="inlineStr">
        <is>
          <t>구독기간</t>
        </is>
      </c>
      <c r="N1" s="591" t="n">
        <v>60</v>
      </c>
      <c r="Z1" s="591" t="inlineStr">
        <is>
          <t>v+</t>
        </is>
      </c>
      <c r="AA1" s="591" t="inlineStr">
        <is>
          <t>v-</t>
        </is>
      </c>
      <c r="AC1" s="47" t="inlineStr">
        <is>
          <t>선납할인율 %</t>
        </is>
      </c>
      <c r="AD1" s="61" t="n">
        <v>0.04</v>
      </c>
      <c r="AG1" s="314" t="inlineStr">
        <is>
          <t>단품할인율 %</t>
        </is>
      </c>
      <c r="AH1" s="315" t="n">
        <v>0.05</v>
      </c>
    </row>
    <row r="2">
      <c r="B2" s="591" t="inlineStr">
        <is>
          <t>리스채권</t>
        </is>
      </c>
      <c r="C2" s="593">
        <f>MIN(AA3,PV(K2/12,N1,-(AA2-AA5-AA6-(Z22+Z27+Z32)*N1)/N1))-(Z17*N1)</f>
        <v/>
      </c>
      <c r="D2" s="594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5">
        <f>C3/N1</f>
        <v/>
      </c>
      <c r="J2" s="591" t="inlineStr">
        <is>
          <t>현할차할인율</t>
        </is>
      </c>
      <c r="K2" s="439" t="n">
        <v>0.0357</v>
      </c>
      <c r="M2" s="591" t="inlineStr">
        <is>
          <t>설치일</t>
        </is>
      </c>
      <c r="N2" s="596" t="inlineStr">
        <is>
          <t>2025-07-05</t>
        </is>
      </c>
      <c r="P2" s="591" t="inlineStr">
        <is>
          <t>리스채권</t>
        </is>
      </c>
      <c r="Q2" s="591">
        <f>MIN(AA3,PV(K2/12,N1,-(AA2-AA5-AA6-(Z22+Z27+Z32)*N1-H2*6)/N1))-(Z17*N1)</f>
        <v/>
      </c>
      <c r="R2" s="591">
        <f>Q3-Q2</f>
        <v/>
      </c>
      <c r="S2" s="591" t="inlineStr">
        <is>
          <t>연 이자율</t>
        </is>
      </c>
      <c r="T2" s="439">
        <f>T3*12</f>
        <v/>
      </c>
      <c r="U2" s="439" t="n"/>
      <c r="V2" s="439" t="n"/>
      <c r="W2" s="439" t="n"/>
      <c r="X2" s="2" t="n"/>
      <c r="Y2" s="2" t="n"/>
      <c r="Z2" s="597" t="n">
        <v>8170800</v>
      </c>
      <c r="AA2" s="598">
        <f>SUM(AA3:AA6)</f>
        <v/>
      </c>
      <c r="AB2" s="591">
        <f>+AA2/60</f>
        <v/>
      </c>
      <c r="AC2" s="47" t="inlineStr">
        <is>
          <t>(계산용) 선납금 %</t>
        </is>
      </c>
      <c r="AD2" s="288" t="n">
        <v>0.1</v>
      </c>
      <c r="AF2" s="599" t="inlineStr">
        <is>
          <t xml:space="preserve">차후 변경시 → </t>
        </is>
      </c>
      <c r="AG2" s="50" t="inlineStr">
        <is>
          <t>(계산용) 단품 할인금 (V-)</t>
        </is>
      </c>
      <c r="AH2" s="506">
        <f>Z2*AH1/1.1</f>
        <v/>
      </c>
    </row>
    <row r="3">
      <c r="B3" s="591" t="inlineStr">
        <is>
          <t>총 순수구독료</t>
        </is>
      </c>
      <c r="C3" s="591">
        <f>(AA2-AA5-AA6)-(Z17+Z22+Z27+Z32)*N1</f>
        <v/>
      </c>
      <c r="D3" s="600">
        <f>SUM(D7:D67)</f>
        <v/>
      </c>
      <c r="E3" s="591" t="inlineStr">
        <is>
          <t>월 이자율</t>
        </is>
      </c>
      <c r="F3" s="601">
        <f>RATE(N1,-H2,C2,0,0)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591" t="inlineStr">
        <is>
          <t>총 순수구독료</t>
        </is>
      </c>
      <c r="Q3" s="591">
        <f>(AA2-AA5-AA6)-(Z17+Z22+Z27+Z32)*N1-H2*6</f>
        <v/>
      </c>
      <c r="R3" s="591">
        <f>SUM(R7:R67)</f>
        <v/>
      </c>
      <c r="S3" s="591" t="inlineStr">
        <is>
          <t>월 이자율</t>
        </is>
      </c>
      <c r="T3" s="603">
        <f>IRR(S6:S67)</f>
        <v/>
      </c>
      <c r="U3" s="604">
        <f>XIRR(S6:S67,A6:A67)</f>
        <v/>
      </c>
      <c r="V3" s="604" t="n"/>
      <c r="W3" s="604" t="n"/>
      <c r="X3" s="2" t="inlineStr">
        <is>
          <t>제품</t>
        </is>
      </c>
      <c r="Y3" s="2" t="inlineStr">
        <is>
          <t>제품제공</t>
        </is>
      </c>
      <c r="Z3" s="506" t="n">
        <v>5290000</v>
      </c>
      <c r="AA3" s="605">
        <f>ROUND(Z3/1.1,)</f>
        <v/>
      </c>
      <c r="AC3" s="47" t="inlineStr">
        <is>
          <t>(계산용) 선납금 (총 구독료 기준, V-)</t>
        </is>
      </c>
      <c r="AD3" s="527">
        <f>AA2*AD2</f>
        <v/>
      </c>
      <c r="AG3" s="50" t="inlineStr">
        <is>
          <t>(계산용) 단품 할인금 월할 (V-)</t>
        </is>
      </c>
      <c r="AH3" s="598">
        <f>AH2/N1</f>
        <v/>
      </c>
    </row>
    <row r="4">
      <c r="C4" s="591" t="inlineStr">
        <is>
          <t>1) 선납+단품+결합할인</t>
        </is>
      </c>
      <c r="D4" s="600" t="n"/>
      <c r="G4" s="602" t="n"/>
      <c r="H4" s="591" t="n"/>
      <c r="I4" s="591" t="n"/>
      <c r="J4" s="591" t="n"/>
      <c r="K4" s="591" t="n"/>
      <c r="N4" s="596" t="n"/>
      <c r="Q4" s="591" t="inlineStr">
        <is>
          <t>2) 선납+단품+결합할인+N개월할인</t>
        </is>
      </c>
      <c r="T4" s="592" t="n"/>
      <c r="X4" s="2" t="n"/>
      <c r="Y4" s="211" t="inlineStr">
        <is>
          <t>구독원가</t>
        </is>
      </c>
      <c r="Z4" s="506">
        <f>Z2-SUM(Z3,Z5:Z6)</f>
        <v/>
      </c>
      <c r="AA4" s="605">
        <f>ROUND(Z4/1.1,)</f>
        <v/>
      </c>
      <c r="AC4" s="47" t="inlineStr">
        <is>
          <t>(계산용) 선납금 반영 총 구독료 (V-)</t>
        </is>
      </c>
      <c r="AD4" s="527">
        <f>AA2-AD3</f>
        <v/>
      </c>
      <c r="AG4" s="50" t="inlineStr">
        <is>
          <t>(계산용) 단품 할인금 월할 보정 (V-)</t>
        </is>
      </c>
      <c r="AH4" s="598">
        <f>ROUNDUP(AH3,-2)</f>
        <v/>
      </c>
    </row>
    <row r="5">
      <c r="C5" s="606" t="inlineStr">
        <is>
          <t>기초</t>
        </is>
      </c>
      <c r="D5" s="606" t="inlineStr">
        <is>
          <t>이자수익</t>
        </is>
      </c>
      <c r="E5" s="606" t="inlineStr">
        <is>
          <t>리스료수령</t>
        </is>
      </c>
      <c r="F5" s="445" t="inlineStr">
        <is>
          <t>기말</t>
        </is>
      </c>
      <c r="H5" s="606" t="n"/>
      <c r="I5" s="606" t="n"/>
      <c r="J5" s="606" t="n"/>
      <c r="K5" s="445" t="n"/>
      <c r="Q5" s="606" t="inlineStr">
        <is>
          <t>기초</t>
        </is>
      </c>
      <c r="R5" s="606" t="inlineStr">
        <is>
          <t>이자수익</t>
        </is>
      </c>
      <c r="S5" s="606" t="inlineStr">
        <is>
          <t>리스료수령</t>
        </is>
      </c>
      <c r="T5" s="445" t="inlineStr">
        <is>
          <t>기말</t>
        </is>
      </c>
      <c r="U5" s="607" t="n"/>
      <c r="X5" s="2" t="inlineStr">
        <is>
          <t>서비스</t>
        </is>
      </c>
      <c r="Y5" s="2" t="inlineStr">
        <is>
          <t>가전케어/세척</t>
        </is>
      </c>
      <c r="Z5" s="506">
        <f>AA5*1.1</f>
        <v/>
      </c>
      <c r="AA5" s="598">
        <f>6900*60</f>
        <v/>
      </c>
      <c r="AC5" s="47" t="inlineStr">
        <is>
          <t>(계산용) 선납금 반영 월 구독료(V-)</t>
        </is>
      </c>
      <c r="AD5" s="527">
        <f>AD4/N1</f>
        <v/>
      </c>
      <c r="AG5" s="50" t="inlineStr">
        <is>
          <t>(최종) 단품 할인금 (V-)</t>
        </is>
      </c>
      <c r="AH5" s="608">
        <f>AH4*N1</f>
        <v/>
      </c>
    </row>
    <row r="6">
      <c r="A6" s="448" t="n">
        <v>45843</v>
      </c>
      <c r="B6" s="591" t="n">
        <v>0</v>
      </c>
      <c r="C6" s="594" t="n"/>
      <c r="D6" s="594" t="n"/>
      <c r="E6" s="594" t="n"/>
      <c r="F6" s="594">
        <f>ROUND(C2,)</f>
        <v/>
      </c>
      <c r="H6" s="594" t="n"/>
      <c r="I6" s="594" t="n"/>
      <c r="J6" s="594" t="n"/>
      <c r="K6" s="594" t="n"/>
      <c r="S6" s="591">
        <f>+Q2</f>
        <v/>
      </c>
      <c r="X6" s="2" t="n"/>
      <c r="Y6" s="2" t="inlineStr">
        <is>
          <t>보증연장</t>
        </is>
      </c>
      <c r="Z6" s="506">
        <f>AA6*1.1</f>
        <v/>
      </c>
      <c r="AA6" s="598">
        <f>900*60</f>
        <v/>
      </c>
      <c r="AC6" s="47" t="inlineStr">
        <is>
          <t>(최종) 선납금 반영 월 구독료 (V-)</t>
        </is>
      </c>
      <c r="AD6" s="527">
        <f>ROUNDDOWN(AD5,-2)</f>
        <v/>
      </c>
      <c r="AG6" s="50" t="inlineStr">
        <is>
          <t>(최종) 단품 할인 반영 월 구독료 (V-)</t>
        </is>
      </c>
      <c r="AH6" s="608">
        <f>(AA2-AH5)/N1</f>
        <v/>
      </c>
    </row>
    <row r="7">
      <c r="A7" s="448" t="n">
        <v>45879</v>
      </c>
      <c r="B7" s="591">
        <f>B6+1</f>
        <v/>
      </c>
      <c r="C7" s="594">
        <f>F6</f>
        <v/>
      </c>
      <c r="D7" s="609">
        <f>ROUND(-E7+(C2*F3*27/31-H2*27/31),0)</f>
        <v/>
      </c>
      <c r="E7" s="593">
        <f>-((ROUNDDOWN($AA$13*27/31,-2)-ROUNDDOWN((AA6/60-Z19-Z24-Z29-Z34)*27/31,-2)-ROUNDDOWN((AA5/60-Z18-Z23-Z28-Z33)*27/31,-2)))</f>
        <v/>
      </c>
      <c r="F7" s="594">
        <f>SUM(C7:E7)</f>
        <v/>
      </c>
      <c r="H7" s="594" t="n"/>
      <c r="I7" s="609" t="n"/>
      <c r="J7" s="594" t="n"/>
      <c r="K7" s="594" t="n"/>
      <c r="N7" s="591">
        <f>ROUND(-S7+(Q2*T3*27/31-H2*27/31),0)</f>
        <v/>
      </c>
      <c r="O7" s="517">
        <f>ROUND(Q7*$T$3,)</f>
        <v/>
      </c>
      <c r="P7" s="610" t="n"/>
      <c r="Q7" s="611">
        <f>Q2</f>
        <v/>
      </c>
      <c r="R7" s="612">
        <f>ROUND(-S7+(Q2*T3-H2*27/31),0)</f>
        <v/>
      </c>
      <c r="S7" s="593">
        <f>-((ROUNDDOWN($AA$13*27/31,-2)-ROUNDDOWN((AA6/60-Z19-Z24-Z29-Z34)*27/31,-2)-ROUNDDOWN((AA5/60-Z18-Z23-Z28-Z33)*27/31,-2)))</f>
        <v/>
      </c>
      <c r="T7" s="591">
        <f>SUM(Q7:S7)</f>
        <v/>
      </c>
      <c r="V7" s="610" t="n"/>
      <c r="W7" s="610" t="n"/>
      <c r="X7" s="326" t="inlineStr">
        <is>
          <t>선납</t>
        </is>
      </c>
      <c r="Y7" s="61">
        <f>AD2</f>
        <v/>
      </c>
      <c r="Z7" s="598">
        <f>AA7*1.1</f>
        <v/>
      </c>
      <c r="AA7" s="598">
        <f>+AH14</f>
        <v/>
      </c>
      <c r="AC7" s="47" t="inlineStr">
        <is>
          <t>(최종) 선납금 반영 총 구독료 (V-)</t>
        </is>
      </c>
      <c r="AD7" s="527">
        <f>AD6*N1</f>
        <v/>
      </c>
      <c r="AG7" s="50" t="inlineStr">
        <is>
          <t>(최종) 단품 할인 반영 총 구독료 (V-)</t>
        </is>
      </c>
      <c r="AH7" s="608">
        <f>AH6*N1</f>
        <v/>
      </c>
    </row>
    <row r="8">
      <c r="A8" s="447">
        <f>EDATE(A7,1)</f>
        <v/>
      </c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H8" s="594" t="n"/>
      <c r="I8" s="594" t="n"/>
      <c r="J8" s="594" t="n"/>
      <c r="K8" s="594" t="n"/>
      <c r="O8" s="613" t="n"/>
      <c r="P8" s="613" t="n"/>
      <c r="Q8" s="613">
        <f>T7</f>
        <v/>
      </c>
      <c r="R8" s="611">
        <f>ROUND(Q8*$T$3,)</f>
        <v/>
      </c>
      <c r="S8" s="614" t="n">
        <v>0</v>
      </c>
      <c r="T8" s="591">
        <f>SUM(Q8:S8)</f>
        <v/>
      </c>
      <c r="V8" s="613" t="n"/>
      <c r="W8" s="613" t="n"/>
      <c r="X8" s="615" t="inlineStr">
        <is>
          <t>단품할인</t>
        </is>
      </c>
      <c r="Y8" s="616" t="n"/>
      <c r="Z8" s="598">
        <f>AA8*1.1</f>
        <v/>
      </c>
      <c r="AA8" s="598">
        <f>AH5</f>
        <v/>
      </c>
      <c r="AC8" s="47" t="inlineStr">
        <is>
          <t>(최종) 선납금 (V-)</t>
        </is>
      </c>
      <c r="AD8" s="527">
        <f>AA2-AD7</f>
        <v/>
      </c>
      <c r="AE8" s="591">
        <f>AD8*1.1</f>
        <v/>
      </c>
    </row>
    <row r="9">
      <c r="A9" s="447">
        <f>EDATE(A8,1)</f>
        <v/>
      </c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H9" s="594" t="n"/>
      <c r="I9" s="594" t="n"/>
      <c r="J9" s="594" t="n"/>
      <c r="K9" s="594" t="n"/>
      <c r="Q9" s="613">
        <f>T8</f>
        <v/>
      </c>
      <c r="R9" s="611">
        <f>ROUND(Q9*$T$3,)</f>
        <v/>
      </c>
      <c r="S9" s="614" t="n">
        <v>0</v>
      </c>
      <c r="T9" s="591">
        <f>SUM(Q9:S9)</f>
        <v/>
      </c>
      <c r="X9" s="615" t="inlineStr">
        <is>
          <t>선납할인</t>
        </is>
      </c>
      <c r="Y9" s="616" t="n"/>
      <c r="Z9" s="598">
        <f>AA9*1.1</f>
        <v/>
      </c>
      <c r="AA9" s="598">
        <f>+AH18</f>
        <v/>
      </c>
      <c r="AC9" s="63" t="inlineStr">
        <is>
          <t>(계산용) 선납 할인금 (V-)</t>
        </is>
      </c>
      <c r="AD9" s="617">
        <f>+Z2*AD1/1.1</f>
        <v/>
      </c>
      <c r="AE9" s="594" t="n"/>
      <c r="AG9" s="314" t="inlineStr">
        <is>
          <t>(계산용) 선납금 %</t>
        </is>
      </c>
      <c r="AH9" s="315" t="n">
        <v>0.1</v>
      </c>
    </row>
    <row r="10">
      <c r="A10" s="447">
        <f>EDATE(A9,1)</f>
        <v/>
      </c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H10" s="594" t="n"/>
      <c r="I10" s="594" t="n"/>
      <c r="J10" s="594" t="n"/>
      <c r="K10" s="594" t="n"/>
      <c r="Q10" s="613">
        <f>T9</f>
        <v/>
      </c>
      <c r="R10" s="611">
        <f>ROUND(Q10*$T$3,)</f>
        <v/>
      </c>
      <c r="S10" s="614" t="n">
        <v>0</v>
      </c>
      <c r="T10" s="591">
        <f>SUM(Q10:S10)</f>
        <v/>
      </c>
      <c r="X10" s="615" t="inlineStr">
        <is>
          <t>결합할인</t>
        </is>
      </c>
      <c r="Y10" s="616" t="n"/>
      <c r="Z10" s="598">
        <f>AA10*1.1</f>
        <v/>
      </c>
      <c r="AA10" s="598">
        <f>+AH27</f>
        <v/>
      </c>
      <c r="AC10" s="47" t="inlineStr">
        <is>
          <t>(계산용) 선납 할인금 월할 (V-)</t>
        </is>
      </c>
      <c r="AD10" s="598">
        <f>AD9/N1</f>
        <v/>
      </c>
      <c r="AG10" s="314" t="inlineStr">
        <is>
          <t>선납할인율 %</t>
        </is>
      </c>
      <c r="AH10" s="349" t="n">
        <v>0.04</v>
      </c>
    </row>
    <row r="11">
      <c r="A11" s="447">
        <f>EDATE(A10,1)</f>
        <v/>
      </c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H11" s="594" t="n"/>
      <c r="I11" s="594" t="n"/>
      <c r="J11" s="594" t="n"/>
      <c r="K11" s="594" t="n"/>
      <c r="Q11" s="613">
        <f>T10</f>
        <v/>
      </c>
      <c r="R11" s="611">
        <f>ROUND(Q11*$T$3,)</f>
        <v/>
      </c>
      <c r="S11" s="614" t="n">
        <v>0</v>
      </c>
      <c r="T11" s="591">
        <f>SUM(Q11:S11)</f>
        <v/>
      </c>
      <c r="X11" s="615" t="inlineStr">
        <is>
          <t>N개월할인(6개월)</t>
        </is>
      </c>
      <c r="Y11" s="616" t="n"/>
      <c r="Z11" s="598">
        <f>+AA11*1.1</f>
        <v/>
      </c>
      <c r="AA11" s="598">
        <f>+AA2/N1*6</f>
        <v/>
      </c>
      <c r="AC11" s="47" t="inlineStr">
        <is>
          <t>(계산용) 선납 할인금 월할 보정 (V-)</t>
        </is>
      </c>
      <c r="AD11" s="598">
        <f>ROUNDUP(AD10,-2)</f>
        <v/>
      </c>
      <c r="AG11" s="50" t="inlineStr">
        <is>
          <t>(계산용) 선납금 (총 구독료 v+ 기준, V-)</t>
        </is>
      </c>
      <c r="AH11" s="506">
        <f>Z2*AH9/1.1</f>
        <v/>
      </c>
    </row>
    <row r="12">
      <c r="A12" s="447">
        <f>EDATE(A11,1)</f>
        <v/>
      </c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H12" s="594" t="n"/>
      <c r="I12" s="594" t="n"/>
      <c r="J12" s="594" t="n"/>
      <c r="K12" s="594" t="n"/>
      <c r="Q12" s="613">
        <f>T11</f>
        <v/>
      </c>
      <c r="R12" s="611">
        <f>ROUND(Q12*$T$3,)</f>
        <v/>
      </c>
      <c r="S12" s="614" t="n">
        <v>0</v>
      </c>
      <c r="T12" s="591">
        <f>SUM(Q12:S12)</f>
        <v/>
      </c>
      <c r="X12" s="598" t="inlineStr">
        <is>
          <t>선납,할인,N개월반영 구독료</t>
        </is>
      </c>
      <c r="Y12" s="598" t="n"/>
      <c r="Z12" s="598">
        <f>AA12*1.1</f>
        <v/>
      </c>
      <c r="AA12" s="598">
        <f>+AA2-AA8-AA9-AA7-AA10</f>
        <v/>
      </c>
      <c r="AC12" s="47" t="inlineStr">
        <is>
          <t>(최종) 선납 할인금 (V-)</t>
        </is>
      </c>
      <c r="AD12" s="608">
        <f>AD11*N1</f>
        <v/>
      </c>
      <c r="AE12" s="594" t="n"/>
      <c r="AG12" s="50" t="inlineStr">
        <is>
          <t>(계산용) 선납금 월할 (V-)</t>
        </is>
      </c>
      <c r="AH12" s="506">
        <f>AH11/N1</f>
        <v/>
      </c>
    </row>
    <row r="13">
      <c r="A13" s="447">
        <f>EDATE(A12,1)</f>
        <v/>
      </c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H13" s="594" t="n"/>
      <c r="I13" s="594" t="n"/>
      <c r="J13" s="594" t="n"/>
      <c r="K13" s="594" t="n"/>
      <c r="Q13" s="613">
        <f>T12</f>
        <v/>
      </c>
      <c r="R13" s="611">
        <f>ROUND(Q13*$T$3,)</f>
        <v/>
      </c>
      <c r="S13" s="614" t="n">
        <v>0</v>
      </c>
      <c r="T13" s="591">
        <f>SUM(Q13:S13)</f>
        <v/>
      </c>
      <c r="X13" s="591" t="inlineStr">
        <is>
          <t>(최종) 선납금+선납+단품+결합 할인 반영 월 구독료 (V-)</t>
        </is>
      </c>
      <c r="AA13" s="591">
        <f>+AA12/N1</f>
        <v/>
      </c>
      <c r="AC13" s="47" t="inlineStr">
        <is>
          <t>(최종) 선납금+선납 할인 반영 월 구독료 (V-)</t>
        </is>
      </c>
      <c r="AD13" s="608">
        <f>(AA2-AD8-AD12)/N1</f>
        <v/>
      </c>
      <c r="AG13" s="50" t="inlineStr">
        <is>
          <t>(계산용) 선납금 월할 보정 (V-)</t>
        </is>
      </c>
      <c r="AH13" s="506">
        <f>ROUND(AH12,-2)</f>
        <v/>
      </c>
    </row>
    <row r="14">
      <c r="A14" s="447">
        <f>EDATE(A13,1)</f>
        <v/>
      </c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H14" s="594" t="n"/>
      <c r="I14" s="594" t="n"/>
      <c r="J14" s="594" t="n"/>
      <c r="K14" s="594" t="n"/>
      <c r="Q14" s="613">
        <f>T13</f>
        <v/>
      </c>
      <c r="R14" s="611">
        <f>ROUND(Q14*$T$3,)</f>
        <v/>
      </c>
      <c r="S14" s="594">
        <f>-$H$2</f>
        <v/>
      </c>
      <c r="T14" s="591">
        <f>SUM(Q14:S14)</f>
        <v/>
      </c>
      <c r="AA14" s="591">
        <f>+AA2/N1-AA13</f>
        <v/>
      </c>
      <c r="AB14" s="591">
        <f>+AA14=SUM(AH5,AH18,AH27)/60+AH14/60</f>
        <v/>
      </c>
      <c r="AC14" s="47" t="inlineStr">
        <is>
          <t>(최종) 선납금+선납 할인 반영 총 구독료 (V-)</t>
        </is>
      </c>
      <c r="AD14" s="608">
        <f>AD13*N1</f>
        <v/>
      </c>
      <c r="AG14" s="50" t="inlineStr">
        <is>
          <t>(최종) 선납금 (V-)</t>
        </is>
      </c>
      <c r="AH14" s="506">
        <f>AH13*N1</f>
        <v/>
      </c>
    </row>
    <row r="15">
      <c r="A15" s="447">
        <f>EDATE(A14,1)</f>
        <v/>
      </c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  <c r="H15" s="594" t="n"/>
      <c r="I15" s="594" t="n"/>
      <c r="J15" s="594" t="n"/>
      <c r="K15" s="594" t="n"/>
      <c r="Q15" s="613">
        <f>T14</f>
        <v/>
      </c>
      <c r="R15" s="611">
        <f>ROUND(Q15*$T$3,)</f>
        <v/>
      </c>
      <c r="S15" s="594">
        <f>-$H$2</f>
        <v/>
      </c>
      <c r="T15" s="591">
        <f>SUM(Q15:S15)</f>
        <v/>
      </c>
      <c r="X15" s="206" t="inlineStr">
        <is>
          <t>v- 100단위 조정</t>
        </is>
      </c>
      <c r="AB15" s="591">
        <f>+AA12-AA5-AA6=C3</f>
        <v/>
      </c>
      <c r="AG15" s="50" t="inlineStr">
        <is>
          <t>(계산용) 선납 할인금 (V-)</t>
        </is>
      </c>
      <c r="AH15" s="506">
        <f>Z2*AH10/1.1</f>
        <v/>
      </c>
    </row>
    <row r="16">
      <c r="A16" s="447">
        <f>EDATE(A15,1)</f>
        <v/>
      </c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H16" s="594" t="n"/>
      <c r="I16" s="594" t="n"/>
      <c r="J16" s="594" t="n"/>
      <c r="K16" s="594" t="n"/>
      <c r="Q16" s="613">
        <f>T15</f>
        <v/>
      </c>
      <c r="R16" s="611">
        <f>ROUND(Q16*$T$3,)</f>
        <v/>
      </c>
      <c r="S16" s="594">
        <f>-$H$2</f>
        <v/>
      </c>
      <c r="T16" s="591">
        <f>SUM(Q16:S16)</f>
        <v/>
      </c>
      <c r="X16" s="378" t="inlineStr">
        <is>
          <t>월 선납금(v-)</t>
        </is>
      </c>
      <c r="Y16" s="251" t="n"/>
      <c r="Z16" s="504">
        <f>$AA$7/$N$1</f>
        <v/>
      </c>
      <c r="AF16" s="495" t="n"/>
      <c r="AG16" s="50" t="inlineStr">
        <is>
          <t>(계산용) 선납 할인금 월할 (V-)</t>
        </is>
      </c>
      <c r="AH16" s="598">
        <f>AH15/N1</f>
        <v/>
      </c>
    </row>
    <row r="17">
      <c r="A17" s="447">
        <f>EDATE(A16,1)</f>
        <v/>
      </c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H17" s="594" t="n"/>
      <c r="I17" s="594" t="n"/>
      <c r="J17" s="594" t="n"/>
      <c r="K17" s="594" t="n"/>
      <c r="Q17" s="613">
        <f>T16</f>
        <v/>
      </c>
      <c r="R17" s="611">
        <f>ROUND(Q17*$T$3,)</f>
        <v/>
      </c>
      <c r="S17" s="594">
        <f>-$H$2</f>
        <v/>
      </c>
      <c r="T17" s="591">
        <f>SUM(Q17:S17)</f>
        <v/>
      </c>
      <c r="X17" s="375" t="n"/>
      <c r="Y17" s="506" t="inlineStr">
        <is>
          <t>제품</t>
        </is>
      </c>
      <c r="Z17" s="507">
        <f>Z16-Z18-Z19</f>
        <v/>
      </c>
      <c r="AF17" s="495" t="n"/>
      <c r="AG17" s="50" t="inlineStr">
        <is>
          <t>(계산용) 선납 할인금 월할 보정 (V-)</t>
        </is>
      </c>
      <c r="AH17" s="598">
        <f>ROUNDUP(AH16,-2)</f>
        <v/>
      </c>
    </row>
    <row r="18">
      <c r="A18" s="447">
        <f>EDATE(A17,1)</f>
        <v/>
      </c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H18" s="594" t="n"/>
      <c r="I18" s="594" t="n"/>
      <c r="J18" s="594" t="n"/>
      <c r="K18" s="594" t="n"/>
      <c r="Q18" s="613">
        <f>T17</f>
        <v/>
      </c>
      <c r="R18" s="611">
        <f>ROUND(Q18*$T$3,)</f>
        <v/>
      </c>
      <c r="S18" s="594">
        <f>-$H$2</f>
        <v/>
      </c>
      <c r="T18" s="591">
        <f>SUM(Q18:S18)</f>
        <v/>
      </c>
      <c r="X18" s="375" t="n"/>
      <c r="Y18" s="506" t="inlineStr">
        <is>
          <t>케어</t>
        </is>
      </c>
      <c r="Z18" s="507">
        <f>ROUND(Z16*$AA$5/$AA$2,-2)</f>
        <v/>
      </c>
      <c r="AF18" s="495" t="n"/>
      <c r="AG18" s="50" t="inlineStr">
        <is>
          <t>(최종) 선납 할인금 (V-)</t>
        </is>
      </c>
      <c r="AH18" s="608">
        <f>AH17*N1</f>
        <v/>
      </c>
    </row>
    <row r="19">
      <c r="A19" s="447">
        <f>EDATE(A18,1)</f>
        <v/>
      </c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H19" s="594" t="n"/>
      <c r="I19" s="594" t="n"/>
      <c r="J19" s="594" t="n"/>
      <c r="K19" s="594" t="n"/>
      <c r="Q19" s="613">
        <f>T18</f>
        <v/>
      </c>
      <c r="R19" s="611">
        <f>ROUND(Q19*$T$3,)</f>
        <v/>
      </c>
      <c r="S19" s="594">
        <f>-$H$2</f>
        <v/>
      </c>
      <c r="T19" s="591">
        <f>SUM(Q19:S19)</f>
        <v/>
      </c>
      <c r="X19" s="376" t="n"/>
      <c r="Y19" s="524" t="inlineStr">
        <is>
          <t>보증</t>
        </is>
      </c>
      <c r="Z19" s="507">
        <f>ROUND(Z16*$AA$6/$AA$2,-2)</f>
        <v/>
      </c>
      <c r="AF19" s="495" t="n"/>
      <c r="AG19" s="50" t="inlineStr">
        <is>
          <t>(최종) 선납금+선납 할인 반영 월 구독료 (V-)</t>
        </is>
      </c>
      <c r="AH19" s="608">
        <f>(AA2-AH14-AH18)/N1</f>
        <v/>
      </c>
    </row>
    <row r="20">
      <c r="A20" s="447">
        <f>EDATE(A19,1)</f>
        <v/>
      </c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H20" s="594" t="n"/>
      <c r="I20" s="594" t="n"/>
      <c r="J20" s="594" t="n"/>
      <c r="K20" s="594" t="n"/>
      <c r="Q20" s="613">
        <f>T19</f>
        <v/>
      </c>
      <c r="R20" s="611">
        <f>ROUND(Q20*$T$3,)</f>
        <v/>
      </c>
      <c r="S20" s="594">
        <f>-$H$2</f>
        <v/>
      </c>
      <c r="T20" s="591">
        <f>SUM(Q20:S20)</f>
        <v/>
      </c>
      <c r="AG20" s="50" t="inlineStr">
        <is>
          <t>(최종) 선납금+선납 할인 반영 총 구독료 (V-)</t>
        </is>
      </c>
      <c r="AH20" s="608">
        <f>AH19*N1</f>
        <v/>
      </c>
    </row>
    <row r="21">
      <c r="A21" s="447">
        <f>EDATE(A20,1)</f>
        <v/>
      </c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H21" s="594" t="n"/>
      <c r="I21" s="594" t="n"/>
      <c r="J21" s="594" t="n"/>
      <c r="K21" s="594" t="n"/>
      <c r="Q21" s="613">
        <f>T20</f>
        <v/>
      </c>
      <c r="R21" s="611">
        <f>ROUND(Q21*$T$3,)</f>
        <v/>
      </c>
      <c r="S21" s="594">
        <f>-$H$2</f>
        <v/>
      </c>
      <c r="T21" s="591">
        <f>SUM(Q21:S21)</f>
        <v/>
      </c>
      <c r="X21" s="378" t="inlineStr">
        <is>
          <t>월 선납할인(v-)</t>
        </is>
      </c>
      <c r="Y21" s="251" t="n"/>
      <c r="Z21" s="504">
        <f>$AA$9/$N$1</f>
        <v/>
      </c>
      <c r="AF21" s="495" t="n"/>
      <c r="AG21" s="618" t="n"/>
    </row>
    <row r="22">
      <c r="A22" s="447">
        <f>EDATE(A21,1)</f>
        <v/>
      </c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H22" s="594" t="n"/>
      <c r="I22" s="594" t="n"/>
      <c r="J22" s="594" t="n"/>
      <c r="K22" s="594" t="n"/>
      <c r="Q22" s="613">
        <f>T21</f>
        <v/>
      </c>
      <c r="R22" s="611">
        <f>ROUND(Q22*$T$3,)</f>
        <v/>
      </c>
      <c r="S22" s="594">
        <f>-$H$2</f>
        <v/>
      </c>
      <c r="T22" s="591">
        <f>SUM(Q22:S22)</f>
        <v/>
      </c>
      <c r="X22" s="375" t="n"/>
      <c r="Y22" s="506" t="inlineStr">
        <is>
          <t>제품</t>
        </is>
      </c>
      <c r="Z22" s="507">
        <f>Z21-Z23-Z24</f>
        <v/>
      </c>
      <c r="AF22" s="495" t="n"/>
      <c r="AG22" s="337" t="inlineStr">
        <is>
          <t>결합할인율 %</t>
        </is>
      </c>
      <c r="AH22" s="338" t="n">
        <v>0.05</v>
      </c>
    </row>
    <row r="23">
      <c r="A23" s="447">
        <f>EDATE(A22,1)</f>
        <v/>
      </c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H23" s="594" t="n"/>
      <c r="I23" s="594" t="n"/>
      <c r="J23" s="594" t="n"/>
      <c r="K23" s="594" t="n"/>
      <c r="Q23" s="613">
        <f>T22</f>
        <v/>
      </c>
      <c r="R23" s="611">
        <f>ROUND(Q23*$T$3,)</f>
        <v/>
      </c>
      <c r="S23" s="594">
        <f>-$H$2</f>
        <v/>
      </c>
      <c r="T23" s="591">
        <f>SUM(Q23:S23)</f>
        <v/>
      </c>
      <c r="X23" s="375" t="n"/>
      <c r="Y23" s="506" t="inlineStr">
        <is>
          <t>케어</t>
        </is>
      </c>
      <c r="Z23" s="507">
        <f>ROUND(Z21*$AA$5/$AA$2,-2)</f>
        <v/>
      </c>
      <c r="AF23" s="495" t="n"/>
      <c r="AG23" s="340" t="inlineStr">
        <is>
          <t>(계산용) 결합 할인금 (V+)</t>
        </is>
      </c>
      <c r="AH23" s="619">
        <f>+AH22*Z2</f>
        <v/>
      </c>
    </row>
    <row r="24">
      <c r="A24" s="447">
        <f>EDATE(A23,1)</f>
        <v/>
      </c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H24" s="594" t="n"/>
      <c r="I24" s="594" t="n"/>
      <c r="J24" s="594" t="n"/>
      <c r="K24" s="594" t="n"/>
      <c r="Q24" s="613">
        <f>T23</f>
        <v/>
      </c>
      <c r="R24" s="611">
        <f>ROUND(Q24*$T$3,)</f>
        <v/>
      </c>
      <c r="S24" s="594">
        <f>-$H$2</f>
        <v/>
      </c>
      <c r="T24" s="591">
        <f>SUM(Q24:S24)</f>
        <v/>
      </c>
      <c r="X24" s="376" t="n"/>
      <c r="Y24" s="524" t="inlineStr">
        <is>
          <t>보증</t>
        </is>
      </c>
      <c r="Z24" s="507">
        <f>ROUND(Z21*$AA$6/$AA$2,-2)</f>
        <v/>
      </c>
      <c r="AF24" s="495" t="n"/>
      <c r="AG24" s="340" t="inlineStr">
        <is>
          <t>(계산용) 결합 할인금 (V-)</t>
        </is>
      </c>
      <c r="AH24" s="619">
        <f>+AH23/1.1</f>
        <v/>
      </c>
    </row>
    <row r="25">
      <c r="A25" s="447">
        <f>EDATE(A24,1)</f>
        <v/>
      </c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H25" s="594" t="n"/>
      <c r="I25" s="594" t="n"/>
      <c r="J25" s="594" t="n"/>
      <c r="K25" s="594" t="n"/>
      <c r="Q25" s="613">
        <f>T24</f>
        <v/>
      </c>
      <c r="R25" s="611">
        <f>ROUND(Q25*$T$3,)</f>
        <v/>
      </c>
      <c r="S25" s="594">
        <f>-$H$2</f>
        <v/>
      </c>
      <c r="T25" s="591">
        <f>SUM(Q25:S25)</f>
        <v/>
      </c>
      <c r="AF25" s="495" t="n"/>
      <c r="AG25" s="340" t="inlineStr">
        <is>
          <t>(계산용) 결합 월할인금 (V-)</t>
        </is>
      </c>
      <c r="AH25" s="506">
        <f>+ROUNDUP(AH24/N1,-2)</f>
        <v/>
      </c>
    </row>
    <row r="26">
      <c r="A26" s="447">
        <f>EDATE(A25,1)</f>
        <v/>
      </c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H26" s="594" t="n"/>
      <c r="I26" s="594" t="n"/>
      <c r="J26" s="594" t="n"/>
      <c r="K26" s="594" t="n"/>
      <c r="Q26" s="613">
        <f>T25</f>
        <v/>
      </c>
      <c r="R26" s="611">
        <f>ROUND(Q26*$T$3,)</f>
        <v/>
      </c>
      <c r="S26" s="594">
        <f>-$H$2</f>
        <v/>
      </c>
      <c r="T26" s="591">
        <f>SUM(Q26:S26)</f>
        <v/>
      </c>
      <c r="X26" s="378" t="inlineStr">
        <is>
          <t>월 단품할인(v-)</t>
        </is>
      </c>
      <c r="Y26" s="251" t="n"/>
      <c r="Z26" s="504">
        <f>$AA$8/$N$1</f>
        <v/>
      </c>
      <c r="AF26" s="495" t="n"/>
      <c r="AG26" s="50" t="inlineStr">
        <is>
          <t>(계산용) 결합 월할인금 (V+)</t>
        </is>
      </c>
      <c r="AH26" s="506">
        <f>+AH25*1.1</f>
        <v/>
      </c>
    </row>
    <row r="27">
      <c r="A27" s="447">
        <f>EDATE(A26,1)</f>
        <v/>
      </c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  <c r="H27" s="594" t="n"/>
      <c r="I27" s="594" t="n"/>
      <c r="J27" s="594" t="n"/>
      <c r="K27" s="594" t="n"/>
      <c r="Q27" s="613">
        <f>T26</f>
        <v/>
      </c>
      <c r="R27" s="611">
        <f>ROUND(Q27*$T$3,)</f>
        <v/>
      </c>
      <c r="S27" s="594">
        <f>-$H$2</f>
        <v/>
      </c>
      <c r="T27" s="591">
        <f>SUM(Q27:S27)</f>
        <v/>
      </c>
      <c r="X27" s="375" t="n"/>
      <c r="Y27" s="506" t="inlineStr">
        <is>
          <t>제품</t>
        </is>
      </c>
      <c r="Z27" s="507">
        <f>Z26-Z28-Z29</f>
        <v/>
      </c>
      <c r="AG27" s="50" t="inlineStr">
        <is>
          <t>(최종) 결합 할인금 (V-)</t>
        </is>
      </c>
      <c r="AH27" s="506">
        <f>+AH25*N1</f>
        <v/>
      </c>
    </row>
    <row r="28">
      <c r="A28" s="447">
        <f>EDATE(A27,1)</f>
        <v/>
      </c>
      <c r="B28" s="591">
        <f>B27+1</f>
        <v/>
      </c>
      <c r="C28" s="594">
        <f>F27</f>
        <v/>
      </c>
      <c r="D28" s="594">
        <f>ROUND(C28*$F$3,)</f>
        <v/>
      </c>
      <c r="E28" s="594">
        <f>-$H$2</f>
        <v/>
      </c>
      <c r="F28" s="594">
        <f>SUM(C28:E28)</f>
        <v/>
      </c>
      <c r="H28" s="594" t="n"/>
      <c r="I28" s="594" t="n"/>
      <c r="J28" s="594" t="n"/>
      <c r="K28" s="594" t="n"/>
      <c r="Q28" s="613">
        <f>T27</f>
        <v/>
      </c>
      <c r="R28" s="611">
        <f>ROUND(Q28*$T$3,)</f>
        <v/>
      </c>
      <c r="S28" s="594">
        <f>-$H$2</f>
        <v/>
      </c>
      <c r="T28" s="591">
        <f>SUM(Q28:S28)</f>
        <v/>
      </c>
      <c r="X28" s="375" t="n"/>
      <c r="Y28" s="506" t="inlineStr">
        <is>
          <t>케어</t>
        </is>
      </c>
      <c r="Z28" s="507">
        <f>ROUND(Z26*$AA$5/$AA$2,-2)</f>
        <v/>
      </c>
      <c r="AG28" s="50" t="inlineStr">
        <is>
          <t>(최종) 결합 할인금 (V+)</t>
        </is>
      </c>
      <c r="AH28" s="506">
        <f>+AH26*N1</f>
        <v/>
      </c>
    </row>
    <row r="29">
      <c r="A29" s="447">
        <f>EDATE(A28,1)</f>
        <v/>
      </c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  <c r="H29" s="594" t="n"/>
      <c r="I29" s="594" t="n"/>
      <c r="J29" s="594" t="n"/>
      <c r="K29" s="594" t="n"/>
      <c r="Q29" s="613">
        <f>T28</f>
        <v/>
      </c>
      <c r="R29" s="611">
        <f>ROUND(Q29*$T$3,)</f>
        <v/>
      </c>
      <c r="S29" s="594">
        <f>-$H$2</f>
        <v/>
      </c>
      <c r="T29" s="591">
        <f>SUM(Q29:S29)</f>
        <v/>
      </c>
      <c r="X29" s="376" t="n"/>
      <c r="Y29" s="524" t="inlineStr">
        <is>
          <t>보증</t>
        </is>
      </c>
      <c r="Z29" s="507">
        <f>ROUND(Z26*$AA$6/$AA$2,-2)</f>
        <v/>
      </c>
      <c r="AG29" s="340" t="inlineStr">
        <is>
          <t>(최종) 결합 할인 반영 월 구독료 (V-)</t>
        </is>
      </c>
      <c r="AH29" s="619">
        <f>+(AA2-AH27)/N1</f>
        <v/>
      </c>
    </row>
    <row r="30">
      <c r="A30" s="447">
        <f>EDATE(A29,1)</f>
        <v/>
      </c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  <c r="H30" s="594" t="n"/>
      <c r="I30" s="594" t="n"/>
      <c r="J30" s="594" t="n"/>
      <c r="K30" s="594" t="n"/>
      <c r="Q30" s="613">
        <f>T29</f>
        <v/>
      </c>
      <c r="R30" s="611">
        <f>ROUND(Q30*$T$3,)</f>
        <v/>
      </c>
      <c r="S30" s="594">
        <f>-$H$2</f>
        <v/>
      </c>
      <c r="T30" s="591">
        <f>SUM(Q30:S30)</f>
        <v/>
      </c>
      <c r="AG30" s="340" t="inlineStr">
        <is>
          <t>(최종) 결합 할인 반영 총 구독료 (V-)</t>
        </is>
      </c>
      <c r="AH30" s="619">
        <f>+AH29*N1</f>
        <v/>
      </c>
    </row>
    <row r="31">
      <c r="A31" s="447">
        <f>EDATE(A30,1)</f>
        <v/>
      </c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  <c r="H31" s="594" t="n"/>
      <c r="I31" s="594" t="n"/>
      <c r="J31" s="594" t="n"/>
      <c r="K31" s="594" t="n"/>
      <c r="Q31" s="613">
        <f>T30</f>
        <v/>
      </c>
      <c r="R31" s="611">
        <f>ROUND(Q31*$T$3,)</f>
        <v/>
      </c>
      <c r="S31" s="594">
        <f>-$H$2</f>
        <v/>
      </c>
      <c r="T31" s="591">
        <f>SUM(Q31:S31)</f>
        <v/>
      </c>
      <c r="X31" s="378" t="inlineStr">
        <is>
          <t>월 결합할인(v-)</t>
        </is>
      </c>
      <c r="Y31" s="251" t="n"/>
      <c r="Z31" s="504">
        <f>$AA$10/$N$1</f>
        <v/>
      </c>
    </row>
    <row r="32">
      <c r="A32" s="447">
        <f>EDATE(A31,1)</f>
        <v/>
      </c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  <c r="H32" s="594" t="n"/>
      <c r="I32" s="594" t="n"/>
      <c r="J32" s="594" t="n"/>
      <c r="K32" s="594" t="n"/>
      <c r="Q32" s="613">
        <f>T31</f>
        <v/>
      </c>
      <c r="R32" s="611">
        <f>ROUND(Q32*$T$3,)</f>
        <v/>
      </c>
      <c r="S32" s="594">
        <f>-$H$2</f>
        <v/>
      </c>
      <c r="T32" s="591">
        <f>SUM(Q32:S32)</f>
        <v/>
      </c>
      <c r="X32" s="375" t="n"/>
      <c r="Y32" s="506" t="inlineStr">
        <is>
          <t>제품</t>
        </is>
      </c>
      <c r="Z32" s="507">
        <f>Z31-Z33-Z34</f>
        <v/>
      </c>
    </row>
    <row r="33">
      <c r="A33" s="447">
        <f>EDATE(A32,1)</f>
        <v/>
      </c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  <c r="H33" s="594" t="n"/>
      <c r="I33" s="594" t="n"/>
      <c r="J33" s="594" t="n"/>
      <c r="K33" s="594" t="n"/>
      <c r="Q33" s="613">
        <f>T32</f>
        <v/>
      </c>
      <c r="R33" s="611">
        <f>ROUND(Q33*$T$3,)</f>
        <v/>
      </c>
      <c r="S33" s="594">
        <f>-$H$2</f>
        <v/>
      </c>
      <c r="T33" s="591">
        <f>SUM(Q33:S33)</f>
        <v/>
      </c>
      <c r="X33" s="375" t="n"/>
      <c r="Y33" s="506" t="inlineStr">
        <is>
          <t>케어</t>
        </is>
      </c>
      <c r="Z33" s="507">
        <f>ROUND(Z31*$AA$5/$AA$2,-2)</f>
        <v/>
      </c>
    </row>
    <row r="34">
      <c r="A34" s="447">
        <f>EDATE(A33,1)</f>
        <v/>
      </c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  <c r="H34" s="594" t="n"/>
      <c r="I34" s="594" t="n"/>
      <c r="J34" s="594" t="n"/>
      <c r="K34" s="594" t="n"/>
      <c r="Q34" s="613">
        <f>T33</f>
        <v/>
      </c>
      <c r="R34" s="611">
        <f>ROUND(Q34*$T$3,)</f>
        <v/>
      </c>
      <c r="S34" s="594">
        <f>-$H$2</f>
        <v/>
      </c>
      <c r="T34" s="591">
        <f>SUM(Q34:S34)</f>
        <v/>
      </c>
      <c r="X34" s="376" t="n"/>
      <c r="Y34" s="524" t="inlineStr">
        <is>
          <t>보증</t>
        </is>
      </c>
      <c r="Z34" s="507">
        <f>ROUND(Z31*$AA$6/$AA$2,-2)</f>
        <v/>
      </c>
    </row>
    <row r="35">
      <c r="A35" s="447">
        <f>EDATE(A34,1)</f>
        <v/>
      </c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  <c r="H35" s="594" t="n"/>
      <c r="I35" s="594" t="n"/>
      <c r="J35" s="594" t="n"/>
      <c r="K35" s="594" t="n"/>
      <c r="Q35" s="613">
        <f>T34</f>
        <v/>
      </c>
      <c r="R35" s="611">
        <f>ROUND(Q35*$T$3,)</f>
        <v/>
      </c>
      <c r="S35" s="594">
        <f>-$H$2</f>
        <v/>
      </c>
      <c r="T35" s="591">
        <f>SUM(Q35:S35)</f>
        <v/>
      </c>
    </row>
    <row r="36">
      <c r="A36" s="447">
        <f>EDATE(A35,1)</f>
        <v/>
      </c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  <c r="H36" s="594" t="n"/>
      <c r="I36" s="594" t="n"/>
      <c r="J36" s="594" t="n"/>
      <c r="K36" s="594" t="n"/>
      <c r="Q36" s="613">
        <f>T35</f>
        <v/>
      </c>
      <c r="R36" s="611">
        <f>ROUND(Q36*$T$3,)</f>
        <v/>
      </c>
      <c r="S36" s="594">
        <f>-$H$2</f>
        <v/>
      </c>
      <c r="T36" s="591">
        <f>SUM(Q36:S36)</f>
        <v/>
      </c>
    </row>
    <row r="37">
      <c r="A37" s="447">
        <f>EDATE(A36,1)</f>
        <v/>
      </c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  <c r="H37" s="594" t="n"/>
      <c r="I37" s="594" t="n"/>
      <c r="J37" s="594" t="n"/>
      <c r="K37" s="594" t="n"/>
      <c r="Q37" s="613">
        <f>T36</f>
        <v/>
      </c>
      <c r="R37" s="611">
        <f>ROUND(Q37*$T$3,)</f>
        <v/>
      </c>
      <c r="S37" s="594">
        <f>-$H$2</f>
        <v/>
      </c>
      <c r="T37" s="591">
        <f>SUM(Q37:S37)</f>
        <v/>
      </c>
      <c r="X37" s="388" t="inlineStr">
        <is>
          <t>v- 소수점만 제거</t>
        </is>
      </c>
      <c r="Y37" s="620" t="n"/>
      <c r="Z37" s="620" t="n"/>
      <c r="AA37" s="388" t="inlineStr">
        <is>
          <t>V+</t>
        </is>
      </c>
    </row>
    <row r="38">
      <c r="A38" s="447">
        <f>EDATE(A37,1)</f>
        <v/>
      </c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  <c r="H38" s="594" t="n"/>
      <c r="I38" s="594" t="n"/>
      <c r="J38" s="594" t="n"/>
      <c r="K38" s="594" t="n"/>
      <c r="Q38" s="613">
        <f>T37</f>
        <v/>
      </c>
      <c r="R38" s="611">
        <f>ROUND(Q38*$T$3,)</f>
        <v/>
      </c>
      <c r="S38" s="594">
        <f>-$H$2</f>
        <v/>
      </c>
      <c r="T38" s="591">
        <f>SUM(Q38:S38)</f>
        <v/>
      </c>
      <c r="X38" s="390" t="inlineStr">
        <is>
          <t>월 선납금(v-)</t>
        </is>
      </c>
      <c r="Y38" s="391" t="n"/>
      <c r="Z38" s="621">
        <f>$AA$7/$N$1</f>
        <v/>
      </c>
      <c r="AA38" s="622">
        <f>Z38*1.1</f>
        <v/>
      </c>
    </row>
    <row r="39">
      <c r="A39" s="447">
        <f>EDATE(A38,1)</f>
        <v/>
      </c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  <c r="H39" s="594" t="n"/>
      <c r="I39" s="594" t="n"/>
      <c r="J39" s="594" t="n"/>
      <c r="K39" s="594" t="n"/>
      <c r="Q39" s="613">
        <f>T38</f>
        <v/>
      </c>
      <c r="R39" s="611">
        <f>ROUND(Q39*$T$3,)</f>
        <v/>
      </c>
      <c r="S39" s="594">
        <f>-$H$2</f>
        <v/>
      </c>
      <c r="T39" s="591">
        <f>SUM(Q39:S39)</f>
        <v/>
      </c>
      <c r="X39" s="394" t="n"/>
      <c r="Y39" s="623" t="inlineStr">
        <is>
          <t>제품</t>
        </is>
      </c>
      <c r="Z39" s="624">
        <f>Z38-Z40-Z41</f>
        <v/>
      </c>
      <c r="AA39" s="622">
        <f>ROUND(Z39*1.1,)</f>
        <v/>
      </c>
    </row>
    <row r="40">
      <c r="A40" s="447">
        <f>EDATE(A39,1)</f>
        <v/>
      </c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  <c r="H40" s="594" t="n"/>
      <c r="I40" s="594" t="n"/>
      <c r="J40" s="594" t="n"/>
      <c r="K40" s="594" t="n"/>
      <c r="Q40" s="613">
        <f>T39</f>
        <v/>
      </c>
      <c r="R40" s="611">
        <f>ROUND(Q40*$T$3,)</f>
        <v/>
      </c>
      <c r="S40" s="594">
        <f>-$H$2</f>
        <v/>
      </c>
      <c r="T40" s="591">
        <f>SUM(Q40:S40)</f>
        <v/>
      </c>
      <c r="X40" s="394" t="n"/>
      <c r="Y40" s="623" t="inlineStr">
        <is>
          <t>케어</t>
        </is>
      </c>
      <c r="Z40" s="624">
        <f>ROUND(Z38*$AA$5/$AA$2,0)</f>
        <v/>
      </c>
      <c r="AA40" s="622">
        <f>ROUND(Z40*1.1,)</f>
        <v/>
      </c>
    </row>
    <row r="41">
      <c r="A41" s="447">
        <f>EDATE(A40,1)</f>
        <v/>
      </c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  <c r="H41" s="594" t="n"/>
      <c r="I41" s="594" t="n"/>
      <c r="J41" s="594" t="n"/>
      <c r="K41" s="594" t="n"/>
      <c r="Q41" s="613">
        <f>T40</f>
        <v/>
      </c>
      <c r="R41" s="611">
        <f>ROUND(Q41*$T$3,)</f>
        <v/>
      </c>
      <c r="S41" s="594">
        <f>-$H$2</f>
        <v/>
      </c>
      <c r="T41" s="591">
        <f>SUM(Q41:S41)</f>
        <v/>
      </c>
      <c r="X41" s="397" t="n"/>
      <c r="Y41" s="625" t="inlineStr">
        <is>
          <t>보증</t>
        </is>
      </c>
      <c r="Z41" s="624">
        <f>ROUND(Z38*$AA$6/$AA$2,0)</f>
        <v/>
      </c>
      <c r="AA41" s="622">
        <f>ROUND(Z41*1.1,)</f>
        <v/>
      </c>
    </row>
    <row r="42">
      <c r="A42" s="447">
        <f>EDATE(A41,1)</f>
        <v/>
      </c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  <c r="H42" s="594" t="n"/>
      <c r="I42" s="594" t="n"/>
      <c r="J42" s="594" t="n"/>
      <c r="K42" s="594" t="n"/>
      <c r="Q42" s="613">
        <f>T41</f>
        <v/>
      </c>
      <c r="R42" s="611">
        <f>ROUND(Q42*$T$3,)</f>
        <v/>
      </c>
      <c r="S42" s="594">
        <f>-$H$2</f>
        <v/>
      </c>
      <c r="T42" s="591">
        <f>SUM(Q42:S42)</f>
        <v/>
      </c>
      <c r="X42" s="620" t="n"/>
      <c r="Y42" s="620" t="n"/>
      <c r="Z42" s="620" t="n"/>
      <c r="AA42" s="622" t="n"/>
    </row>
    <row r="43">
      <c r="A43" s="447">
        <f>EDATE(A42,1)</f>
        <v/>
      </c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  <c r="H43" s="594" t="n"/>
      <c r="I43" s="594" t="n"/>
      <c r="J43" s="594" t="n"/>
      <c r="K43" s="594" t="n"/>
      <c r="Q43" s="613">
        <f>T42</f>
        <v/>
      </c>
      <c r="R43" s="611">
        <f>ROUND(Q43*$T$3,)</f>
        <v/>
      </c>
      <c r="S43" s="594">
        <f>-$H$2</f>
        <v/>
      </c>
      <c r="T43" s="591">
        <f>SUM(Q43:S43)</f>
        <v/>
      </c>
      <c r="X43" s="390" t="inlineStr">
        <is>
          <t>월 선납할인(v-)</t>
        </is>
      </c>
      <c r="Y43" s="391" t="n"/>
      <c r="Z43" s="621">
        <f>$AA$9/$N$1</f>
        <v/>
      </c>
      <c r="AA43" s="622">
        <f>Z43*1.1</f>
        <v/>
      </c>
    </row>
    <row r="44">
      <c r="A44" s="447">
        <f>EDATE(A43,1)</f>
        <v/>
      </c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  <c r="H44" s="594" t="n"/>
      <c r="I44" s="594" t="n"/>
      <c r="J44" s="594" t="n"/>
      <c r="K44" s="594" t="n"/>
      <c r="Q44" s="613">
        <f>T43</f>
        <v/>
      </c>
      <c r="R44" s="611">
        <f>ROUND(Q44*$T$3,)</f>
        <v/>
      </c>
      <c r="S44" s="594">
        <f>-$H$2</f>
        <v/>
      </c>
      <c r="T44" s="591">
        <f>SUM(Q44:S44)</f>
        <v/>
      </c>
      <c r="X44" s="394" t="n"/>
      <c r="Y44" s="623" t="inlineStr">
        <is>
          <t>제품</t>
        </is>
      </c>
      <c r="Z44" s="624">
        <f>Z43-Z45-Z46</f>
        <v/>
      </c>
      <c r="AA44" s="622">
        <f>ROUND(Z44*1.1,)</f>
        <v/>
      </c>
    </row>
    <row r="45">
      <c r="A45" s="447">
        <f>EDATE(A44,1)</f>
        <v/>
      </c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  <c r="H45" s="594" t="n"/>
      <c r="I45" s="594" t="n"/>
      <c r="J45" s="594" t="n"/>
      <c r="K45" s="594" t="n"/>
      <c r="Q45" s="613">
        <f>T44</f>
        <v/>
      </c>
      <c r="R45" s="611">
        <f>ROUND(Q45*$T$3,)</f>
        <v/>
      </c>
      <c r="S45" s="594">
        <f>-$H$2</f>
        <v/>
      </c>
      <c r="T45" s="591">
        <f>SUM(Q45:S45)</f>
        <v/>
      </c>
      <c r="X45" s="394" t="n"/>
      <c r="Y45" s="623" t="inlineStr">
        <is>
          <t>케어</t>
        </is>
      </c>
      <c r="Z45" s="624">
        <f>ROUND(Z43*$AA$5/$AA$2,0)</f>
        <v/>
      </c>
      <c r="AA45" s="622">
        <f>ROUND(Z45*1.1,)</f>
        <v/>
      </c>
    </row>
    <row r="46">
      <c r="A46" s="447">
        <f>EDATE(A45,1)</f>
        <v/>
      </c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  <c r="H46" s="594" t="n"/>
      <c r="I46" s="594" t="n"/>
      <c r="J46" s="594" t="n"/>
      <c r="K46" s="594" t="n"/>
      <c r="Q46" s="613">
        <f>T45</f>
        <v/>
      </c>
      <c r="R46" s="611">
        <f>ROUND(Q46*$T$3,)</f>
        <v/>
      </c>
      <c r="S46" s="594">
        <f>-$H$2</f>
        <v/>
      </c>
      <c r="T46" s="591">
        <f>SUM(Q46:S46)</f>
        <v/>
      </c>
      <c r="X46" s="397" t="n"/>
      <c r="Y46" s="625" t="inlineStr">
        <is>
          <t>보증</t>
        </is>
      </c>
      <c r="Z46" s="624">
        <f>ROUND(Z43*$AA$6/$AA$2,0)</f>
        <v/>
      </c>
      <c r="AA46" s="622">
        <f>ROUND(Z46*1.1,)</f>
        <v/>
      </c>
    </row>
    <row r="47">
      <c r="A47" s="447">
        <f>EDATE(A46,1)</f>
        <v/>
      </c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  <c r="H47" s="594" t="n"/>
      <c r="I47" s="594" t="n"/>
      <c r="J47" s="594" t="n"/>
      <c r="K47" s="594" t="n"/>
      <c r="Q47" s="613">
        <f>T46</f>
        <v/>
      </c>
      <c r="R47" s="611">
        <f>ROUND(Q47*$T$3,)</f>
        <v/>
      </c>
      <c r="S47" s="594">
        <f>-$H$2</f>
        <v/>
      </c>
      <c r="T47" s="591">
        <f>SUM(Q47:S47)</f>
        <v/>
      </c>
      <c r="X47" s="620" t="n"/>
      <c r="Y47" s="620" t="n"/>
      <c r="Z47" s="620" t="n"/>
      <c r="AA47" s="622" t="n"/>
    </row>
    <row r="48">
      <c r="A48" s="447">
        <f>EDATE(A47,1)</f>
        <v/>
      </c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  <c r="H48" s="594" t="n"/>
      <c r="I48" s="594" t="n"/>
      <c r="J48" s="594" t="n"/>
      <c r="K48" s="594" t="n"/>
      <c r="Q48" s="613">
        <f>T47</f>
        <v/>
      </c>
      <c r="R48" s="611">
        <f>ROUND(Q48*$T$3,)</f>
        <v/>
      </c>
      <c r="S48" s="594">
        <f>-$H$2</f>
        <v/>
      </c>
      <c r="T48" s="591">
        <f>SUM(Q48:S48)</f>
        <v/>
      </c>
      <c r="X48" s="390" t="inlineStr">
        <is>
          <t>월 단품할인(v-)</t>
        </is>
      </c>
      <c r="Y48" s="391" t="n"/>
      <c r="Z48" s="621">
        <f>$AA$8/$N$1</f>
        <v/>
      </c>
      <c r="AA48" s="622">
        <f>Z48*1.1</f>
        <v/>
      </c>
    </row>
    <row r="49">
      <c r="A49" s="447">
        <f>EDATE(A48,1)</f>
        <v/>
      </c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  <c r="H49" s="594" t="n"/>
      <c r="I49" s="594" t="n"/>
      <c r="J49" s="594" t="n"/>
      <c r="K49" s="594" t="n"/>
      <c r="Q49" s="613">
        <f>T48</f>
        <v/>
      </c>
      <c r="R49" s="611">
        <f>ROUND(Q49*$T$3,)</f>
        <v/>
      </c>
      <c r="S49" s="594">
        <f>-$H$2</f>
        <v/>
      </c>
      <c r="T49" s="591">
        <f>SUM(Q49:S49)</f>
        <v/>
      </c>
      <c r="X49" s="394" t="n"/>
      <c r="Y49" s="623" t="inlineStr">
        <is>
          <t>제품</t>
        </is>
      </c>
      <c r="Z49" s="624">
        <f>Z48-Z50-Z51</f>
        <v/>
      </c>
      <c r="AA49" s="622">
        <f>ROUND(Z49*1.1,)</f>
        <v/>
      </c>
    </row>
    <row r="50">
      <c r="A50" s="447">
        <f>EDATE(A49,1)</f>
        <v/>
      </c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  <c r="H50" s="594" t="n"/>
      <c r="I50" s="594" t="n"/>
      <c r="J50" s="594" t="n"/>
      <c r="K50" s="594" t="n"/>
      <c r="Q50" s="613">
        <f>T49</f>
        <v/>
      </c>
      <c r="R50" s="611">
        <f>ROUND(Q50*$T$3,)</f>
        <v/>
      </c>
      <c r="S50" s="594">
        <f>-$H$2</f>
        <v/>
      </c>
      <c r="T50" s="591">
        <f>SUM(Q50:S50)</f>
        <v/>
      </c>
      <c r="X50" s="394" t="n"/>
      <c r="Y50" s="623" t="inlineStr">
        <is>
          <t>케어</t>
        </is>
      </c>
      <c r="Z50" s="624">
        <f>ROUND(Z48*$AA$5/$AA$2,0)</f>
        <v/>
      </c>
      <c r="AA50" s="622">
        <f>ROUND(Z50*1.1,)</f>
        <v/>
      </c>
    </row>
    <row r="51">
      <c r="A51" s="447">
        <f>EDATE(A50,1)</f>
        <v/>
      </c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  <c r="H51" s="594" t="n"/>
      <c r="I51" s="594" t="n"/>
      <c r="J51" s="594" t="n"/>
      <c r="K51" s="594" t="n"/>
      <c r="Q51" s="613">
        <f>T50</f>
        <v/>
      </c>
      <c r="R51" s="611">
        <f>ROUND(Q51*$T$3,)</f>
        <v/>
      </c>
      <c r="S51" s="594">
        <f>-$H$2</f>
        <v/>
      </c>
      <c r="T51" s="591">
        <f>SUM(Q51:S51)</f>
        <v/>
      </c>
      <c r="X51" s="397" t="n"/>
      <c r="Y51" s="625" t="inlineStr">
        <is>
          <t>보증</t>
        </is>
      </c>
      <c r="Z51" s="624">
        <f>ROUND(Z48*$AA$6/$AA$2,0)</f>
        <v/>
      </c>
      <c r="AA51" s="622">
        <f>ROUND(Z51*1.1,)</f>
        <v/>
      </c>
    </row>
    <row r="52">
      <c r="A52" s="447">
        <f>EDATE(A51,1)</f>
        <v/>
      </c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  <c r="H52" s="594" t="n"/>
      <c r="I52" s="594" t="n"/>
      <c r="J52" s="594" t="n"/>
      <c r="K52" s="594" t="n"/>
      <c r="Q52" s="613">
        <f>T51</f>
        <v/>
      </c>
      <c r="R52" s="611">
        <f>ROUND(Q52*$T$3,)</f>
        <v/>
      </c>
      <c r="S52" s="594">
        <f>-$H$2</f>
        <v/>
      </c>
      <c r="T52" s="591">
        <f>SUM(Q52:S52)</f>
        <v/>
      </c>
      <c r="X52" s="620" t="n"/>
      <c r="Y52" s="620" t="n"/>
      <c r="Z52" s="620" t="n"/>
      <c r="AA52" s="622" t="n"/>
    </row>
    <row r="53">
      <c r="A53" s="447">
        <f>EDATE(A52,1)</f>
        <v/>
      </c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  <c r="H53" s="594" t="n"/>
      <c r="I53" s="594" t="n"/>
      <c r="J53" s="594" t="n"/>
      <c r="K53" s="594" t="n"/>
      <c r="Q53" s="613">
        <f>T52</f>
        <v/>
      </c>
      <c r="R53" s="611">
        <f>ROUND(Q53*$T$3,)</f>
        <v/>
      </c>
      <c r="S53" s="594">
        <f>-$H$2</f>
        <v/>
      </c>
      <c r="T53" s="591">
        <f>SUM(Q53:S53)</f>
        <v/>
      </c>
      <c r="X53" s="390" t="inlineStr">
        <is>
          <t>월 결합할인(v-)</t>
        </is>
      </c>
      <c r="Y53" s="391" t="n"/>
      <c r="Z53" s="621">
        <f>$AA$10/$N$1</f>
        <v/>
      </c>
      <c r="AA53" s="622">
        <f>Z53*1.1</f>
        <v/>
      </c>
    </row>
    <row r="54">
      <c r="A54" s="447">
        <f>EDATE(A53,1)</f>
        <v/>
      </c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  <c r="H54" s="594" t="n"/>
      <c r="I54" s="594" t="n"/>
      <c r="J54" s="594" t="n"/>
      <c r="K54" s="594" t="n"/>
      <c r="Q54" s="613">
        <f>T53</f>
        <v/>
      </c>
      <c r="R54" s="611">
        <f>ROUND(Q54*$T$3,)</f>
        <v/>
      </c>
      <c r="S54" s="594">
        <f>-$H$2</f>
        <v/>
      </c>
      <c r="T54" s="591">
        <f>SUM(Q54:S54)</f>
        <v/>
      </c>
      <c r="X54" s="394" t="n"/>
      <c r="Y54" s="623" t="inlineStr">
        <is>
          <t>제품</t>
        </is>
      </c>
      <c r="Z54" s="624">
        <f>Z53-Z55-Z56</f>
        <v/>
      </c>
      <c r="AA54" s="622">
        <f>ROUND(Z54*1.1,)</f>
        <v/>
      </c>
    </row>
    <row r="55">
      <c r="A55" s="447">
        <f>EDATE(A54,1)</f>
        <v/>
      </c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  <c r="H55" s="594" t="n"/>
      <c r="I55" s="594" t="n"/>
      <c r="J55" s="594" t="n"/>
      <c r="K55" s="594" t="n"/>
      <c r="Q55" s="613">
        <f>T54</f>
        <v/>
      </c>
      <c r="R55" s="611">
        <f>ROUND(Q55*$T$3,)</f>
        <v/>
      </c>
      <c r="S55" s="594">
        <f>-$H$2</f>
        <v/>
      </c>
      <c r="T55" s="591">
        <f>SUM(Q55:S55)</f>
        <v/>
      </c>
      <c r="X55" s="394" t="n"/>
      <c r="Y55" s="623" t="inlineStr">
        <is>
          <t>케어</t>
        </is>
      </c>
      <c r="Z55" s="624">
        <f>ROUND(Z53*$AA$5/$AA$2,0)</f>
        <v/>
      </c>
      <c r="AA55" s="622">
        <f>ROUND(Z55*1.1,)</f>
        <v/>
      </c>
    </row>
    <row r="56">
      <c r="A56" s="447">
        <f>EDATE(A55,1)</f>
        <v/>
      </c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  <c r="H56" s="594" t="n"/>
      <c r="I56" s="594" t="n"/>
      <c r="J56" s="594" t="n"/>
      <c r="K56" s="594" t="n"/>
      <c r="Q56" s="613">
        <f>T55</f>
        <v/>
      </c>
      <c r="R56" s="611">
        <f>ROUND(Q56*$T$3,)</f>
        <v/>
      </c>
      <c r="S56" s="594">
        <f>-$H$2</f>
        <v/>
      </c>
      <c r="T56" s="591">
        <f>SUM(Q56:S56)</f>
        <v/>
      </c>
      <c r="X56" s="397" t="n"/>
      <c r="Y56" s="625" t="inlineStr">
        <is>
          <t>보증</t>
        </is>
      </c>
      <c r="Z56" s="624">
        <f>ROUND(Z53*$AA$6/$AA$2,0)</f>
        <v/>
      </c>
      <c r="AA56" s="622">
        <f>ROUND(Z56*1.1,)</f>
        <v/>
      </c>
    </row>
    <row r="57">
      <c r="A57" s="447">
        <f>EDATE(A56,1)</f>
        <v/>
      </c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  <c r="H57" s="594" t="n"/>
      <c r="I57" s="594" t="n"/>
      <c r="J57" s="594" t="n"/>
      <c r="K57" s="594" t="n"/>
      <c r="Q57" s="613">
        <f>T56</f>
        <v/>
      </c>
      <c r="R57" s="611">
        <f>ROUND(Q57*$T$3,)</f>
        <v/>
      </c>
      <c r="S57" s="594">
        <f>-$H$2</f>
        <v/>
      </c>
      <c r="T57" s="591">
        <f>SUM(Q57:S57)</f>
        <v/>
      </c>
    </row>
    <row r="58">
      <c r="A58" s="447">
        <f>EDATE(A57,1)</f>
        <v/>
      </c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  <c r="H58" s="594" t="n"/>
      <c r="I58" s="594" t="n"/>
      <c r="J58" s="594" t="n"/>
      <c r="K58" s="594" t="n"/>
      <c r="Q58" s="613">
        <f>T57</f>
        <v/>
      </c>
      <c r="R58" s="611">
        <f>ROUND(Q58*$T$3,)</f>
        <v/>
      </c>
      <c r="S58" s="594">
        <f>-$H$2</f>
        <v/>
      </c>
      <c r="T58" s="591">
        <f>SUM(Q58:S58)</f>
        <v/>
      </c>
    </row>
    <row r="59">
      <c r="A59" s="447">
        <f>EDATE(A58,1)</f>
        <v/>
      </c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  <c r="H59" s="594" t="n"/>
      <c r="I59" s="594" t="n"/>
      <c r="J59" s="594" t="n"/>
      <c r="K59" s="594" t="n"/>
      <c r="Q59" s="613">
        <f>T58</f>
        <v/>
      </c>
      <c r="R59" s="611">
        <f>ROUND(Q59*$T$3,)</f>
        <v/>
      </c>
      <c r="S59" s="594">
        <f>-$H$2</f>
        <v/>
      </c>
      <c r="T59" s="591">
        <f>SUM(Q59:S59)</f>
        <v/>
      </c>
    </row>
    <row r="60">
      <c r="A60" s="447">
        <f>EDATE(A59,1)</f>
        <v/>
      </c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  <c r="H60" s="594" t="n"/>
      <c r="I60" s="594" t="n"/>
      <c r="J60" s="594" t="n"/>
      <c r="K60" s="594" t="n"/>
      <c r="Q60" s="613">
        <f>T59</f>
        <v/>
      </c>
      <c r="R60" s="611">
        <f>ROUND(Q60*$T$3,)</f>
        <v/>
      </c>
      <c r="S60" s="594">
        <f>-$H$2</f>
        <v/>
      </c>
      <c r="T60" s="591">
        <f>SUM(Q60:S60)</f>
        <v/>
      </c>
    </row>
    <row r="61">
      <c r="A61" s="447">
        <f>EDATE(A60,1)</f>
        <v/>
      </c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  <c r="H61" s="594" t="n"/>
      <c r="I61" s="594" t="n"/>
      <c r="J61" s="594" t="n"/>
      <c r="K61" s="594" t="n"/>
      <c r="Q61" s="613">
        <f>T60</f>
        <v/>
      </c>
      <c r="R61" s="611">
        <f>ROUND(Q61*$T$3,)</f>
        <v/>
      </c>
      <c r="S61" s="594">
        <f>-$H$2</f>
        <v/>
      </c>
      <c r="T61" s="591">
        <f>SUM(Q61:S61)</f>
        <v/>
      </c>
    </row>
    <row r="62">
      <c r="A62" s="447">
        <f>EDATE(A61,1)</f>
        <v/>
      </c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  <c r="H62" s="594" t="n"/>
      <c r="I62" s="594" t="n"/>
      <c r="J62" s="594" t="n"/>
      <c r="K62" s="594" t="n"/>
      <c r="Q62" s="613">
        <f>T61</f>
        <v/>
      </c>
      <c r="R62" s="611">
        <f>ROUND(Q62*$T$3,)</f>
        <v/>
      </c>
      <c r="S62" s="594">
        <f>-$H$2</f>
        <v/>
      </c>
      <c r="T62" s="591">
        <f>SUM(Q62:S62)</f>
        <v/>
      </c>
    </row>
    <row r="63">
      <c r="A63" s="447">
        <f>EDATE(A62,1)</f>
        <v/>
      </c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  <c r="H63" s="594" t="n"/>
      <c r="I63" s="594" t="n"/>
      <c r="J63" s="594" t="n"/>
      <c r="K63" s="594" t="n"/>
      <c r="Q63" s="613">
        <f>T62</f>
        <v/>
      </c>
      <c r="R63" s="611">
        <f>ROUND(Q63*$T$3,)</f>
        <v/>
      </c>
      <c r="S63" s="594">
        <f>-$H$2</f>
        <v/>
      </c>
      <c r="T63" s="591">
        <f>SUM(Q63:S63)</f>
        <v/>
      </c>
    </row>
    <row r="64">
      <c r="A64" s="447">
        <f>EDATE(A63,1)</f>
        <v/>
      </c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  <c r="H64" s="594" t="n"/>
      <c r="I64" s="594" t="n"/>
      <c r="J64" s="594" t="n"/>
      <c r="K64" s="594" t="n"/>
      <c r="Q64" s="613">
        <f>T63</f>
        <v/>
      </c>
      <c r="R64" s="611">
        <f>ROUND(Q64*$T$3,)</f>
        <v/>
      </c>
      <c r="S64" s="594">
        <f>-$H$2</f>
        <v/>
      </c>
      <c r="T64" s="591">
        <f>SUM(Q64:S64)</f>
        <v/>
      </c>
    </row>
    <row r="65">
      <c r="A65" s="447">
        <f>EDATE(A64,1)</f>
        <v/>
      </c>
      <c r="B65" s="591">
        <f>B64+1</f>
        <v/>
      </c>
      <c r="C65" s="594">
        <f>F64</f>
        <v/>
      </c>
      <c r="D65" s="594">
        <f>ROUND(C65*$F$3,)</f>
        <v/>
      </c>
      <c r="E65" s="594">
        <f>-$H$2</f>
        <v/>
      </c>
      <c r="F65" s="594">
        <f>SUM(C65:E65)</f>
        <v/>
      </c>
      <c r="H65" s="594" t="n"/>
      <c r="I65" s="594" t="n"/>
      <c r="J65" s="594" t="n"/>
      <c r="K65" s="594" t="n"/>
      <c r="Q65" s="613">
        <f>T64</f>
        <v/>
      </c>
      <c r="R65" s="611">
        <f>ROUND(Q65*$T$3,)</f>
        <v/>
      </c>
      <c r="S65" s="594">
        <f>-$H$2</f>
        <v/>
      </c>
      <c r="T65" s="591">
        <f>SUM(Q65:S65)</f>
        <v/>
      </c>
    </row>
    <row r="66">
      <c r="A66" s="447">
        <f>EDATE(A65,1)</f>
        <v/>
      </c>
      <c r="B66" s="591">
        <f>B65+1</f>
        <v/>
      </c>
      <c r="C66" s="594">
        <f>F65</f>
        <v/>
      </c>
      <c r="D66" s="609">
        <f>IF((H2+E7)-(F65+F65*F3-H2)&lt;0,D2-SUM(D7:D65),ROUND(C66*$F$3,))</f>
        <v/>
      </c>
      <c r="E66" s="594">
        <f>-$H$2</f>
        <v/>
      </c>
      <c r="F66" s="594">
        <f>SUM(C66:E66)</f>
        <v/>
      </c>
      <c r="H66" s="594" t="n"/>
      <c r="I66" s="609" t="n"/>
      <c r="J66" s="594" t="n"/>
      <c r="K66" s="594" t="n"/>
      <c r="Q66" s="613">
        <f>T65</f>
        <v/>
      </c>
      <c r="R66" s="611">
        <f>IF((H2+S7)-(T65+T65*T3-H2)&lt;0,R2-SUM(R7:R65),ROUND(Q66*$T$3,))</f>
        <v/>
      </c>
      <c r="S66" s="594">
        <f>-$H$2</f>
        <v/>
      </c>
      <c r="T66" s="591">
        <f>SUM(Q66:S66)</f>
        <v/>
      </c>
    </row>
    <row r="67">
      <c r="A67" s="447">
        <f>EDATE(A66,1)</f>
        <v/>
      </c>
      <c r="B67" s="591" t="n">
        <v>61</v>
      </c>
      <c r="C67" s="594">
        <f>F66</f>
        <v/>
      </c>
      <c r="D67" s="609">
        <f>C67*$F$3-(C67+C67*$F$3+E67)</f>
        <v/>
      </c>
      <c r="E67" s="594">
        <f>-$H$2-E7</f>
        <v/>
      </c>
      <c r="F67" s="594">
        <f>SUM(C67:E67)</f>
        <v/>
      </c>
      <c r="H67" s="594" t="n"/>
      <c r="I67" s="609" t="n"/>
      <c r="J67" s="594" t="n"/>
      <c r="K67" s="594" t="n"/>
      <c r="Q67" s="613">
        <f>T66</f>
        <v/>
      </c>
      <c r="R67" s="611">
        <f>Q67*$T$3-(Q67+Q67*$T$3+S67)</f>
        <v/>
      </c>
      <c r="S67" s="594">
        <f>-$H$2-S7</f>
        <v/>
      </c>
      <c r="T67" s="591">
        <f>SUM(Q67:S67)</f>
        <v/>
      </c>
    </row>
    <row r="68">
      <c r="H68" s="591" t="n"/>
      <c r="I68" s="591" t="n"/>
      <c r="J68" s="591" t="n"/>
      <c r="K68" s="591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Z66"/>
  <sheetViews>
    <sheetView zoomScale="80" zoomScaleNormal="80" workbookViewId="0">
      <pane xSplit="2" ySplit="3" topLeftCell="C4" activePane="bottomRight" state="frozen"/>
      <selection activeCell="E6" sqref="E6"/>
      <selection pane="topRight" activeCell="E6" sqref="E6"/>
      <selection pane="bottomLeft" activeCell="E6" sqref="E6"/>
      <selection pane="bottomRight" activeCell="H29" sqref="H29"/>
    </sheetView>
  </sheetViews>
  <sheetFormatPr baseColWidth="8" defaultColWidth="9" defaultRowHeight="16.9"/>
  <cols>
    <col width="10.875" bestFit="1" customWidth="1" style="591" min="1" max="1"/>
    <col width="13" bestFit="1" customWidth="1" style="591" min="2" max="2"/>
    <col width="12.125" bestFit="1" customWidth="1" style="591" min="3" max="3"/>
    <col width="10.625" bestFit="1" customWidth="1" style="591" min="4" max="4"/>
    <col width="11.6875" bestFit="1" customWidth="1" style="591" min="5" max="5"/>
    <col width="12.125" bestFit="1" customWidth="1" style="591" min="6" max="6"/>
    <col width="12.1875" customWidth="1" style="591" min="7" max="7"/>
    <col width="9" bestFit="1" customWidth="1" style="591" min="8" max="8"/>
    <col width="9.875" bestFit="1" customWidth="1" style="591" min="9" max="9"/>
    <col width="13.375" bestFit="1" customWidth="1" style="591" min="10" max="10"/>
    <col width="9" customWidth="1" style="591" min="11" max="12"/>
    <col width="6.6875" bestFit="1" customWidth="1" style="591" min="13" max="13"/>
    <col width="10.875" bestFit="1" customWidth="1" style="591" min="14" max="14"/>
    <col width="9" customWidth="1" style="591" min="15" max="15"/>
    <col width="6.6875" bestFit="1" customWidth="1" style="591" min="16" max="16"/>
    <col width="13.1875" bestFit="1" customWidth="1" style="591" min="17" max="17"/>
    <col width="13" bestFit="1" customWidth="1" style="591" min="18" max="18"/>
    <col width="10.6875" bestFit="1" customWidth="1" style="591" min="19" max="19"/>
    <col width="9.1875" bestFit="1" customWidth="1" style="591" min="20" max="20"/>
    <col hidden="1" width="42.6875" customWidth="1" style="591" min="21" max="21"/>
    <col hidden="1" width="10.875" customWidth="1" style="591" min="22" max="22"/>
    <col hidden="1" width="13" customWidth="1" style="591" min="23" max="23"/>
    <col width="17.125" customWidth="1" style="591" min="24" max="24"/>
    <col width="40.6875" bestFit="1" customWidth="1" style="591" min="25" max="25"/>
    <col width="11" bestFit="1" customWidth="1" style="591" min="26" max="26"/>
    <col width="9" customWidth="1" style="591" min="27" max="16384"/>
  </cols>
  <sheetData>
    <row r="1">
      <c r="M1" s="591" t="inlineStr">
        <is>
          <t>구독기간</t>
        </is>
      </c>
      <c r="N1" s="591" t="n">
        <v>60</v>
      </c>
      <c r="R1" s="591" t="inlineStr">
        <is>
          <t>v+</t>
        </is>
      </c>
      <c r="S1" s="591" t="inlineStr">
        <is>
          <t>v-</t>
        </is>
      </c>
      <c r="U1" s="47" t="inlineStr">
        <is>
          <t>선납할인율 %</t>
        </is>
      </c>
      <c r="V1" s="61" t="n">
        <v>0.04</v>
      </c>
    </row>
    <row r="2">
      <c r="B2" s="591" t="inlineStr">
        <is>
          <t>리스채권</t>
        </is>
      </c>
      <c r="C2" s="659">
        <f>MIN(S3,PV(K2/12,N1,-(S2-S5)/N1))-R14*N1</f>
        <v/>
      </c>
      <c r="D2" s="591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C3/60</f>
        <v/>
      </c>
      <c r="J2" s="591" t="inlineStr">
        <is>
          <t>현할차할인율</t>
        </is>
      </c>
      <c r="K2" s="439" t="n">
        <v>0.0357</v>
      </c>
      <c r="M2" s="591" t="inlineStr">
        <is>
          <t>설치일</t>
        </is>
      </c>
      <c r="N2" s="596" t="inlineStr">
        <is>
          <t>2025-07-05</t>
        </is>
      </c>
      <c r="P2" s="2" t="n"/>
      <c r="Q2" s="2" t="n"/>
      <c r="R2" s="597" t="n">
        <v>8170800</v>
      </c>
      <c r="S2" s="598">
        <f>SUM(S3:S6)</f>
        <v/>
      </c>
      <c r="T2" s="591">
        <f>+S2/60</f>
        <v/>
      </c>
      <c r="U2" s="47" t="inlineStr">
        <is>
          <t>(계산용) 선납금 %</t>
        </is>
      </c>
      <c r="V2" s="288" t="n">
        <v>0.1</v>
      </c>
      <c r="X2" s="599" t="inlineStr">
        <is>
          <t xml:space="preserve">차후 변경시 → </t>
        </is>
      </c>
      <c r="Y2" s="50" t="inlineStr">
        <is>
          <t>(계산용) 선납금 %</t>
        </is>
      </c>
      <c r="Z2" s="288" t="n">
        <v>0.1</v>
      </c>
    </row>
    <row r="3">
      <c r="B3" s="591" t="inlineStr">
        <is>
          <t>총 순수구독료</t>
        </is>
      </c>
      <c r="C3" s="591">
        <f>(S2-S5-S6)-(R14)*N1</f>
        <v/>
      </c>
      <c r="D3" s="661">
        <f>SUM(D6:D66)</f>
        <v/>
      </c>
      <c r="E3" s="591" t="inlineStr">
        <is>
          <t>월 이자율</t>
        </is>
      </c>
      <c r="F3" s="601">
        <f>RATE(60,-H2,C2,0,0)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2" t="inlineStr">
        <is>
          <t>제품</t>
        </is>
      </c>
      <c r="Q3" s="2" t="inlineStr">
        <is>
          <t>제품제공</t>
        </is>
      </c>
      <c r="R3" s="506" t="n">
        <v>5290000</v>
      </c>
      <c r="S3" s="598">
        <f>R3/1.1</f>
        <v/>
      </c>
      <c r="U3" s="47" t="inlineStr">
        <is>
          <t>(계산용) 선납금 (총 구독료 기준, V-)</t>
        </is>
      </c>
      <c r="V3" s="527">
        <f>S2*V2</f>
        <v/>
      </c>
      <c r="Y3" s="50" t="inlineStr">
        <is>
          <t>(계산용) 선납금 (총 구독료 v+ 기준, V-)</t>
        </is>
      </c>
      <c r="Z3" s="506">
        <f>R2*Z2/1.1</f>
        <v/>
      </c>
    </row>
    <row r="4">
      <c r="C4" s="606" t="inlineStr">
        <is>
          <t>기초</t>
        </is>
      </c>
      <c r="D4" s="606" t="inlineStr">
        <is>
          <t>이자수익</t>
        </is>
      </c>
      <c r="E4" s="606" t="inlineStr">
        <is>
          <t>리스료수령</t>
        </is>
      </c>
      <c r="F4" s="445" t="inlineStr">
        <is>
          <t>기말</t>
        </is>
      </c>
      <c r="P4" s="2" t="n"/>
      <c r="Q4" s="211" t="inlineStr">
        <is>
          <t>구독원가</t>
        </is>
      </c>
      <c r="R4" s="506">
        <f>R2-SUM(R3,R5:R6)</f>
        <v/>
      </c>
      <c r="S4" s="598">
        <f>R4/1.1</f>
        <v/>
      </c>
      <c r="U4" s="47" t="inlineStr">
        <is>
          <t>(계산용) 선납금 반영 총 구독료 (V-)</t>
        </is>
      </c>
      <c r="V4" s="527">
        <f>S2-V3</f>
        <v/>
      </c>
      <c r="Y4" s="50" t="inlineStr">
        <is>
          <t>(계산용) 선납금 월할 (V-)</t>
        </is>
      </c>
      <c r="Z4" s="506">
        <f>Z3/N1</f>
        <v/>
      </c>
    </row>
    <row r="5">
      <c r="A5" s="596" t="inlineStr">
        <is>
          <t>2025-07-05</t>
        </is>
      </c>
      <c r="B5" s="591" t="n">
        <v>0</v>
      </c>
      <c r="C5" s="594" t="n"/>
      <c r="D5" s="594" t="n"/>
      <c r="E5" s="594" t="n"/>
      <c r="F5" s="594">
        <f>ROUND(C2,)</f>
        <v/>
      </c>
      <c r="P5" s="2" t="inlineStr">
        <is>
          <t>서비스</t>
        </is>
      </c>
      <c r="Q5" s="2" t="inlineStr">
        <is>
          <t>가전케어/세척</t>
        </is>
      </c>
      <c r="R5" s="506">
        <f>S5*1.1</f>
        <v/>
      </c>
      <c r="S5" s="598">
        <f>6900*60</f>
        <v/>
      </c>
      <c r="U5" s="47" t="inlineStr">
        <is>
          <t>(계산용) 선납금 반영 월 구독료(V-)</t>
        </is>
      </c>
      <c r="V5" s="527">
        <f>V4/N1</f>
        <v/>
      </c>
      <c r="Y5" s="50" t="inlineStr">
        <is>
          <t>(계산용) 선납금 월할 보정 (V-)</t>
        </is>
      </c>
      <c r="Z5" s="506">
        <f>ROUND(Z4,-2)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594">
        <f>ROUND(-E6+(C2*F3*27/31-H2*27/31),0)</f>
        <v/>
      </c>
      <c r="E6" s="594">
        <f>-(ROUNDDOWN(((S2-Z6)/N1)*27/31,-2)-ROUNDDOWN((S6/60-R16)*27/31,-2)-ROUNDDOWN((S5/60-R15)*27/31,-2))</f>
        <v/>
      </c>
      <c r="F6" s="594">
        <f>SUM(C6:E6)</f>
        <v/>
      </c>
      <c r="P6" s="2" t="n"/>
      <c r="Q6" s="2" t="inlineStr">
        <is>
          <t>보증연장</t>
        </is>
      </c>
      <c r="R6" s="506">
        <f>S6*1.1</f>
        <v/>
      </c>
      <c r="S6" s="598">
        <f>900*60</f>
        <v/>
      </c>
      <c r="U6" s="47" t="inlineStr">
        <is>
          <t>(최종) 선납금 반영 월 구독료 (V-)</t>
        </is>
      </c>
      <c r="V6" s="527">
        <f>ROUNDDOWN(V5,-2)</f>
        <v/>
      </c>
      <c r="Y6" s="50" t="inlineStr">
        <is>
          <t>(최종) 선납금 (V-)</t>
        </is>
      </c>
      <c r="Z6" s="506">
        <f>Z5*N1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n"/>
      <c r="O7" s="610" t="n"/>
      <c r="P7" s="598" t="inlineStr">
        <is>
          <t>선납</t>
        </is>
      </c>
      <c r="Q7" s="61">
        <f>V2</f>
        <v/>
      </c>
      <c r="R7" s="598">
        <f>S7*1.1</f>
        <v/>
      </c>
      <c r="S7" s="598">
        <f>Z6</f>
        <v/>
      </c>
      <c r="U7" s="47" t="inlineStr">
        <is>
          <t>(최종) 선납금 반영 총 구독료 (V-)</t>
        </is>
      </c>
      <c r="V7" s="527">
        <f>V6*N1</f>
        <v/>
      </c>
      <c r="Y7" s="50" t="inlineStr">
        <is>
          <t>(계산용) 선납 할인금 (V-)</t>
        </is>
      </c>
      <c r="Z7" s="506">
        <f>R2*4%/1.1</f>
        <v/>
      </c>
    </row>
    <row r="8"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O8" s="613" t="n"/>
      <c r="P8" s="736" t="inlineStr">
        <is>
          <t>할인</t>
        </is>
      </c>
      <c r="Q8" s="737" t="n"/>
      <c r="R8" s="738">
        <f>S8*1.1</f>
        <v/>
      </c>
      <c r="S8" s="738">
        <f>Z10</f>
        <v/>
      </c>
      <c r="U8" s="47" t="inlineStr">
        <is>
          <t>(최종) 선납금 (V-)</t>
        </is>
      </c>
      <c r="V8" s="527">
        <f>S2-V7</f>
        <v/>
      </c>
      <c r="Y8" s="50" t="inlineStr">
        <is>
          <t>(계산용) 선납 할인금 월할 (V-)</t>
        </is>
      </c>
      <c r="Z8" s="598">
        <f>Z7/N1</f>
        <v/>
      </c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P9" s="598" t="inlineStr">
        <is>
          <t>선납,할인반영 구독료</t>
        </is>
      </c>
      <c r="Q9" s="598" t="n"/>
      <c r="R9" s="598">
        <f>S9*1.1</f>
        <v/>
      </c>
      <c r="S9" s="598">
        <f>Z12</f>
        <v/>
      </c>
      <c r="U9" s="63" t="inlineStr">
        <is>
          <t>(계산용) 선납 할인금 (V-)</t>
        </is>
      </c>
      <c r="V9" s="617">
        <f>+R2*V1/1.1</f>
        <v/>
      </c>
      <c r="W9" s="594" t="n"/>
      <c r="Y9" s="50" t="inlineStr">
        <is>
          <t>(계산용) 선납 할인금 월할 보정 (V-)</t>
        </is>
      </c>
      <c r="Z9" s="598">
        <f>ROUNDUP(Z8,-2)</f>
        <v/>
      </c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U10" s="47" t="inlineStr">
        <is>
          <t>(계산용) 선납 할인금 월할 (V-)</t>
        </is>
      </c>
      <c r="V10" s="598">
        <f>V9/N1</f>
        <v/>
      </c>
      <c r="Y10" s="50" t="inlineStr">
        <is>
          <t>(최종) 선납 할인금 (V-)</t>
        </is>
      </c>
      <c r="Z10" s="608">
        <f>Z9*N1</f>
        <v/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U11" s="47" t="inlineStr">
        <is>
          <t>(계산용) 선납 할인금 월할 보정 (V-)</t>
        </is>
      </c>
      <c r="V11" s="598">
        <f>ROUNDUP(V10,-2)</f>
        <v/>
      </c>
      <c r="Y11" s="50" t="inlineStr">
        <is>
          <t>(최종) 선납금+선납 할인 반영 월 구독료 (V-)</t>
        </is>
      </c>
      <c r="Z11" s="608">
        <f>(S2-Z6-Z10)/N1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P12" s="206" t="inlineStr">
        <is>
          <t>v- 100단위 조정</t>
        </is>
      </c>
      <c r="U12" s="47" t="inlineStr">
        <is>
          <t>(최종) 선납 할인금 (V-)</t>
        </is>
      </c>
      <c r="V12" s="608">
        <f>V11*N1</f>
        <v/>
      </c>
      <c r="W12" s="594" t="n"/>
      <c r="Y12" s="50" t="inlineStr">
        <is>
          <t>(최종) 선납금+선납 할인 반영 총 구독료 (V-)</t>
        </is>
      </c>
      <c r="Z12" s="608">
        <f>Z11*N1</f>
        <v/>
      </c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P13" s="378" t="inlineStr">
        <is>
          <t>월 선납금(v-)</t>
        </is>
      </c>
      <c r="Q13" s="251" t="n"/>
      <c r="R13" s="504">
        <f>$S$7/$N$1</f>
        <v/>
      </c>
      <c r="U13" s="47" t="inlineStr">
        <is>
          <t>(최종) 선납금+선납 할인 반영 월 구독료 (V-)</t>
        </is>
      </c>
      <c r="V13" s="608">
        <f>(S2-V8-V12)/N1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P14" s="375" t="n"/>
      <c r="Q14" s="506" t="inlineStr">
        <is>
          <t>제품</t>
        </is>
      </c>
      <c r="R14" s="507">
        <f>R13-R15-R16</f>
        <v/>
      </c>
      <c r="U14" s="47" t="inlineStr">
        <is>
          <t>(최종) 선납금+선납 할인 반영 총 구독료 (V-)</t>
        </is>
      </c>
      <c r="V14" s="608">
        <f>V13*N1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  <c r="P15" s="375" t="n"/>
      <c r="Q15" s="506" t="inlineStr">
        <is>
          <t>케어</t>
        </is>
      </c>
      <c r="R15" s="507">
        <f>ROUND(R13*$S$5/$S$2,-2)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P16" s="376" t="n"/>
      <c r="Q16" s="524" t="inlineStr">
        <is>
          <t>보증</t>
        </is>
      </c>
      <c r="R16" s="507">
        <f>ROUND(R13*$S$6/$S$2,-2)</f>
        <v/>
      </c>
      <c r="X16" s="495" t="n"/>
      <c r="Y16" s="500" t="n"/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X17" s="495" t="n"/>
      <c r="Y17" s="500" t="n"/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P18" s="378" t="inlineStr">
        <is>
          <t>월 선납할인(v-)</t>
        </is>
      </c>
      <c r="Q18" s="251" t="n"/>
      <c r="R18" s="504">
        <f>$S$8/$N$1</f>
        <v/>
      </c>
      <c r="X18" s="495" t="n"/>
      <c r="Y18" s="500" t="n"/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P19" s="375" t="n"/>
      <c r="Q19" s="506" t="inlineStr">
        <is>
          <t>제품</t>
        </is>
      </c>
      <c r="R19" s="507">
        <f>R18-R20-R21</f>
        <v/>
      </c>
      <c r="X19" s="495" t="n"/>
      <c r="Y19" s="500" t="n"/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P20" s="375" t="n"/>
      <c r="Q20" s="506" t="inlineStr">
        <is>
          <t>케어</t>
        </is>
      </c>
      <c r="R20" s="507">
        <f>ROUND(R18*$S$5/$S$2,-2)</f>
        <v/>
      </c>
      <c r="Y20" s="500" t="n"/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P21" s="376" t="n"/>
      <c r="Q21" s="524" t="inlineStr">
        <is>
          <t>보증</t>
        </is>
      </c>
      <c r="R21" s="507">
        <f>ROUND(R18*$S$6/$S$2,-2)</f>
        <v/>
      </c>
      <c r="X21" s="495" t="n"/>
      <c r="Y21" s="618" t="n"/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X22" s="495" t="n"/>
    </row>
    <row r="23"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X23" s="495" t="n"/>
    </row>
    <row r="24"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P24" s="388" t="inlineStr">
        <is>
          <t>v- 소수점만 제거</t>
        </is>
      </c>
      <c r="Q24" s="620" t="n"/>
      <c r="R24" s="620" t="n"/>
      <c r="X24" s="495" t="n"/>
      <c r="Y24" s="618" t="n"/>
    </row>
    <row r="25"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P25" s="390" t="inlineStr">
        <is>
          <t>월 선납금(v-)</t>
        </is>
      </c>
      <c r="Q25" s="391" t="n"/>
      <c r="R25" s="621">
        <f>$S$7/$N$1</f>
        <v/>
      </c>
      <c r="X25" s="495" t="n"/>
      <c r="Y25" s="618" t="n"/>
    </row>
    <row r="26"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P26" s="394" t="n"/>
      <c r="Q26" s="623" t="inlineStr">
        <is>
          <t>제품</t>
        </is>
      </c>
      <c r="R26" s="624">
        <f>R25-R27-R28</f>
        <v/>
      </c>
      <c r="X26" s="495" t="n"/>
      <c r="Y26" s="618" t="n"/>
    </row>
    <row r="27"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  <c r="P27" s="394" t="n"/>
      <c r="Q27" s="623" t="inlineStr">
        <is>
          <t>케어</t>
        </is>
      </c>
      <c r="R27" s="624">
        <f>ROUND(R25*$S$5/$S$2,0)</f>
        <v/>
      </c>
    </row>
    <row r="28">
      <c r="B28" s="591">
        <f>B27+1</f>
        <v/>
      </c>
      <c r="C28" s="594">
        <f>F27</f>
        <v/>
      </c>
      <c r="D28" s="594">
        <f>ROUND(C28*$F$3,)</f>
        <v/>
      </c>
      <c r="E28" s="594">
        <f>-$H$2</f>
        <v/>
      </c>
      <c r="F28" s="594">
        <f>SUM(C28:E28)</f>
        <v/>
      </c>
      <c r="P28" s="397" t="n"/>
      <c r="Q28" s="625" t="inlineStr">
        <is>
          <t>보증</t>
        </is>
      </c>
      <c r="R28" s="624">
        <f>ROUND(R25*$S$6/$S$2,0)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  <c r="P29" s="620" t="n"/>
      <c r="Q29" s="620" t="n"/>
      <c r="R29" s="620" t="n"/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  <c r="P30" s="390" t="inlineStr">
        <is>
          <t>월 선납할인(v-)</t>
        </is>
      </c>
      <c r="Q30" s="391" t="n"/>
      <c r="R30" s="621">
        <f>$S$8/$N$1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  <c r="P31" s="394" t="n"/>
      <c r="Q31" s="623" t="inlineStr">
        <is>
          <t>제품</t>
        </is>
      </c>
      <c r="R31" s="624">
        <f>R30-R32-R33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  <c r="P32" s="394" t="n"/>
      <c r="Q32" s="623" t="inlineStr">
        <is>
          <t>케어</t>
        </is>
      </c>
      <c r="R32" s="624">
        <f>ROUND(R30*$S$5/$S$2,0)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  <c r="P33" s="397" t="n"/>
      <c r="Q33" s="625" t="inlineStr">
        <is>
          <t>보증</t>
        </is>
      </c>
      <c r="R33" s="624">
        <f>ROUND(R30*$S$6/$S$2,0)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</row>
    <row r="66">
      <c r="B66" s="591" t="n">
        <v>61</v>
      </c>
      <c r="C66" s="594">
        <f>F65</f>
        <v/>
      </c>
      <c r="D66" s="594">
        <f>C66*$F$3-(C66+C66*$F$3+E66)</f>
        <v/>
      </c>
      <c r="E66" s="594">
        <f>-$H$2-E6</f>
        <v/>
      </c>
      <c r="F66" s="594">
        <f>SUM(C66:E66)</f>
        <v/>
      </c>
    </row>
  </sheetData>
  <mergeCells count="1">
    <mergeCell ref="P8:Q8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BA66"/>
  <sheetViews>
    <sheetView zoomScale="70" zoomScaleNormal="70" workbookViewId="0">
      <pane xSplit="2" ySplit="3" topLeftCell="G4" activePane="bottomRight" state="frozen"/>
      <selection activeCell="AI11" sqref="AI11"/>
      <selection pane="topRight" activeCell="AI11" sqref="AI11"/>
      <selection pane="bottomLeft" activeCell="AI11" sqref="AI11"/>
      <selection pane="bottomRight" activeCell="K31" sqref="K31"/>
    </sheetView>
  </sheetViews>
  <sheetFormatPr baseColWidth="8" defaultColWidth="9" defaultRowHeight="16.9"/>
  <cols>
    <col width="11.125" bestFit="1" customWidth="1" style="591" min="1" max="1"/>
    <col width="13.6875" bestFit="1" customWidth="1" style="591" min="2" max="2"/>
    <col width="10.8125" bestFit="1" customWidth="1" style="591" min="3" max="3"/>
    <col width="10.625" bestFit="1" customWidth="1" style="591" min="4" max="4"/>
    <col width="11" bestFit="1" customWidth="1" style="591" min="5" max="5"/>
    <col width="12.6875" customWidth="1" style="591" min="6" max="6"/>
    <col width="9.3125" customWidth="1" style="591" min="7" max="7"/>
    <col width="19.125" customWidth="1" style="591" min="8" max="8"/>
    <col width="13.375" customWidth="1" style="591" min="9" max="9"/>
    <col width="13" bestFit="1" customWidth="1" style="591" min="10" max="10"/>
    <col width="13.8125" customWidth="1" style="591" min="11" max="11"/>
    <col width="10.1875" bestFit="1" customWidth="1" style="591" min="12" max="12"/>
    <col width="12.1875" customWidth="1" style="591" min="13" max="13"/>
    <col width="11.125" bestFit="1" customWidth="1" style="591" min="14" max="14"/>
    <col width="9" customWidth="1" style="591" min="15" max="15"/>
    <col width="11.3125" bestFit="1" customWidth="1" style="591" min="16" max="16"/>
    <col width="15.5" bestFit="1" customWidth="1" style="591" min="17" max="17"/>
    <col width="13.875" customWidth="1" style="591" min="18" max="18"/>
    <col width="15.125" bestFit="1" customWidth="1" style="591" min="19" max="19"/>
    <col width="12.6875" customWidth="1" style="591" min="20" max="20"/>
    <col width="9.3125" customWidth="1" style="591" min="21" max="21"/>
    <col width="19.125" customWidth="1" style="591" min="22" max="22"/>
    <col width="13.375" customWidth="1" style="591" min="23" max="23"/>
    <col width="13" bestFit="1" customWidth="1" style="591" min="24" max="24"/>
    <col width="13.8125" customWidth="1" style="591" min="25" max="25"/>
    <col width="11.3125" bestFit="1" customWidth="1" style="591" min="26" max="26"/>
    <col width="12.1875" customWidth="1" style="591" min="27" max="27"/>
    <col width="11.125" bestFit="1" customWidth="1" style="591" min="28" max="28"/>
    <col width="10.1875" bestFit="1" customWidth="1" style="591" min="29" max="29"/>
    <col width="7.375" bestFit="1" customWidth="1" style="591" min="30" max="30"/>
    <col width="13.8125" bestFit="1" customWidth="1" style="591" min="31" max="31"/>
    <col width="12.875" bestFit="1" customWidth="1" style="591" min="32" max="32"/>
    <col width="11.6875" bestFit="1" customWidth="1" style="591" min="33" max="33"/>
    <col width="9" customWidth="1" style="591" min="34" max="34"/>
    <col width="11.125" bestFit="1" customWidth="1" style="591" min="35" max="35"/>
    <col width="13.6875" bestFit="1" customWidth="1" style="591" min="36" max="36"/>
    <col width="11.3125" customWidth="1" style="591" min="37" max="37"/>
    <col width="10.625" bestFit="1" customWidth="1" style="591" min="38" max="38"/>
    <col width="11" bestFit="1" customWidth="1" style="591" min="39" max="39"/>
    <col width="11.3125" customWidth="1" style="591" min="40" max="40"/>
    <col width="9.3125" customWidth="1" style="591" min="41" max="41"/>
    <col width="11.1875" customWidth="1" style="591" min="42" max="42"/>
    <col width="9" customWidth="1" style="591" min="43" max="47"/>
    <col width="11.125" bestFit="1" customWidth="1" style="591" min="48" max="48"/>
    <col width="9" customWidth="1" style="591" min="49" max="49"/>
    <col width="7.125" bestFit="1" customWidth="1" style="591" min="50" max="50"/>
    <col width="13.875" bestFit="1" customWidth="1" style="591" min="51" max="51"/>
    <col width="13" bestFit="1" customWidth="1" style="591" min="52" max="52"/>
    <col width="9.1875" bestFit="1" customWidth="1" style="591" min="53" max="53"/>
    <col width="9" customWidth="1" style="591" min="54" max="16384"/>
  </cols>
  <sheetData>
    <row r="1" ht="32.75" customHeight="1" s="497">
      <c r="B1" s="657" t="inlineStr">
        <is>
          <t>* 할인 원복구독료 상각표</t>
        </is>
      </c>
      <c r="M1" s="591" t="inlineStr">
        <is>
          <t>구독기간</t>
        </is>
      </c>
      <c r="N1" s="591" t="n">
        <v>60</v>
      </c>
      <c r="Q1" s="657" t="inlineStr">
        <is>
          <t>* 할인 원복구독료 상각표(6개월면제)</t>
        </is>
      </c>
      <c r="T1" s="658" t="n"/>
      <c r="AA1" s="591" t="inlineStr">
        <is>
          <t>구독기간</t>
        </is>
      </c>
      <c r="AB1" s="591" t="n">
        <v>60</v>
      </c>
      <c r="AD1" s="591" t="inlineStr">
        <is>
          <t>품목2</t>
        </is>
      </c>
      <c r="AF1" s="591" t="inlineStr">
        <is>
          <t>v+</t>
        </is>
      </c>
      <c r="AG1" s="591" t="inlineStr">
        <is>
          <t>v-</t>
        </is>
      </c>
      <c r="AJ1" s="657" t="inlineStr">
        <is>
          <t>* 정상구독료 상각표</t>
        </is>
      </c>
      <c r="AU1" s="591" t="inlineStr">
        <is>
          <t>구독기간</t>
        </is>
      </c>
      <c r="AV1" s="591" t="n">
        <v>60</v>
      </c>
      <c r="AZ1" s="591" t="inlineStr">
        <is>
          <t>v+</t>
        </is>
      </c>
      <c r="BA1" s="591" t="inlineStr">
        <is>
          <t>v-</t>
        </is>
      </c>
    </row>
    <row r="2">
      <c r="B2" s="591" t="inlineStr">
        <is>
          <t>리스채권</t>
        </is>
      </c>
      <c r="C2" s="591">
        <f>MIN(AG3,PV(K2/12,N1,-(AG2-AG5-AG6-AF11*N1)/N1))</f>
        <v/>
      </c>
      <c r="D2" s="591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C3/N1</f>
        <v/>
      </c>
      <c r="J2" s="591" t="inlineStr">
        <is>
          <t>현할차할인율</t>
        </is>
      </c>
      <c r="K2" s="439" t="n">
        <v>0.0313</v>
      </c>
      <c r="M2" s="591" t="inlineStr">
        <is>
          <t>설치일</t>
        </is>
      </c>
      <c r="N2" s="596" t="inlineStr">
        <is>
          <t>2025-07-05</t>
        </is>
      </c>
      <c r="P2" s="591" t="inlineStr">
        <is>
          <t>리스채권</t>
        </is>
      </c>
      <c r="Q2" s="591">
        <f>MIN(AG3,PV(K2/12,N1,-(AG2-AG5-AG6-AF11*N1-AG9*6)/N1))</f>
        <v/>
      </c>
      <c r="R2" s="591">
        <f>Q3-Q2</f>
        <v/>
      </c>
      <c r="S2" s="591" t="inlineStr">
        <is>
          <t>연 이자율</t>
        </is>
      </c>
      <c r="T2" s="439">
        <f>+IRR(P5:P66)*12</f>
        <v/>
      </c>
      <c r="U2" s="591" t="inlineStr">
        <is>
          <t>리스료</t>
        </is>
      </c>
      <c r="V2" s="659">
        <f>+H2</f>
        <v/>
      </c>
      <c r="X2" s="591" t="inlineStr">
        <is>
          <t>현할차할인율</t>
        </is>
      </c>
      <c r="Y2" s="439" t="n">
        <v>0.0313</v>
      </c>
      <c r="AA2" s="591" t="inlineStr">
        <is>
          <t>설치일</t>
        </is>
      </c>
      <c r="AB2" s="596" t="inlineStr">
        <is>
          <t>2025-07-05</t>
        </is>
      </c>
      <c r="AD2" s="2" t="n"/>
      <c r="AE2" s="2" t="n"/>
      <c r="AF2" s="660" t="n">
        <v>8170800</v>
      </c>
      <c r="AG2" s="598">
        <f>SUM(AG3:AG6)</f>
        <v/>
      </c>
      <c r="AJ2" s="591" t="inlineStr">
        <is>
          <t>리스채권</t>
        </is>
      </c>
      <c r="AK2" s="591">
        <f>MIN(BA3,PV(AS2/12,AV1,-(BA2-BA5-BA6-BA7)/AV1))</f>
        <v/>
      </c>
      <c r="AL2" s="591">
        <f>AK3-AK2</f>
        <v/>
      </c>
      <c r="AM2" s="591" t="inlineStr">
        <is>
          <t>연 이자율</t>
        </is>
      </c>
      <c r="AN2" s="439">
        <f>AN3*12</f>
        <v/>
      </c>
      <c r="AO2" s="591" t="inlineStr">
        <is>
          <t>리스료</t>
        </is>
      </c>
      <c r="AP2" s="591">
        <f>AK3/AV1</f>
        <v/>
      </c>
      <c r="AR2" s="591" t="inlineStr">
        <is>
          <t>현할차할인율</t>
        </is>
      </c>
      <c r="AS2" s="439" t="n">
        <v>0.0313</v>
      </c>
      <c r="AU2" s="591" t="inlineStr">
        <is>
          <t>설치일</t>
        </is>
      </c>
      <c r="AV2" s="596" t="inlineStr">
        <is>
          <t>2025-07-05</t>
        </is>
      </c>
      <c r="AX2" s="2" t="n"/>
      <c r="AY2" s="2" t="n"/>
      <c r="AZ2" s="660" t="n">
        <v>8170800</v>
      </c>
      <c r="BA2" s="598">
        <f>SUM(BA3:BA6)</f>
        <v/>
      </c>
    </row>
    <row r="3">
      <c r="B3" s="591" t="inlineStr">
        <is>
          <t>총 순수구독료</t>
        </is>
      </c>
      <c r="C3" s="591">
        <f>AG2-AG5-AG6-AF11*N1</f>
        <v/>
      </c>
      <c r="D3" s="661">
        <f>SUM(D6:D66)</f>
        <v/>
      </c>
      <c r="E3" s="591" t="inlineStr">
        <is>
          <t>월 이자율</t>
        </is>
      </c>
      <c r="F3" s="110">
        <f>RATE(N1,-H2,C2,0,0)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591" t="inlineStr">
        <is>
          <t>총 순수구독료</t>
        </is>
      </c>
      <c r="Q3" s="591">
        <f>AG2-AG5-AG6-AF11*N1-AG9*6</f>
        <v/>
      </c>
      <c r="R3" s="661">
        <f>SUM(R6:R66)</f>
        <v/>
      </c>
      <c r="S3" s="591" t="inlineStr">
        <is>
          <t>월 이자율</t>
        </is>
      </c>
      <c r="T3" s="110">
        <f>+IRR(P5:P66)</f>
        <v/>
      </c>
      <c r="U3" s="602" t="inlineStr">
        <is>
          <t>※ 리스채권을 리스기간동안 분할상환시 내재이자율 적용</t>
        </is>
      </c>
      <c r="AA3" s="591" t="inlineStr">
        <is>
          <t>결제일</t>
        </is>
      </c>
      <c r="AB3" s="596" t="inlineStr">
        <is>
          <t>2025-08-10</t>
        </is>
      </c>
      <c r="AD3" s="2" t="inlineStr">
        <is>
          <t>제품</t>
        </is>
      </c>
      <c r="AE3" s="2" t="inlineStr">
        <is>
          <t>제품제공</t>
        </is>
      </c>
      <c r="AF3" s="506" t="n">
        <v>5290000</v>
      </c>
      <c r="AG3" s="598">
        <f>ROUND(AF3/1.1,)</f>
        <v/>
      </c>
      <c r="AJ3" s="591" t="inlineStr">
        <is>
          <t>총 순수구독료</t>
        </is>
      </c>
      <c r="AK3" s="591">
        <f>BA2-BA5-BA6-BA7</f>
        <v/>
      </c>
      <c r="AL3" s="661">
        <f>SUM(AL6:AL66)</f>
        <v/>
      </c>
      <c r="AM3" s="591" t="inlineStr">
        <is>
          <t>월 이자율</t>
        </is>
      </c>
      <c r="AN3" s="110">
        <f>RATE(AV1,-AP2,AK2,0,0)</f>
        <v/>
      </c>
      <c r="AO3" s="602" t="inlineStr">
        <is>
          <t>※ 리스채권을 리스기간동안 분할상환시 내재이자율 적용</t>
        </is>
      </c>
      <c r="AU3" s="591" t="inlineStr">
        <is>
          <t>결제일</t>
        </is>
      </c>
      <c r="AV3" s="596" t="inlineStr">
        <is>
          <t>2025-08-10</t>
        </is>
      </c>
      <c r="AX3" s="2" t="inlineStr">
        <is>
          <t>제품</t>
        </is>
      </c>
      <c r="AY3" s="2" t="inlineStr">
        <is>
          <t>제품제공</t>
        </is>
      </c>
      <c r="AZ3" s="506" t="n">
        <v>5290000</v>
      </c>
      <c r="BA3" s="598">
        <f>AZ3/1.1</f>
        <v/>
      </c>
    </row>
    <row r="4">
      <c r="C4" s="606" t="inlineStr">
        <is>
          <t>기초</t>
        </is>
      </c>
      <c r="D4" s="606" t="inlineStr">
        <is>
          <t>이자수익</t>
        </is>
      </c>
      <c r="E4" s="606" t="inlineStr">
        <is>
          <t>리스료수령</t>
        </is>
      </c>
      <c r="F4" s="445" t="inlineStr">
        <is>
          <t>기말</t>
        </is>
      </c>
      <c r="Q4" s="606" t="inlineStr">
        <is>
          <t>기초</t>
        </is>
      </c>
      <c r="R4" s="606" t="inlineStr">
        <is>
          <t>이자수익</t>
        </is>
      </c>
      <c r="S4" s="606" t="inlineStr">
        <is>
          <t>리스료수령</t>
        </is>
      </c>
      <c r="T4" s="445" t="inlineStr">
        <is>
          <t>기말</t>
        </is>
      </c>
      <c r="V4" s="591" t="n"/>
      <c r="W4" s="591" t="inlineStr">
        <is>
          <t>┌ 정상구독료 원복</t>
        </is>
      </c>
      <c r="X4" s="591" t="n"/>
      <c r="Y4" s="591" t="n"/>
      <c r="Z4" s="591" t="n"/>
      <c r="AA4" s="591" t="n"/>
      <c r="AB4" s="591" t="n"/>
      <c r="AD4" s="2" t="n"/>
      <c r="AE4" s="211" t="inlineStr">
        <is>
          <t>구독원가</t>
        </is>
      </c>
      <c r="AF4" s="506">
        <f>AF2-SUM(AF3,AF5:AF6)</f>
        <v/>
      </c>
      <c r="AG4" s="598">
        <f>ROUND(AF4/1.1,)</f>
        <v/>
      </c>
      <c r="AK4" s="606" t="inlineStr">
        <is>
          <t>기초</t>
        </is>
      </c>
      <c r="AL4" s="606" t="inlineStr">
        <is>
          <t>이자수익</t>
        </is>
      </c>
      <c r="AM4" s="606" t="inlineStr">
        <is>
          <t>리스료수령</t>
        </is>
      </c>
      <c r="AN4" s="445" t="inlineStr">
        <is>
          <t>기말</t>
        </is>
      </c>
      <c r="AX4" s="2" t="n"/>
      <c r="AY4" s="211" t="inlineStr">
        <is>
          <t>구독원가</t>
        </is>
      </c>
      <c r="AZ4" s="506">
        <f>AZ2-SUM(AZ3,AZ5:AZ6)</f>
        <v/>
      </c>
      <c r="BA4" s="598">
        <f>AZ4/1.1</f>
        <v/>
      </c>
    </row>
    <row r="5">
      <c r="A5" s="596" t="inlineStr">
        <is>
          <t>2025-07-05</t>
        </is>
      </c>
      <c r="B5" s="591" t="n">
        <v>0</v>
      </c>
      <c r="C5" s="594" t="n"/>
      <c r="D5" s="594" t="n"/>
      <c r="E5" s="594" t="n"/>
      <c r="F5" s="662">
        <f>ROUND(C2,)</f>
        <v/>
      </c>
      <c r="P5" s="663">
        <f>-Q2</f>
        <v/>
      </c>
      <c r="Q5" s="594" t="n"/>
      <c r="R5" s="594" t="n"/>
      <c r="S5" s="594" t="n"/>
      <c r="T5" s="662">
        <f>ROUND(Q2,)</f>
        <v/>
      </c>
      <c r="V5" s="591" t="inlineStr">
        <is>
          <t>잔여 원복 순수구독료</t>
        </is>
      </c>
      <c r="W5" s="591" t="inlineStr">
        <is>
          <t>리스료</t>
        </is>
      </c>
      <c r="X5" s="591" t="inlineStr">
        <is>
          <t>잔여구독기간</t>
        </is>
      </c>
      <c r="Y5" s="591" t="inlineStr">
        <is>
          <t>월 이자율</t>
        </is>
      </c>
      <c r="Z5" s="591" t="inlineStr">
        <is>
          <t>연 이자율</t>
        </is>
      </c>
      <c r="AA5" s="591" t="inlineStr">
        <is>
          <t>이자수익</t>
        </is>
      </c>
      <c r="AB5" s="591" t="inlineStr">
        <is>
          <t>검증</t>
        </is>
      </c>
      <c r="AD5" s="2" t="inlineStr">
        <is>
          <t>서비스</t>
        </is>
      </c>
      <c r="AE5" s="2" t="inlineStr">
        <is>
          <t>가전케어/세척</t>
        </is>
      </c>
      <c r="AF5" s="506">
        <f>AG5*1.1</f>
        <v/>
      </c>
      <c r="AG5" s="598">
        <f>6900*60</f>
        <v/>
      </c>
      <c r="AI5" s="596" t="n"/>
      <c r="AJ5" s="591" t="n">
        <v>0</v>
      </c>
      <c r="AK5" s="594" t="n"/>
      <c r="AL5" s="594" t="n"/>
      <c r="AM5" s="594" t="n"/>
      <c r="AN5" s="662">
        <f>ROUND(AK2,)</f>
        <v/>
      </c>
      <c r="AX5" s="2" t="inlineStr">
        <is>
          <t>서비스</t>
        </is>
      </c>
      <c r="AY5" s="2" t="inlineStr">
        <is>
          <t>가전케어/세척</t>
        </is>
      </c>
      <c r="AZ5" s="506">
        <f>BA5*1.1</f>
        <v/>
      </c>
      <c r="BA5" s="598">
        <f>6900*60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662">
        <f>ROUND(-E6+(C2*F3*27/31-H2*27/31),0)</f>
        <v/>
      </c>
      <c r="E6" s="662">
        <f>-(ROUNDDOWN($AG$8*27/31,-2)-ROUNDDOWN((AG6/60-AF13)*27/31,-2)-ROUNDDOWN((AG5/60-AF12)*27/31,-2))</f>
        <v/>
      </c>
      <c r="F6" s="594">
        <f>SUM(C6:E6)</f>
        <v/>
      </c>
      <c r="P6" s="663">
        <f>-S6</f>
        <v/>
      </c>
      <c r="Q6" s="594">
        <f>T5</f>
        <v/>
      </c>
      <c r="R6" s="662">
        <f>ROUND(-S6+(Q2*T3-V2*27/31),0)</f>
        <v/>
      </c>
      <c r="S6" s="662">
        <f>-(ROUNDDOWN($AG$8*27/31,-2)-ROUNDDOWN((AG6/60-AF13)*27/31,-2)-ROUNDDOWN((AG5/60-AF12)*27/31,-2))</f>
        <v/>
      </c>
      <c r="T6" s="594">
        <f>SUM(Q6:S6)</f>
        <v/>
      </c>
      <c r="V6" s="664">
        <f>AK3+SUM(AM6:AM12)</f>
        <v/>
      </c>
      <c r="W6" s="664">
        <f>+(AG2-AG5-AG6)/60</f>
        <v/>
      </c>
      <c r="X6" s="664">
        <f>N1-B8</f>
        <v/>
      </c>
      <c r="Y6" s="424">
        <f>+IRR(Z8:Z66)</f>
        <v/>
      </c>
      <c r="Z6" s="665">
        <f>+Y6*12</f>
        <v/>
      </c>
      <c r="AA6" s="664">
        <f>+V6-T8</f>
        <v/>
      </c>
      <c r="AB6" s="664">
        <f>+SUM(W9:W66)</f>
        <v/>
      </c>
      <c r="AD6" s="2" t="n"/>
      <c r="AE6" s="2" t="inlineStr">
        <is>
          <t>보증연장</t>
        </is>
      </c>
      <c r="AF6" s="506">
        <f>AG6*1.1</f>
        <v/>
      </c>
      <c r="AG6" s="598">
        <f>900*60</f>
        <v/>
      </c>
      <c r="AI6" s="596" t="n"/>
      <c r="AJ6" s="591">
        <f>AJ5+1</f>
        <v/>
      </c>
      <c r="AK6" s="594">
        <f>AN5</f>
        <v/>
      </c>
      <c r="AL6" s="662">
        <f>ROUND(-AM6+(AK2*AN3*27/31-AP2*27/31),0)</f>
        <v/>
      </c>
      <c r="AM6" s="662">
        <f>-(ROUNDDOWN($BA$8*27/31,-2)-ROUNDDOWN((BA6/60)*27/31,-2)-ROUNDDOWN((BA5/60)*27/31,-2))</f>
        <v/>
      </c>
      <c r="AN6" s="594">
        <f>SUM(AK6:AM6)</f>
        <v/>
      </c>
      <c r="AP6" s="591">
        <f>-(ROUNDDOWN((($AG$2-BA7)/60)*27/31,-2)-ROUNDDOWN(($AG$5/60)*27/31,-2)-ROUNDDOWN(($AG$6/60)*27/31,-2))</f>
        <v/>
      </c>
      <c r="AX6" s="2" t="n"/>
      <c r="AY6" s="2" t="inlineStr">
        <is>
          <t>보증연장</t>
        </is>
      </c>
      <c r="AZ6" s="506">
        <f>BA6*1.1</f>
        <v/>
      </c>
      <c r="BA6" s="598">
        <f>900*60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n"/>
      <c r="O7" s="610" t="n"/>
      <c r="P7" s="667">
        <f>-S7</f>
        <v/>
      </c>
      <c r="Q7" s="594">
        <f>T6</f>
        <v/>
      </c>
      <c r="R7" s="594">
        <f>ROUND(Q7*$T$3,)</f>
        <v/>
      </c>
      <c r="S7" s="668" t="n">
        <v>0</v>
      </c>
      <c r="T7" s="594">
        <f>SUM(Q7:S7)</f>
        <v/>
      </c>
      <c r="V7" s="591">
        <f>+V6-T8</f>
        <v/>
      </c>
      <c r="AA7" s="591">
        <f>+AA6-AB6</f>
        <v/>
      </c>
      <c r="AC7" s="610" t="n"/>
      <c r="AD7" s="2" t="inlineStr">
        <is>
          <t>할인</t>
        </is>
      </c>
      <c r="AE7" s="2" t="n">
        <v>2</v>
      </c>
      <c r="AF7" s="506">
        <f>AG7*1.1</f>
        <v/>
      </c>
      <c r="AG7" s="598" t="n">
        <v>372000</v>
      </c>
      <c r="AJ7" s="591">
        <f>AJ6+1</f>
        <v/>
      </c>
      <c r="AK7" s="594">
        <f>AN6</f>
        <v/>
      </c>
      <c r="AL7" s="594">
        <f>ROUND(AK7*$AN$3,)</f>
        <v/>
      </c>
      <c r="AM7" s="594">
        <f>-$AP$2</f>
        <v/>
      </c>
      <c r="AN7" s="594">
        <f>SUM(AK7:AM7)</f>
        <v/>
      </c>
      <c r="AP7" s="666" t="inlineStr">
        <is>
          <t>* 구독료 일할로직 변경시, 1회차 리스료 산식도 업데이트 필요</t>
        </is>
      </c>
      <c r="AW7" s="610" t="n"/>
      <c r="AX7" s="359" t="inlineStr">
        <is>
          <t>할인</t>
        </is>
      </c>
      <c r="AY7" s="359" t="n">
        <v>2</v>
      </c>
      <c r="AZ7" s="669" t="n"/>
      <c r="BA7" s="670" t="n"/>
    </row>
    <row r="8">
      <c r="A8" s="664" t="n"/>
      <c r="B8" s="664">
        <f>B7+1</f>
        <v/>
      </c>
      <c r="C8" s="671">
        <f>F7</f>
        <v/>
      </c>
      <c r="D8" s="671">
        <f>ROUND(C8*$F$3,)</f>
        <v/>
      </c>
      <c r="E8" s="671">
        <f>-$H$2</f>
        <v/>
      </c>
      <c r="F8" s="671">
        <f>SUM(C8:E8)</f>
        <v/>
      </c>
      <c r="G8" s="664" t="n"/>
      <c r="H8" s="664" t="n"/>
      <c r="I8" s="664" t="n"/>
      <c r="J8" s="664" t="n"/>
      <c r="K8" s="664" t="n"/>
      <c r="L8" s="664" t="n"/>
      <c r="M8" s="664" t="n"/>
      <c r="N8" s="664" t="n"/>
      <c r="O8" s="672" t="n"/>
      <c r="P8" s="673">
        <f>-S8</f>
        <v/>
      </c>
      <c r="Q8" s="671">
        <f>T7</f>
        <v/>
      </c>
      <c r="R8" s="671">
        <f>ROUND(Q8*$T$3,)</f>
        <v/>
      </c>
      <c r="S8" s="671" t="n">
        <v>0</v>
      </c>
      <c r="T8" s="674">
        <f>SUM(Q8:S8)</f>
        <v/>
      </c>
      <c r="U8" s="664" t="n"/>
      <c r="V8" s="664" t="inlineStr">
        <is>
          <t>기초</t>
        </is>
      </c>
      <c r="W8" s="664" t="inlineStr">
        <is>
          <t>이자수익</t>
        </is>
      </c>
      <c r="X8" s="664" t="inlineStr">
        <is>
          <t>리스료수령</t>
        </is>
      </c>
      <c r="Y8" s="664" t="inlineStr">
        <is>
          <t>기말</t>
        </is>
      </c>
      <c r="Z8" s="675">
        <f>-V9</f>
        <v/>
      </c>
      <c r="AA8" s="664" t="n"/>
      <c r="AB8" s="664" t="n"/>
      <c r="AC8" s="613" t="n"/>
      <c r="AG8" s="591">
        <f>+(AG2-AG7)/N1</f>
        <v/>
      </c>
      <c r="AJ8" s="591">
        <f>AJ7+1</f>
        <v/>
      </c>
      <c r="AK8" s="594">
        <f>AN7</f>
        <v/>
      </c>
      <c r="AL8" s="594">
        <f>ROUND(AK8*$AN$3,)</f>
        <v/>
      </c>
      <c r="AM8" s="594">
        <f>-$AP$2</f>
        <v/>
      </c>
      <c r="AN8" s="594">
        <f>SUM(AK8:AM8)</f>
        <v/>
      </c>
      <c r="AW8" s="613" t="n"/>
      <c r="BA8" s="591">
        <f>+BA2/AV1</f>
        <v/>
      </c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P9" s="663">
        <f>-S9</f>
        <v/>
      </c>
      <c r="Q9" s="594">
        <f>T8</f>
        <v/>
      </c>
      <c r="R9" s="594">
        <f>ROUND(Q9*$T$3,)</f>
        <v/>
      </c>
      <c r="S9" s="668" t="n">
        <v>0</v>
      </c>
      <c r="T9" s="594">
        <f>SUM(Q9:S9)</f>
        <v/>
      </c>
      <c r="V9" s="676">
        <f>+T8</f>
        <v/>
      </c>
      <c r="W9" s="594">
        <f>ROUND(V9*$Y$6,)</f>
        <v/>
      </c>
      <c r="X9" s="677" t="n">
        <v>0</v>
      </c>
      <c r="Y9" s="594">
        <f>SUM(V9:X9)</f>
        <v/>
      </c>
      <c r="Z9" s="663" t="n">
        <v>0</v>
      </c>
      <c r="AF9" s="599" t="inlineStr">
        <is>
          <t>할인반영 제품월구독료</t>
        </is>
      </c>
      <c r="AG9" s="591">
        <f>+(AG2-AG5-AG6-AF11*N1)/60</f>
        <v/>
      </c>
      <c r="AJ9" s="591">
        <f>AJ8+1</f>
        <v/>
      </c>
      <c r="AK9" s="594">
        <f>AN8</f>
        <v/>
      </c>
      <c r="AL9" s="594">
        <f>ROUND(AK9*$AN$3,)</f>
        <v/>
      </c>
      <c r="AM9" s="594">
        <f>-$AP$2</f>
        <v/>
      </c>
      <c r="AN9" s="594">
        <f>SUM(AK9:AM9)</f>
        <v/>
      </c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P10" s="663">
        <f>-S10</f>
        <v/>
      </c>
      <c r="Q10" s="594">
        <f>T9</f>
        <v/>
      </c>
      <c r="R10" s="594">
        <f>ROUND(Q10*$T$3,)</f>
        <v/>
      </c>
      <c r="S10" s="668" t="n">
        <v>0</v>
      </c>
      <c r="T10" s="594">
        <f>SUM(Q10:S10)</f>
        <v/>
      </c>
      <c r="V10" s="676">
        <f>+Y9</f>
        <v/>
      </c>
      <c r="W10" s="594">
        <f>ROUND(V10*$Y$6,)</f>
        <v/>
      </c>
      <c r="X10" s="677" t="n">
        <v>0</v>
      </c>
      <c r="Y10" s="594">
        <f>SUM(V10:X10)</f>
        <v/>
      </c>
      <c r="Z10" s="663" t="n">
        <v>0</v>
      </c>
      <c r="AD10" s="678" t="inlineStr">
        <is>
          <t>할인 월할</t>
        </is>
      </c>
      <c r="AE10" s="679" t="n"/>
      <c r="AF10" s="680">
        <f>AG7/N1</f>
        <v/>
      </c>
      <c r="AJ10" s="591">
        <f>AJ9+1</f>
        <v/>
      </c>
      <c r="AK10" s="594">
        <f>AN9</f>
        <v/>
      </c>
      <c r="AL10" s="594">
        <f>ROUND(AK10*$AN$3,)</f>
        <v/>
      </c>
      <c r="AM10" s="594">
        <f>-$AP$2</f>
        <v/>
      </c>
      <c r="AN10" s="594">
        <f>SUM(AK10:AM10)</f>
        <v/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P11" s="663">
        <f>-S11</f>
        <v/>
      </c>
      <c r="Q11" s="594">
        <f>T10</f>
        <v/>
      </c>
      <c r="R11" s="594">
        <f>ROUND(Q11*$T$3,)</f>
        <v/>
      </c>
      <c r="S11" s="668" t="n">
        <v>0</v>
      </c>
      <c r="T11" s="594">
        <f>SUM(Q11:S11)</f>
        <v/>
      </c>
      <c r="V11" s="676">
        <f>+Y10</f>
        <v/>
      </c>
      <c r="W11" s="594">
        <f>ROUND(V11*$Y$6,)</f>
        <v/>
      </c>
      <c r="X11" s="677" t="n">
        <v>0</v>
      </c>
      <c r="Y11" s="594">
        <f>SUM(V11:X11)</f>
        <v/>
      </c>
      <c r="Z11" s="663" t="n">
        <v>0</v>
      </c>
      <c r="AD11" s="681" t="n"/>
      <c r="AE11" s="598" t="inlineStr">
        <is>
          <t>제품</t>
        </is>
      </c>
      <c r="AF11" s="598">
        <f>AF10-AF12-AF13</f>
        <v/>
      </c>
      <c r="AJ11" s="591">
        <f>AJ10+1</f>
        <v/>
      </c>
      <c r="AK11" s="594">
        <f>AN10</f>
        <v/>
      </c>
      <c r="AL11" s="594">
        <f>ROUND(AK11*$AN$3,)</f>
        <v/>
      </c>
      <c r="AM11" s="594">
        <f>-$AP$2</f>
        <v/>
      </c>
      <c r="AN11" s="594">
        <f>SUM(AK11:AM11)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P12" s="663">
        <f>-S12</f>
        <v/>
      </c>
      <c r="Q12" s="594">
        <f>T11</f>
        <v/>
      </c>
      <c r="R12" s="594">
        <f>ROUND(Q12*$T$3,)</f>
        <v/>
      </c>
      <c r="S12" s="668" t="n">
        <v>0</v>
      </c>
      <c r="T12" s="594">
        <f>SUM(Q12:S12)</f>
        <v/>
      </c>
      <c r="V12" s="676">
        <f>+Y11</f>
        <v/>
      </c>
      <c r="W12" s="594">
        <f>ROUND(V12*$Y$6,)</f>
        <v/>
      </c>
      <c r="X12" s="677" t="n">
        <v>0</v>
      </c>
      <c r="Y12" s="594">
        <f>SUM(V12:X12)</f>
        <v/>
      </c>
      <c r="Z12" s="663" t="n">
        <v>0</v>
      </c>
      <c r="AD12" s="681" t="n"/>
      <c r="AE12" s="598" t="inlineStr">
        <is>
          <t>케어</t>
        </is>
      </c>
      <c r="AF12" s="598">
        <f>ROUND(AF10*AG5/AG2,-2)</f>
        <v/>
      </c>
      <c r="AJ12" s="591">
        <f>AJ11+1</f>
        <v/>
      </c>
      <c r="AK12" s="594">
        <f>AN11</f>
        <v/>
      </c>
      <c r="AL12" s="594">
        <f>ROUND(AK12*$AN$3,)</f>
        <v/>
      </c>
      <c r="AM12" s="594">
        <f>-$AP$2</f>
        <v/>
      </c>
      <c r="AN12" s="594">
        <f>SUM(AK12:AM12)</f>
        <v/>
      </c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P13" s="663">
        <f>-S13</f>
        <v/>
      </c>
      <c r="Q13" s="594">
        <f>T12</f>
        <v/>
      </c>
      <c r="R13" s="594">
        <f>ROUND(Q13*$T$3,)</f>
        <v/>
      </c>
      <c r="S13" s="594">
        <f>-$V$2</f>
        <v/>
      </c>
      <c r="T13" s="594">
        <f>SUM(Q13:S13)</f>
        <v/>
      </c>
      <c r="V13" s="676">
        <f>+Y12</f>
        <v/>
      </c>
      <c r="W13" s="594">
        <f>ROUND(V13*$Y$6,)</f>
        <v/>
      </c>
      <c r="X13" s="591">
        <f>-$W$6</f>
        <v/>
      </c>
      <c r="Y13" s="594">
        <f>SUM(V13:X13)</f>
        <v/>
      </c>
      <c r="Z13" s="663">
        <f>-X13</f>
        <v/>
      </c>
      <c r="AD13" s="682" t="n"/>
      <c r="AE13" s="598" t="inlineStr">
        <is>
          <t>보증</t>
        </is>
      </c>
      <c r="AF13" s="598">
        <f>ROUND(AF10*AG6/AG2,-2)</f>
        <v/>
      </c>
      <c r="AJ13" s="591">
        <f>AJ12+1</f>
        <v/>
      </c>
      <c r="AK13" s="594">
        <f>AN12</f>
        <v/>
      </c>
      <c r="AL13" s="594">
        <f>ROUND(AK13*$AN$3,)</f>
        <v/>
      </c>
      <c r="AM13" s="594">
        <f>-$AP$2</f>
        <v/>
      </c>
      <c r="AN13" s="594">
        <f>SUM(AK13:AM13)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P14" s="663">
        <f>-S14</f>
        <v/>
      </c>
      <c r="Q14" s="594">
        <f>T13</f>
        <v/>
      </c>
      <c r="R14" s="594">
        <f>ROUND(Q14*$T$3,)</f>
        <v/>
      </c>
      <c r="S14" s="594">
        <f>-$H$2</f>
        <v/>
      </c>
      <c r="T14" s="594">
        <f>SUM(Q14:S14)</f>
        <v/>
      </c>
      <c r="V14" s="676">
        <f>+Y13</f>
        <v/>
      </c>
      <c r="W14" s="594">
        <f>ROUND(V14*$Y$6,)</f>
        <v/>
      </c>
      <c r="X14" s="591">
        <f>-$W$6</f>
        <v/>
      </c>
      <c r="Y14" s="594">
        <f>SUM(V14:X14)</f>
        <v/>
      </c>
      <c r="Z14" s="663">
        <f>-X14</f>
        <v/>
      </c>
      <c r="AJ14" s="591">
        <f>AJ13+1</f>
        <v/>
      </c>
      <c r="AK14" s="594">
        <f>AN13</f>
        <v/>
      </c>
      <c r="AL14" s="594">
        <f>ROUND(AK14*$AN$3,)</f>
        <v/>
      </c>
      <c r="AM14" s="594">
        <f>-$AP$2</f>
        <v/>
      </c>
      <c r="AN14" s="594">
        <f>SUM(AK14:AM14)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  <c r="P15" s="663">
        <f>-S15</f>
        <v/>
      </c>
      <c r="Q15" s="594">
        <f>T14</f>
        <v/>
      </c>
      <c r="R15" s="594">
        <f>ROUND(Q15*$T$3,)</f>
        <v/>
      </c>
      <c r="S15" s="594">
        <f>-$H$2</f>
        <v/>
      </c>
      <c r="T15" s="594">
        <f>SUM(Q15:S15)</f>
        <v/>
      </c>
      <c r="V15" s="676">
        <f>+Y14</f>
        <v/>
      </c>
      <c r="W15" s="594">
        <f>ROUND(V15*$Y$6,)</f>
        <v/>
      </c>
      <c r="X15" s="591">
        <f>-$W$6</f>
        <v/>
      </c>
      <c r="Y15" s="594">
        <f>SUM(V15:X15)</f>
        <v/>
      </c>
      <c r="Z15" s="663">
        <f>-X15</f>
        <v/>
      </c>
      <c r="AJ15" s="591">
        <f>AJ14+1</f>
        <v/>
      </c>
      <c r="AK15" s="594">
        <f>AN14</f>
        <v/>
      </c>
      <c r="AL15" s="594">
        <f>ROUND(AK15*$AN$3,)</f>
        <v/>
      </c>
      <c r="AM15" s="594">
        <f>-$AP$2</f>
        <v/>
      </c>
      <c r="AN15" s="594">
        <f>SUM(AK15:AM15)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P16" s="663">
        <f>-S16</f>
        <v/>
      </c>
      <c r="Q16" s="594">
        <f>T15</f>
        <v/>
      </c>
      <c r="R16" s="594">
        <f>ROUND(Q16*$T$3,)</f>
        <v/>
      </c>
      <c r="S16" s="594">
        <f>-$H$2</f>
        <v/>
      </c>
      <c r="T16" s="594">
        <f>SUM(Q16:S16)</f>
        <v/>
      </c>
      <c r="V16" s="676">
        <f>+Y15</f>
        <v/>
      </c>
      <c r="W16" s="594">
        <f>ROUND(V16*$Y$6,)</f>
        <v/>
      </c>
      <c r="X16" s="591">
        <f>-$W$6</f>
        <v/>
      </c>
      <c r="Y16" s="594">
        <f>SUM(V16:X16)</f>
        <v/>
      </c>
      <c r="Z16" s="663">
        <f>-X16</f>
        <v/>
      </c>
      <c r="AJ16" s="591">
        <f>AJ15+1</f>
        <v/>
      </c>
      <c r="AK16" s="594">
        <f>AN15</f>
        <v/>
      </c>
      <c r="AL16" s="594">
        <f>ROUND(AK16*$AN$3,)</f>
        <v/>
      </c>
      <c r="AM16" s="594">
        <f>-$AP$2</f>
        <v/>
      </c>
      <c r="AN16" s="594">
        <f>SUM(AK16:AM16)</f>
        <v/>
      </c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P17" s="663">
        <f>-S17</f>
        <v/>
      </c>
      <c r="Q17" s="594">
        <f>T16</f>
        <v/>
      </c>
      <c r="R17" s="594">
        <f>ROUND(Q17*$T$3,)</f>
        <v/>
      </c>
      <c r="S17" s="594">
        <f>-$H$2</f>
        <v/>
      </c>
      <c r="T17" s="594">
        <f>SUM(Q17:S17)</f>
        <v/>
      </c>
      <c r="V17" s="676">
        <f>+Y16</f>
        <v/>
      </c>
      <c r="W17" s="594">
        <f>ROUND(V17*$Y$6,)</f>
        <v/>
      </c>
      <c r="X17" s="591">
        <f>-$W$6</f>
        <v/>
      </c>
      <c r="Y17" s="594">
        <f>SUM(V17:X17)</f>
        <v/>
      </c>
      <c r="Z17" s="663">
        <f>-X17</f>
        <v/>
      </c>
      <c r="AJ17" s="591">
        <f>AJ16+1</f>
        <v/>
      </c>
      <c r="AK17" s="594">
        <f>AN16</f>
        <v/>
      </c>
      <c r="AL17" s="594">
        <f>ROUND(AK17*$AN$3,)</f>
        <v/>
      </c>
      <c r="AM17" s="594">
        <f>-$AP$2</f>
        <v/>
      </c>
      <c r="AN17" s="594">
        <f>SUM(AK17:AM17)</f>
        <v/>
      </c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P18" s="663">
        <f>-S18</f>
        <v/>
      </c>
      <c r="Q18" s="594">
        <f>T17</f>
        <v/>
      </c>
      <c r="R18" s="594">
        <f>ROUND(Q18*$T$3,)</f>
        <v/>
      </c>
      <c r="S18" s="594">
        <f>-$H$2</f>
        <v/>
      </c>
      <c r="T18" s="594">
        <f>SUM(Q18:S18)</f>
        <v/>
      </c>
      <c r="V18" s="676">
        <f>+Y17</f>
        <v/>
      </c>
      <c r="W18" s="594">
        <f>ROUND(V18*$Y$6,)</f>
        <v/>
      </c>
      <c r="X18" s="591">
        <f>-$W$6</f>
        <v/>
      </c>
      <c r="Y18" s="594">
        <f>SUM(V18:X18)</f>
        <v/>
      </c>
      <c r="Z18" s="663">
        <f>-X18</f>
        <v/>
      </c>
      <c r="AJ18" s="591">
        <f>AJ17+1</f>
        <v/>
      </c>
      <c r="AK18" s="594">
        <f>AN17</f>
        <v/>
      </c>
      <c r="AL18" s="594">
        <f>ROUND(AK18*$AN$3,)</f>
        <v/>
      </c>
      <c r="AM18" s="594">
        <f>-$AP$2</f>
        <v/>
      </c>
      <c r="AN18" s="594">
        <f>SUM(AK18:AM18)</f>
        <v/>
      </c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P19" s="663">
        <f>-S19</f>
        <v/>
      </c>
      <c r="Q19" s="594">
        <f>T18</f>
        <v/>
      </c>
      <c r="R19" s="594">
        <f>ROUND(Q19*$T$3,)</f>
        <v/>
      </c>
      <c r="S19" s="594">
        <f>-$H$2</f>
        <v/>
      </c>
      <c r="T19" s="594">
        <f>SUM(Q19:S19)</f>
        <v/>
      </c>
      <c r="V19" s="676">
        <f>+Y18</f>
        <v/>
      </c>
      <c r="W19" s="594">
        <f>ROUND(V19*$Y$6,)</f>
        <v/>
      </c>
      <c r="X19" s="591">
        <f>-$W$6</f>
        <v/>
      </c>
      <c r="Y19" s="594">
        <f>SUM(V19:X19)</f>
        <v/>
      </c>
      <c r="Z19" s="663">
        <f>-X19</f>
        <v/>
      </c>
      <c r="AJ19" s="591">
        <f>AJ18+1</f>
        <v/>
      </c>
      <c r="AK19" s="594">
        <f>AN18</f>
        <v/>
      </c>
      <c r="AL19" s="594">
        <f>ROUND(AK19*$AN$3,)</f>
        <v/>
      </c>
      <c r="AM19" s="594">
        <f>-$AP$2</f>
        <v/>
      </c>
      <c r="AN19" s="594">
        <f>SUM(AK19:AM19)</f>
        <v/>
      </c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P20" s="663">
        <f>-S20</f>
        <v/>
      </c>
      <c r="Q20" s="594">
        <f>T19</f>
        <v/>
      </c>
      <c r="R20" s="594">
        <f>ROUND(Q20*$T$3,)</f>
        <v/>
      </c>
      <c r="S20" s="594">
        <f>-$H$2</f>
        <v/>
      </c>
      <c r="T20" s="594">
        <f>SUM(Q20:S20)</f>
        <v/>
      </c>
      <c r="V20" s="676">
        <f>+Y19</f>
        <v/>
      </c>
      <c r="W20" s="594">
        <f>ROUND(V20*$Y$6,)</f>
        <v/>
      </c>
      <c r="X20" s="591">
        <f>-$W$6</f>
        <v/>
      </c>
      <c r="Y20" s="594">
        <f>SUM(V20:X20)</f>
        <v/>
      </c>
      <c r="Z20" s="663">
        <f>-X20</f>
        <v/>
      </c>
      <c r="AJ20" s="591">
        <f>AJ19+1</f>
        <v/>
      </c>
      <c r="AK20" s="594">
        <f>AN19</f>
        <v/>
      </c>
      <c r="AL20" s="594">
        <f>ROUND(AK20*$AN$3,)</f>
        <v/>
      </c>
      <c r="AM20" s="594">
        <f>-$AP$2</f>
        <v/>
      </c>
      <c r="AN20" s="594">
        <f>SUM(AK20:AM20)</f>
        <v/>
      </c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P21" s="663">
        <f>-S21</f>
        <v/>
      </c>
      <c r="Q21" s="594">
        <f>T20</f>
        <v/>
      </c>
      <c r="R21" s="594">
        <f>ROUND(Q21*$T$3,)</f>
        <v/>
      </c>
      <c r="S21" s="594">
        <f>-$H$2</f>
        <v/>
      </c>
      <c r="T21" s="594">
        <f>SUM(Q21:S21)</f>
        <v/>
      </c>
      <c r="V21" s="676">
        <f>+Y20</f>
        <v/>
      </c>
      <c r="W21" s="594">
        <f>ROUND(V21*$Y$6,)</f>
        <v/>
      </c>
      <c r="X21" s="591">
        <f>-$W$6</f>
        <v/>
      </c>
      <c r="Y21" s="594">
        <f>SUM(V21:X21)</f>
        <v/>
      </c>
      <c r="Z21" s="663">
        <f>-X21</f>
        <v/>
      </c>
      <c r="AJ21" s="591">
        <f>AJ20+1</f>
        <v/>
      </c>
      <c r="AK21" s="594">
        <f>AN20</f>
        <v/>
      </c>
      <c r="AL21" s="594">
        <f>ROUND(AK21*$AN$3,)</f>
        <v/>
      </c>
      <c r="AM21" s="594">
        <f>-$AP$2</f>
        <v/>
      </c>
      <c r="AN21" s="594">
        <f>SUM(AK21:AM21)</f>
        <v/>
      </c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P22" s="663">
        <f>-S22</f>
        <v/>
      </c>
      <c r="Q22" s="594">
        <f>T21</f>
        <v/>
      </c>
      <c r="R22" s="594">
        <f>ROUND(Q22*$T$3,)</f>
        <v/>
      </c>
      <c r="S22" s="594">
        <f>-$H$2</f>
        <v/>
      </c>
      <c r="T22" s="594">
        <f>SUM(Q22:S22)</f>
        <v/>
      </c>
      <c r="V22" s="676">
        <f>+Y21</f>
        <v/>
      </c>
      <c r="W22" s="594">
        <f>ROUND(V22*$Y$6,)</f>
        <v/>
      </c>
      <c r="X22" s="591">
        <f>-$W$6</f>
        <v/>
      </c>
      <c r="Y22" s="594">
        <f>SUM(V22:X22)</f>
        <v/>
      </c>
      <c r="Z22" s="663">
        <f>-X22</f>
        <v/>
      </c>
      <c r="AJ22" s="591">
        <f>AJ21+1</f>
        <v/>
      </c>
      <c r="AK22" s="594">
        <f>AN21</f>
        <v/>
      </c>
      <c r="AL22" s="594">
        <f>ROUND(AK22*$AN$3,)</f>
        <v/>
      </c>
      <c r="AM22" s="594">
        <f>-$AP$2</f>
        <v/>
      </c>
      <c r="AN22" s="594">
        <f>SUM(AK22:AM22)</f>
        <v/>
      </c>
    </row>
    <row r="23" customFormat="1" s="591">
      <c r="A23" s="591" t="n"/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G23" s="591" t="n"/>
      <c r="H23" s="591" t="n"/>
      <c r="I23" s="591" t="inlineStr">
        <is>
          <t>┌ 정상구독료 원복</t>
        </is>
      </c>
      <c r="J23" s="591" t="n"/>
      <c r="K23" s="591" t="n"/>
      <c r="L23" s="591" t="n"/>
      <c r="M23" s="591" t="n"/>
      <c r="N23" s="591" t="n"/>
      <c r="O23" s="591" t="n"/>
      <c r="P23" s="663">
        <f>-S23</f>
        <v/>
      </c>
      <c r="Q23" s="594">
        <f>T22</f>
        <v/>
      </c>
      <c r="R23" s="594">
        <f>ROUND(Q23*$T$3,)</f>
        <v/>
      </c>
      <c r="S23" s="594">
        <f>-$H$2</f>
        <v/>
      </c>
      <c r="T23" s="594">
        <f>SUM(Q23:S23)</f>
        <v/>
      </c>
      <c r="V23" s="676">
        <f>+Y22</f>
        <v/>
      </c>
      <c r="W23" s="594">
        <f>ROUND(V23*$Y$6,)</f>
        <v/>
      </c>
      <c r="X23" s="591">
        <f>-$W$6</f>
        <v/>
      </c>
      <c r="Y23" s="594">
        <f>SUM(V23:X23)</f>
        <v/>
      </c>
      <c r="Z23" s="663">
        <f>-X23</f>
        <v/>
      </c>
      <c r="AA23" s="591" t="n"/>
      <c r="AB23" s="591" t="n"/>
      <c r="AC23" s="591" t="n"/>
      <c r="AJ23" s="591">
        <f>AJ22+1</f>
        <v/>
      </c>
      <c r="AK23" s="594">
        <f>AN22</f>
        <v/>
      </c>
      <c r="AL23" s="594">
        <f>ROUND(AK23*$AN$3,)</f>
        <v/>
      </c>
      <c r="AM23" s="594">
        <f>-$AP$2</f>
        <v/>
      </c>
      <c r="AN23" s="594">
        <f>SUM(AK23:AM23)</f>
        <v/>
      </c>
    </row>
    <row r="24" customFormat="1" s="591">
      <c r="A24" s="591" t="n"/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G24" s="591" t="n"/>
      <c r="H24" s="591" t="inlineStr">
        <is>
          <t>잔여 원복 순수구독료</t>
        </is>
      </c>
      <c r="I24" s="591" t="inlineStr">
        <is>
          <t>리스료</t>
        </is>
      </c>
      <c r="J24" s="591" t="inlineStr">
        <is>
          <t>잔여구독기간</t>
        </is>
      </c>
      <c r="K24" s="591" t="inlineStr">
        <is>
          <t>월 이자율</t>
        </is>
      </c>
      <c r="L24" s="591" t="inlineStr">
        <is>
          <t>연 이자율</t>
        </is>
      </c>
      <c r="M24" s="591" t="inlineStr">
        <is>
          <t>이자수익</t>
        </is>
      </c>
      <c r="N24" s="591" t="inlineStr">
        <is>
          <t>검증</t>
        </is>
      </c>
      <c r="O24" s="591" t="n"/>
      <c r="P24" s="663">
        <f>-S24</f>
        <v/>
      </c>
      <c r="Q24" s="594">
        <f>T23</f>
        <v/>
      </c>
      <c r="R24" s="594">
        <f>ROUND(Q24*$T$3,)</f>
        <v/>
      </c>
      <c r="S24" s="594">
        <f>-$H$2</f>
        <v/>
      </c>
      <c r="T24" s="594">
        <f>SUM(Q24:S24)</f>
        <v/>
      </c>
      <c r="V24" s="676">
        <f>+Y23</f>
        <v/>
      </c>
      <c r="W24" s="594">
        <f>ROUND(V24*$Y$6,)</f>
        <v/>
      </c>
      <c r="X24" s="591">
        <f>-$W$6</f>
        <v/>
      </c>
      <c r="Y24" s="594">
        <f>SUM(V24:X24)</f>
        <v/>
      </c>
      <c r="Z24" s="663">
        <f>-X24</f>
        <v/>
      </c>
      <c r="AA24" s="591" t="n"/>
      <c r="AB24" s="591" t="n"/>
      <c r="AC24" s="591" t="n"/>
      <c r="AJ24" s="591">
        <f>AJ23+1</f>
        <v/>
      </c>
      <c r="AK24" s="594">
        <f>AN23</f>
        <v/>
      </c>
      <c r="AL24" s="594">
        <f>ROUND(AK24*$AN$3,)</f>
        <v/>
      </c>
      <c r="AM24" s="594">
        <f>-$AP$2</f>
        <v/>
      </c>
      <c r="AN24" s="594">
        <f>SUM(AK24:AM24)</f>
        <v/>
      </c>
    </row>
    <row r="25" customFormat="1" s="591">
      <c r="A25" s="591" t="n"/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G25" s="591" t="n"/>
      <c r="H25" s="683">
        <f>+AK3+SUM(AM6:AM28)</f>
        <v/>
      </c>
      <c r="I25" s="683">
        <f>+(AG2-AG5-AG6)/60</f>
        <v/>
      </c>
      <c r="J25" s="684">
        <f>N1-B28</f>
        <v/>
      </c>
      <c r="K25" s="353">
        <f>RATE(J25,-I25,H29,0,0)</f>
        <v/>
      </c>
      <c r="L25" s="685">
        <f>K25*12</f>
        <v/>
      </c>
      <c r="M25" s="591">
        <f>H25-F28</f>
        <v/>
      </c>
      <c r="N25" s="591">
        <f>SUM(I29:I66)</f>
        <v/>
      </c>
      <c r="O25" s="591" t="n"/>
      <c r="P25" s="663">
        <f>-S25</f>
        <v/>
      </c>
      <c r="Q25" s="594">
        <f>T24</f>
        <v/>
      </c>
      <c r="R25" s="594">
        <f>ROUND(Q25*$T$3,)</f>
        <v/>
      </c>
      <c r="S25" s="594">
        <f>-$H$2</f>
        <v/>
      </c>
      <c r="T25" s="594">
        <f>SUM(Q25:S25)</f>
        <v/>
      </c>
      <c r="V25" s="676">
        <f>+Y24</f>
        <v/>
      </c>
      <c r="W25" s="594">
        <f>ROUND(V25*$Y$6,)</f>
        <v/>
      </c>
      <c r="X25" s="591">
        <f>-$W$6</f>
        <v/>
      </c>
      <c r="Y25" s="594">
        <f>SUM(V25:X25)</f>
        <v/>
      </c>
      <c r="Z25" s="663">
        <f>-X25</f>
        <v/>
      </c>
      <c r="AA25" s="591" t="n"/>
      <c r="AB25" s="591" t="n"/>
      <c r="AC25" s="591" t="n"/>
      <c r="AJ25" s="591">
        <f>AJ24+1</f>
        <v/>
      </c>
      <c r="AK25" s="594">
        <f>AN24</f>
        <v/>
      </c>
      <c r="AL25" s="594">
        <f>ROUND(AK25*$AN$3,)</f>
        <v/>
      </c>
      <c r="AM25" s="594">
        <f>-$AP$2</f>
        <v/>
      </c>
      <c r="AN25" s="594">
        <f>SUM(AK25:AM25)</f>
        <v/>
      </c>
    </row>
    <row r="26" customFormat="1" s="591">
      <c r="A26" s="591" t="n"/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G26" s="591" t="n"/>
      <c r="H26" s="591">
        <f>+H25-F28</f>
        <v/>
      </c>
      <c r="I26" s="591" t="n"/>
      <c r="J26" s="591" t="n"/>
      <c r="K26" s="591" t="n"/>
      <c r="L26" s="591" t="n"/>
      <c r="M26" s="591" t="n"/>
      <c r="N26" s="591" t="n"/>
      <c r="O26" s="591" t="n"/>
      <c r="P26" s="663">
        <f>-S26</f>
        <v/>
      </c>
      <c r="Q26" s="594">
        <f>T25</f>
        <v/>
      </c>
      <c r="R26" s="594">
        <f>ROUND(Q26*$T$3,)</f>
        <v/>
      </c>
      <c r="S26" s="594">
        <f>-$H$2</f>
        <v/>
      </c>
      <c r="T26" s="686">
        <f>SUM(Q26:S26)</f>
        <v/>
      </c>
      <c r="V26" s="676">
        <f>+Y25</f>
        <v/>
      </c>
      <c r="W26" s="594">
        <f>ROUND(V26*$Y$6,)</f>
        <v/>
      </c>
      <c r="X26" s="591">
        <f>-$W$6</f>
        <v/>
      </c>
      <c r="Y26" s="594">
        <f>SUM(V26:X26)</f>
        <v/>
      </c>
      <c r="Z26" s="663">
        <f>-X26</f>
        <v/>
      </c>
      <c r="AA26" s="591" t="n"/>
      <c r="AB26" s="591" t="n"/>
      <c r="AC26" s="591" t="n"/>
      <c r="AJ26" s="591">
        <f>AJ25+1</f>
        <v/>
      </c>
      <c r="AK26" s="594">
        <f>AN25</f>
        <v/>
      </c>
      <c r="AL26" s="594">
        <f>ROUND(AK26*$AN$3,)</f>
        <v/>
      </c>
      <c r="AM26" s="594">
        <f>-$AP$2</f>
        <v/>
      </c>
      <c r="AN26" s="594">
        <f>SUM(AK26:AM26)</f>
        <v/>
      </c>
    </row>
    <row r="27" customFormat="1" s="591">
      <c r="A27" s="591" t="n"/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  <c r="G27" s="591" t="n"/>
      <c r="H27" s="591" t="n"/>
      <c r="I27" s="591" t="n"/>
      <c r="J27" s="591" t="n"/>
      <c r="K27" s="591" t="n"/>
      <c r="L27" s="591" t="n"/>
      <c r="M27" s="591" t="n"/>
      <c r="N27" s="591" t="n"/>
      <c r="O27" s="591" t="n"/>
      <c r="P27" s="663">
        <f>-S27</f>
        <v/>
      </c>
      <c r="Q27" s="594">
        <f>T26</f>
        <v/>
      </c>
      <c r="R27" s="594">
        <f>ROUND(Q27*$T$3,)</f>
        <v/>
      </c>
      <c r="S27" s="594">
        <f>-$H$2</f>
        <v/>
      </c>
      <c r="T27" s="686">
        <f>SUM(Q27:S27)</f>
        <v/>
      </c>
      <c r="V27" s="676">
        <f>+Y26</f>
        <v/>
      </c>
      <c r="W27" s="594">
        <f>ROUND(V27*$Y$6,)</f>
        <v/>
      </c>
      <c r="X27" s="591">
        <f>-$W$6</f>
        <v/>
      </c>
      <c r="Y27" s="594">
        <f>SUM(V27:X27)</f>
        <v/>
      </c>
      <c r="Z27" s="663">
        <f>-X27</f>
        <v/>
      </c>
      <c r="AA27" s="591" t="n"/>
      <c r="AB27" s="591" t="n"/>
      <c r="AC27" s="591" t="n"/>
      <c r="AJ27" s="591">
        <f>AJ26+1</f>
        <v/>
      </c>
      <c r="AK27" s="594">
        <f>AN26</f>
        <v/>
      </c>
      <c r="AL27" s="594">
        <f>ROUND(AK27*$AN$3,)</f>
        <v/>
      </c>
      <c r="AM27" s="594">
        <f>-$AP$2</f>
        <v/>
      </c>
      <c r="AN27" s="594">
        <f>SUM(AK27:AM27)</f>
        <v/>
      </c>
    </row>
    <row r="28" customFormat="1" s="591">
      <c r="A28" s="687" t="n"/>
      <c r="B28" s="687">
        <f>B27+1</f>
        <v/>
      </c>
      <c r="C28" s="683">
        <f>F27</f>
        <v/>
      </c>
      <c r="D28" s="683">
        <f>ROUND(C28*$F$3,)</f>
        <v/>
      </c>
      <c r="E28" s="683">
        <f>-$H$2</f>
        <v/>
      </c>
      <c r="F28" s="688">
        <f>SUM(C28:E28)</f>
        <v/>
      </c>
      <c r="G28" s="687" t="n"/>
      <c r="H28" s="689" t="inlineStr">
        <is>
          <t>기초</t>
        </is>
      </c>
      <c r="I28" s="689" t="inlineStr">
        <is>
          <t>이자수익</t>
        </is>
      </c>
      <c r="J28" s="689" t="inlineStr">
        <is>
          <t>리스료수령</t>
        </is>
      </c>
      <c r="K28" s="357" t="inlineStr">
        <is>
          <t>기말</t>
        </is>
      </c>
      <c r="L28" s="687" t="n"/>
      <c r="M28" s="687" t="n"/>
      <c r="N28" s="687" t="n"/>
      <c r="O28" s="591" t="n"/>
      <c r="P28" s="663">
        <f>-S28</f>
        <v/>
      </c>
      <c r="Q28" s="594">
        <f>T27</f>
        <v/>
      </c>
      <c r="R28" s="594">
        <f>ROUND(Q28*$T$3,)</f>
        <v/>
      </c>
      <c r="S28" s="594">
        <f>-$H$2</f>
        <v/>
      </c>
      <c r="T28" s="686">
        <f>SUM(Q28:S28)</f>
        <v/>
      </c>
      <c r="V28" s="676">
        <f>+Y27</f>
        <v/>
      </c>
      <c r="W28" s="594">
        <f>ROUND(V28*$Y$6,)</f>
        <v/>
      </c>
      <c r="X28" s="591">
        <f>-$W$6</f>
        <v/>
      </c>
      <c r="Y28" s="594">
        <f>SUM(V28:X28)</f>
        <v/>
      </c>
      <c r="Z28" s="663">
        <f>-X28</f>
        <v/>
      </c>
      <c r="AA28" s="591" t="n"/>
      <c r="AB28" s="591" t="n"/>
      <c r="AC28" s="591" t="n"/>
      <c r="AJ28" s="591">
        <f>AJ27+1</f>
        <v/>
      </c>
      <c r="AK28" s="594">
        <f>AN27</f>
        <v/>
      </c>
      <c r="AL28" s="594">
        <f>ROUND(AK28*$AN$3,)</f>
        <v/>
      </c>
      <c r="AM28" s="594">
        <f>-$AP$2</f>
        <v/>
      </c>
      <c r="AN28" s="594">
        <f>SUM(AK28:AM28)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  <c r="H29" s="609">
        <f>+F28</f>
        <v/>
      </c>
      <c r="I29" s="594">
        <f>ROUND(H29*$K$25,)</f>
        <v/>
      </c>
      <c r="J29" s="594">
        <f>-$I$25</f>
        <v/>
      </c>
      <c r="K29" s="594">
        <f>SUM(H29:J29)</f>
        <v/>
      </c>
      <c r="P29" s="663">
        <f>-S29</f>
        <v/>
      </c>
      <c r="Q29" s="594">
        <f>T28</f>
        <v/>
      </c>
      <c r="R29" s="594">
        <f>ROUND(Q29*$T$3,)</f>
        <v/>
      </c>
      <c r="S29" s="594">
        <f>-$H$2</f>
        <v/>
      </c>
      <c r="T29" s="686">
        <f>SUM(Q29:S29)</f>
        <v/>
      </c>
      <c r="V29" s="676">
        <f>+Y28</f>
        <v/>
      </c>
      <c r="W29" s="594">
        <f>ROUND(V29*$Y$6,)</f>
        <v/>
      </c>
      <c r="X29" s="591">
        <f>-$W$6</f>
        <v/>
      </c>
      <c r="Y29" s="594">
        <f>SUM(V29:X29)</f>
        <v/>
      </c>
      <c r="Z29" s="663">
        <f>-X29</f>
        <v/>
      </c>
      <c r="AJ29" s="591">
        <f>AJ28+1</f>
        <v/>
      </c>
      <c r="AK29" s="594">
        <f>AN28</f>
        <v/>
      </c>
      <c r="AL29" s="594">
        <f>ROUND(AK29*$AN$3,)</f>
        <v/>
      </c>
      <c r="AM29" s="594">
        <f>-$AP$2</f>
        <v/>
      </c>
      <c r="AN29" s="594">
        <f>SUM(AK29:AM29)</f>
        <v/>
      </c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  <c r="H30" s="594">
        <f>+K29</f>
        <v/>
      </c>
      <c r="I30" s="594">
        <f>ROUND(H30*$K$25,)</f>
        <v/>
      </c>
      <c r="J30" s="594">
        <f>-$I$25</f>
        <v/>
      </c>
      <c r="K30" s="594">
        <f>SUM(H30:J30)</f>
        <v/>
      </c>
      <c r="P30" s="663">
        <f>-S30</f>
        <v/>
      </c>
      <c r="Q30" s="594">
        <f>T29</f>
        <v/>
      </c>
      <c r="R30" s="594">
        <f>ROUND(Q30*$T$3,)</f>
        <v/>
      </c>
      <c r="S30" s="594">
        <f>-$H$2</f>
        <v/>
      </c>
      <c r="T30" s="594">
        <f>SUM(Q30:S30)</f>
        <v/>
      </c>
      <c r="V30" s="676">
        <f>+Y29</f>
        <v/>
      </c>
      <c r="W30" s="594">
        <f>ROUND(V30*$Y$6,)</f>
        <v/>
      </c>
      <c r="X30" s="591">
        <f>-$W$6</f>
        <v/>
      </c>
      <c r="Y30" s="594">
        <f>SUM(V30:X30)</f>
        <v/>
      </c>
      <c r="Z30" s="663">
        <f>-X30</f>
        <v/>
      </c>
      <c r="AJ30" s="591">
        <f>AJ29+1</f>
        <v/>
      </c>
      <c r="AK30" s="594">
        <f>AN29</f>
        <v/>
      </c>
      <c r="AL30" s="594">
        <f>ROUND(AK30*$AN$3,)</f>
        <v/>
      </c>
      <c r="AM30" s="594">
        <f>-$AP$2</f>
        <v/>
      </c>
      <c r="AN30" s="594">
        <f>SUM(AK30:AM30)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  <c r="H31" s="594">
        <f>+K30</f>
        <v/>
      </c>
      <c r="I31" s="594">
        <f>ROUND(H31*$K$25,)</f>
        <v/>
      </c>
      <c r="J31" s="594">
        <f>-$I$25</f>
        <v/>
      </c>
      <c r="K31" s="594">
        <f>SUM(H31:J31)</f>
        <v/>
      </c>
      <c r="P31" s="663">
        <f>-S31</f>
        <v/>
      </c>
      <c r="Q31" s="594">
        <f>T30</f>
        <v/>
      </c>
      <c r="R31" s="594">
        <f>ROUND(Q31*$T$3,)</f>
        <v/>
      </c>
      <c r="S31" s="594">
        <f>-$H$2</f>
        <v/>
      </c>
      <c r="T31" s="594">
        <f>SUM(Q31:S31)</f>
        <v/>
      </c>
      <c r="V31" s="676">
        <f>+Y30</f>
        <v/>
      </c>
      <c r="W31" s="594">
        <f>ROUND(V31*$Y$6,)</f>
        <v/>
      </c>
      <c r="X31" s="591">
        <f>-$W$6</f>
        <v/>
      </c>
      <c r="Y31" s="594">
        <f>SUM(V31:X31)</f>
        <v/>
      </c>
      <c r="Z31" s="663">
        <f>-X31</f>
        <v/>
      </c>
      <c r="AJ31" s="591">
        <f>AJ30+1</f>
        <v/>
      </c>
      <c r="AK31" s="594">
        <f>AN30</f>
        <v/>
      </c>
      <c r="AL31" s="594">
        <f>ROUND(AK31*$AN$3,)</f>
        <v/>
      </c>
      <c r="AM31" s="594">
        <f>-$AP$2</f>
        <v/>
      </c>
      <c r="AN31" s="594">
        <f>SUM(AK31:AM31)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  <c r="H32" s="594">
        <f>+K31</f>
        <v/>
      </c>
      <c r="I32" s="594">
        <f>ROUND(H32*$K$25,)</f>
        <v/>
      </c>
      <c r="J32" s="594">
        <f>-$I$25</f>
        <v/>
      </c>
      <c r="K32" s="594">
        <f>SUM(H32:J32)</f>
        <v/>
      </c>
      <c r="P32" s="663">
        <f>-S32</f>
        <v/>
      </c>
      <c r="Q32" s="594">
        <f>T31</f>
        <v/>
      </c>
      <c r="R32" s="594">
        <f>ROUND(Q32*$T$3,)</f>
        <v/>
      </c>
      <c r="S32" s="594">
        <f>-$H$2</f>
        <v/>
      </c>
      <c r="T32" s="594">
        <f>SUM(Q32:S32)</f>
        <v/>
      </c>
      <c r="V32" s="676">
        <f>+Y31</f>
        <v/>
      </c>
      <c r="W32" s="594">
        <f>ROUND(V32*$Y$6,)</f>
        <v/>
      </c>
      <c r="X32" s="591">
        <f>-$W$6</f>
        <v/>
      </c>
      <c r="Y32" s="594">
        <f>SUM(V32:X32)</f>
        <v/>
      </c>
      <c r="Z32" s="663">
        <f>-X32</f>
        <v/>
      </c>
      <c r="AJ32" s="591">
        <f>AJ31+1</f>
        <v/>
      </c>
      <c r="AK32" s="594">
        <f>AN31</f>
        <v/>
      </c>
      <c r="AL32" s="594">
        <f>ROUND(AK32*$AN$3,)</f>
        <v/>
      </c>
      <c r="AM32" s="594">
        <f>-$AP$2</f>
        <v/>
      </c>
      <c r="AN32" s="594">
        <f>SUM(AK32:AM32)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  <c r="H33" s="594">
        <f>+K32</f>
        <v/>
      </c>
      <c r="I33" s="594">
        <f>ROUND(H33*$K$25,)</f>
        <v/>
      </c>
      <c r="J33" s="594">
        <f>-$I$25</f>
        <v/>
      </c>
      <c r="K33" s="594">
        <f>SUM(H33:J33)</f>
        <v/>
      </c>
      <c r="P33" s="663">
        <f>-S33</f>
        <v/>
      </c>
      <c r="Q33" s="594">
        <f>T32</f>
        <v/>
      </c>
      <c r="R33" s="594">
        <f>ROUND(Q33*$T$3,)</f>
        <v/>
      </c>
      <c r="S33" s="594">
        <f>-$H$2</f>
        <v/>
      </c>
      <c r="T33" s="594">
        <f>SUM(Q33:S33)</f>
        <v/>
      </c>
      <c r="V33" s="676">
        <f>+Y32</f>
        <v/>
      </c>
      <c r="W33" s="594">
        <f>ROUND(V33*$Y$6,)</f>
        <v/>
      </c>
      <c r="X33" s="591">
        <f>-$W$6</f>
        <v/>
      </c>
      <c r="Y33" s="594">
        <f>SUM(V33:X33)</f>
        <v/>
      </c>
      <c r="Z33" s="663">
        <f>-X33</f>
        <v/>
      </c>
      <c r="AJ33" s="591">
        <f>AJ32+1</f>
        <v/>
      </c>
      <c r="AK33" s="594">
        <f>AN32</f>
        <v/>
      </c>
      <c r="AL33" s="594">
        <f>ROUND(AK33*$AN$3,)</f>
        <v/>
      </c>
      <c r="AM33" s="594">
        <f>-$AP$2</f>
        <v/>
      </c>
      <c r="AN33" s="594">
        <f>SUM(AK33:AM33)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  <c r="H34" s="594">
        <f>+K33</f>
        <v/>
      </c>
      <c r="I34" s="594">
        <f>ROUND(H34*$K$25,)</f>
        <v/>
      </c>
      <c r="J34" s="594">
        <f>-$I$25</f>
        <v/>
      </c>
      <c r="K34" s="594">
        <f>SUM(H34:J34)</f>
        <v/>
      </c>
      <c r="P34" s="663">
        <f>-S34</f>
        <v/>
      </c>
      <c r="Q34" s="594">
        <f>T33</f>
        <v/>
      </c>
      <c r="R34" s="594">
        <f>ROUND(Q34*$T$3,)</f>
        <v/>
      </c>
      <c r="S34" s="594">
        <f>-$H$2</f>
        <v/>
      </c>
      <c r="T34" s="594">
        <f>SUM(Q34:S34)</f>
        <v/>
      </c>
      <c r="V34" s="676">
        <f>+Y33</f>
        <v/>
      </c>
      <c r="W34" s="594">
        <f>ROUND(V34*$Y$6,)</f>
        <v/>
      </c>
      <c r="X34" s="591">
        <f>-$W$6</f>
        <v/>
      </c>
      <c r="Y34" s="594">
        <f>SUM(V34:X34)</f>
        <v/>
      </c>
      <c r="Z34" s="663">
        <f>-X34</f>
        <v/>
      </c>
      <c r="AJ34" s="591">
        <f>AJ33+1</f>
        <v/>
      </c>
      <c r="AK34" s="594">
        <f>AN33</f>
        <v/>
      </c>
      <c r="AL34" s="594">
        <f>ROUND(AK34*$AN$3,)</f>
        <v/>
      </c>
      <c r="AM34" s="594">
        <f>-$AP$2</f>
        <v/>
      </c>
      <c r="AN34" s="594">
        <f>SUM(AK34:AM34)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  <c r="H35" s="594">
        <f>+K34</f>
        <v/>
      </c>
      <c r="I35" s="594">
        <f>ROUND(H35*$K$25,)</f>
        <v/>
      </c>
      <c r="J35" s="594">
        <f>-$I$25</f>
        <v/>
      </c>
      <c r="K35" s="594">
        <f>SUM(H35:J35)</f>
        <v/>
      </c>
      <c r="P35" s="663">
        <f>-S35</f>
        <v/>
      </c>
      <c r="Q35" s="594">
        <f>T34</f>
        <v/>
      </c>
      <c r="R35" s="594">
        <f>ROUND(Q35*$T$3,)</f>
        <v/>
      </c>
      <c r="S35" s="594">
        <f>-$H$2</f>
        <v/>
      </c>
      <c r="T35" s="594">
        <f>SUM(Q35:S35)</f>
        <v/>
      </c>
      <c r="V35" s="676">
        <f>+Y34</f>
        <v/>
      </c>
      <c r="W35" s="594">
        <f>ROUND(V35*$Y$6,)</f>
        <v/>
      </c>
      <c r="X35" s="591">
        <f>-$W$6</f>
        <v/>
      </c>
      <c r="Y35" s="594">
        <f>SUM(V35:X35)</f>
        <v/>
      </c>
      <c r="Z35" s="663">
        <f>-X35</f>
        <v/>
      </c>
      <c r="AJ35" s="591">
        <f>AJ34+1</f>
        <v/>
      </c>
      <c r="AK35" s="594">
        <f>AN34</f>
        <v/>
      </c>
      <c r="AL35" s="594">
        <f>ROUND(AK35*$AN$3,)</f>
        <v/>
      </c>
      <c r="AM35" s="594">
        <f>-$AP$2</f>
        <v/>
      </c>
      <c r="AN35" s="594">
        <f>SUM(AK35:AM35)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  <c r="H36" s="594">
        <f>+K35</f>
        <v/>
      </c>
      <c r="I36" s="594">
        <f>ROUND(H36*$K$25,)</f>
        <v/>
      </c>
      <c r="J36" s="594">
        <f>-$I$25</f>
        <v/>
      </c>
      <c r="K36" s="594">
        <f>SUM(H36:J36)</f>
        <v/>
      </c>
      <c r="P36" s="663">
        <f>-S36</f>
        <v/>
      </c>
      <c r="Q36" s="594">
        <f>T35</f>
        <v/>
      </c>
      <c r="R36" s="594">
        <f>ROUND(Q36*$T$3,)</f>
        <v/>
      </c>
      <c r="S36" s="594">
        <f>-$H$2</f>
        <v/>
      </c>
      <c r="T36" s="594">
        <f>SUM(Q36:S36)</f>
        <v/>
      </c>
      <c r="V36" s="676">
        <f>+Y35</f>
        <v/>
      </c>
      <c r="W36" s="594">
        <f>ROUND(V36*$Y$6,)</f>
        <v/>
      </c>
      <c r="X36" s="591">
        <f>-$W$6</f>
        <v/>
      </c>
      <c r="Y36" s="594">
        <f>SUM(V36:X36)</f>
        <v/>
      </c>
      <c r="Z36" s="663">
        <f>-X36</f>
        <v/>
      </c>
      <c r="AJ36" s="591">
        <f>AJ35+1</f>
        <v/>
      </c>
      <c r="AK36" s="594">
        <f>AN35</f>
        <v/>
      </c>
      <c r="AL36" s="594">
        <f>ROUND(AK36*$AN$3,)</f>
        <v/>
      </c>
      <c r="AM36" s="594">
        <f>-$AP$2</f>
        <v/>
      </c>
      <c r="AN36" s="594">
        <f>SUM(AK36:AM36)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  <c r="H37" s="594">
        <f>+K36</f>
        <v/>
      </c>
      <c r="I37" s="594">
        <f>ROUND(H37*$K$25,)</f>
        <v/>
      </c>
      <c r="J37" s="594">
        <f>-$I$25</f>
        <v/>
      </c>
      <c r="K37" s="594">
        <f>SUM(H37:J37)</f>
        <v/>
      </c>
      <c r="P37" s="663">
        <f>-S37</f>
        <v/>
      </c>
      <c r="Q37" s="594">
        <f>T36</f>
        <v/>
      </c>
      <c r="R37" s="594">
        <f>ROUND(Q37*$T$3,)</f>
        <v/>
      </c>
      <c r="S37" s="594">
        <f>-$H$2</f>
        <v/>
      </c>
      <c r="T37" s="594">
        <f>SUM(Q37:S37)</f>
        <v/>
      </c>
      <c r="V37" s="676">
        <f>+Y36</f>
        <v/>
      </c>
      <c r="W37" s="594">
        <f>ROUND(V37*$Y$6,)</f>
        <v/>
      </c>
      <c r="X37" s="591">
        <f>-$W$6</f>
        <v/>
      </c>
      <c r="Y37" s="594">
        <f>SUM(V37:X37)</f>
        <v/>
      </c>
      <c r="Z37" s="663">
        <f>-X37</f>
        <v/>
      </c>
      <c r="AJ37" s="591">
        <f>AJ36+1</f>
        <v/>
      </c>
      <c r="AK37" s="594">
        <f>AN36</f>
        <v/>
      </c>
      <c r="AL37" s="594">
        <f>ROUND(AK37*$AN$3,)</f>
        <v/>
      </c>
      <c r="AM37" s="594">
        <f>-$AP$2</f>
        <v/>
      </c>
      <c r="AN37" s="594">
        <f>SUM(AK37:AM37)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  <c r="H38" s="594">
        <f>+K37</f>
        <v/>
      </c>
      <c r="I38" s="594">
        <f>ROUND(H38*$K$25,)</f>
        <v/>
      </c>
      <c r="J38" s="594">
        <f>-$I$25</f>
        <v/>
      </c>
      <c r="K38" s="594">
        <f>SUM(H38:J38)</f>
        <v/>
      </c>
      <c r="P38" s="663">
        <f>-S38</f>
        <v/>
      </c>
      <c r="Q38" s="594">
        <f>T37</f>
        <v/>
      </c>
      <c r="R38" s="594">
        <f>ROUND(Q38*$T$3,)</f>
        <v/>
      </c>
      <c r="S38" s="594">
        <f>-$H$2</f>
        <v/>
      </c>
      <c r="T38" s="594">
        <f>SUM(Q38:S38)</f>
        <v/>
      </c>
      <c r="V38" s="676">
        <f>+Y37</f>
        <v/>
      </c>
      <c r="W38" s="594">
        <f>ROUND(V38*$Y$6,)</f>
        <v/>
      </c>
      <c r="X38" s="591">
        <f>-$W$6</f>
        <v/>
      </c>
      <c r="Y38" s="594">
        <f>SUM(V38:X38)</f>
        <v/>
      </c>
      <c r="Z38" s="663">
        <f>-X38</f>
        <v/>
      </c>
      <c r="AJ38" s="591">
        <f>AJ37+1</f>
        <v/>
      </c>
      <c r="AK38" s="594">
        <f>AN37</f>
        <v/>
      </c>
      <c r="AL38" s="594">
        <f>ROUND(AK38*$AN$3,)</f>
        <v/>
      </c>
      <c r="AM38" s="594">
        <f>-$AP$2</f>
        <v/>
      </c>
      <c r="AN38" s="594">
        <f>SUM(AK38:AM38)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  <c r="H39" s="594">
        <f>+K38</f>
        <v/>
      </c>
      <c r="I39" s="594">
        <f>ROUND(H39*$K$25,)</f>
        <v/>
      </c>
      <c r="J39" s="594">
        <f>-$I$25</f>
        <v/>
      </c>
      <c r="K39" s="594">
        <f>SUM(H39:J39)</f>
        <v/>
      </c>
      <c r="P39" s="663">
        <f>-S39</f>
        <v/>
      </c>
      <c r="Q39" s="594">
        <f>T38</f>
        <v/>
      </c>
      <c r="R39" s="594">
        <f>ROUND(Q39*$T$3,)</f>
        <v/>
      </c>
      <c r="S39" s="594">
        <f>-$H$2</f>
        <v/>
      </c>
      <c r="T39" s="594">
        <f>SUM(Q39:S39)</f>
        <v/>
      </c>
      <c r="V39" s="676">
        <f>+Y38</f>
        <v/>
      </c>
      <c r="W39" s="594">
        <f>ROUND(V39*$Y$6,)</f>
        <v/>
      </c>
      <c r="X39" s="591">
        <f>-$W$6</f>
        <v/>
      </c>
      <c r="Y39" s="594">
        <f>SUM(V39:X39)</f>
        <v/>
      </c>
      <c r="Z39" s="663">
        <f>-X39</f>
        <v/>
      </c>
      <c r="AJ39" s="591">
        <f>AJ38+1</f>
        <v/>
      </c>
      <c r="AK39" s="594">
        <f>AN38</f>
        <v/>
      </c>
      <c r="AL39" s="594">
        <f>ROUND(AK39*$AN$3,)</f>
        <v/>
      </c>
      <c r="AM39" s="594">
        <f>-$AP$2</f>
        <v/>
      </c>
      <c r="AN39" s="594">
        <f>SUM(AK39:AM39)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  <c r="H40" s="594">
        <f>+K39</f>
        <v/>
      </c>
      <c r="I40" s="594">
        <f>ROUND(H40*$K$25,)</f>
        <v/>
      </c>
      <c r="J40" s="594">
        <f>-$I$25</f>
        <v/>
      </c>
      <c r="K40" s="594">
        <f>SUM(H40:J40)</f>
        <v/>
      </c>
      <c r="P40" s="663">
        <f>-S40</f>
        <v/>
      </c>
      <c r="Q40" s="594">
        <f>T39</f>
        <v/>
      </c>
      <c r="R40" s="594">
        <f>ROUND(Q40*$T$3,)</f>
        <v/>
      </c>
      <c r="S40" s="594">
        <f>-$H$2</f>
        <v/>
      </c>
      <c r="T40" s="594">
        <f>SUM(Q40:S40)</f>
        <v/>
      </c>
      <c r="V40" s="676">
        <f>+Y39</f>
        <v/>
      </c>
      <c r="W40" s="594">
        <f>ROUND(V40*$Y$6,)</f>
        <v/>
      </c>
      <c r="X40" s="591">
        <f>-$W$6</f>
        <v/>
      </c>
      <c r="Y40" s="594">
        <f>SUM(V40:X40)</f>
        <v/>
      </c>
      <c r="Z40" s="663">
        <f>-X40</f>
        <v/>
      </c>
      <c r="AJ40" s="591">
        <f>AJ39+1</f>
        <v/>
      </c>
      <c r="AK40" s="594">
        <f>AN39</f>
        <v/>
      </c>
      <c r="AL40" s="594">
        <f>ROUND(AK40*$AN$3,)</f>
        <v/>
      </c>
      <c r="AM40" s="594">
        <f>-$AP$2</f>
        <v/>
      </c>
      <c r="AN40" s="594">
        <f>SUM(AK40:AM40)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  <c r="H41" s="594">
        <f>+K40</f>
        <v/>
      </c>
      <c r="I41" s="594">
        <f>ROUND(H41*$K$25,)</f>
        <v/>
      </c>
      <c r="J41" s="594">
        <f>-$I$25</f>
        <v/>
      </c>
      <c r="K41" s="594">
        <f>SUM(H41:J41)</f>
        <v/>
      </c>
      <c r="P41" s="663">
        <f>-S41</f>
        <v/>
      </c>
      <c r="Q41" s="594">
        <f>T40</f>
        <v/>
      </c>
      <c r="R41" s="594">
        <f>ROUND(Q41*$T$3,)</f>
        <v/>
      </c>
      <c r="S41" s="594">
        <f>-$H$2</f>
        <v/>
      </c>
      <c r="T41" s="594">
        <f>SUM(Q41:S41)</f>
        <v/>
      </c>
      <c r="V41" s="676">
        <f>+Y40</f>
        <v/>
      </c>
      <c r="W41" s="594">
        <f>ROUND(V41*$Y$6,)</f>
        <v/>
      </c>
      <c r="X41" s="591">
        <f>-$W$6</f>
        <v/>
      </c>
      <c r="Y41" s="594">
        <f>SUM(V41:X41)</f>
        <v/>
      </c>
      <c r="Z41" s="663">
        <f>-X41</f>
        <v/>
      </c>
      <c r="AJ41" s="591">
        <f>AJ40+1</f>
        <v/>
      </c>
      <c r="AK41" s="594">
        <f>AN40</f>
        <v/>
      </c>
      <c r="AL41" s="594">
        <f>ROUND(AK41*$AN$3,)</f>
        <v/>
      </c>
      <c r="AM41" s="594">
        <f>-$AP$2</f>
        <v/>
      </c>
      <c r="AN41" s="594">
        <f>SUM(AK41:AM41)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  <c r="H42" s="594">
        <f>+K41</f>
        <v/>
      </c>
      <c r="I42" s="594">
        <f>ROUND(H42*$K$25,)</f>
        <v/>
      </c>
      <c r="J42" s="594">
        <f>-$I$25</f>
        <v/>
      </c>
      <c r="K42" s="594">
        <f>SUM(H42:J42)</f>
        <v/>
      </c>
      <c r="P42" s="663">
        <f>-S42</f>
        <v/>
      </c>
      <c r="Q42" s="594">
        <f>T41</f>
        <v/>
      </c>
      <c r="R42" s="594">
        <f>ROUND(Q42*$T$3,)</f>
        <v/>
      </c>
      <c r="S42" s="594">
        <f>-$H$2</f>
        <v/>
      </c>
      <c r="T42" s="594">
        <f>SUM(Q42:S42)</f>
        <v/>
      </c>
      <c r="V42" s="676">
        <f>+Y41</f>
        <v/>
      </c>
      <c r="W42" s="594">
        <f>ROUND(V42*$Y$6,)</f>
        <v/>
      </c>
      <c r="X42" s="591">
        <f>-$W$6</f>
        <v/>
      </c>
      <c r="Y42" s="594">
        <f>SUM(V42:X42)</f>
        <v/>
      </c>
      <c r="Z42" s="663">
        <f>-X42</f>
        <v/>
      </c>
      <c r="AJ42" s="591">
        <f>AJ41+1</f>
        <v/>
      </c>
      <c r="AK42" s="594">
        <f>AN41</f>
        <v/>
      </c>
      <c r="AL42" s="594">
        <f>ROUND(AK42*$AN$3,)</f>
        <v/>
      </c>
      <c r="AM42" s="594">
        <f>-$AP$2</f>
        <v/>
      </c>
      <c r="AN42" s="594">
        <f>SUM(AK42:AM42)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  <c r="H43" s="594">
        <f>+K42</f>
        <v/>
      </c>
      <c r="I43" s="594">
        <f>ROUND(H43*$K$25,)</f>
        <v/>
      </c>
      <c r="J43" s="594">
        <f>-$I$25</f>
        <v/>
      </c>
      <c r="K43" s="594">
        <f>SUM(H43:J43)</f>
        <v/>
      </c>
      <c r="P43" s="663">
        <f>-S43</f>
        <v/>
      </c>
      <c r="Q43" s="594">
        <f>T42</f>
        <v/>
      </c>
      <c r="R43" s="594">
        <f>ROUND(Q43*$T$3,)</f>
        <v/>
      </c>
      <c r="S43" s="594">
        <f>-$H$2</f>
        <v/>
      </c>
      <c r="T43" s="594">
        <f>SUM(Q43:S43)</f>
        <v/>
      </c>
      <c r="V43" s="676">
        <f>+Y42</f>
        <v/>
      </c>
      <c r="W43" s="594">
        <f>ROUND(V43*$Y$6,)</f>
        <v/>
      </c>
      <c r="X43" s="591">
        <f>-$W$6</f>
        <v/>
      </c>
      <c r="Y43" s="594">
        <f>SUM(V43:X43)</f>
        <v/>
      </c>
      <c r="Z43" s="663">
        <f>-X43</f>
        <v/>
      </c>
      <c r="AJ43" s="591">
        <f>AJ42+1</f>
        <v/>
      </c>
      <c r="AK43" s="594">
        <f>AN42</f>
        <v/>
      </c>
      <c r="AL43" s="594">
        <f>ROUND(AK43*$AN$3,)</f>
        <v/>
      </c>
      <c r="AM43" s="594">
        <f>-$AP$2</f>
        <v/>
      </c>
      <c r="AN43" s="594">
        <f>SUM(AK43:AM43)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  <c r="H44" s="594">
        <f>+K43</f>
        <v/>
      </c>
      <c r="I44" s="594">
        <f>ROUND(H44*$K$25,)</f>
        <v/>
      </c>
      <c r="J44" s="594">
        <f>-$I$25</f>
        <v/>
      </c>
      <c r="K44" s="594">
        <f>SUM(H44:J44)</f>
        <v/>
      </c>
      <c r="P44" s="663">
        <f>-S44</f>
        <v/>
      </c>
      <c r="Q44" s="594">
        <f>T43</f>
        <v/>
      </c>
      <c r="R44" s="594">
        <f>ROUND(Q44*$T$3,)</f>
        <v/>
      </c>
      <c r="S44" s="594">
        <f>-$H$2</f>
        <v/>
      </c>
      <c r="T44" s="594">
        <f>SUM(Q44:S44)</f>
        <v/>
      </c>
      <c r="V44" s="676">
        <f>+Y43</f>
        <v/>
      </c>
      <c r="W44" s="594">
        <f>ROUND(V44*$Y$6,)</f>
        <v/>
      </c>
      <c r="X44" s="591">
        <f>-$W$6</f>
        <v/>
      </c>
      <c r="Y44" s="594">
        <f>SUM(V44:X44)</f>
        <v/>
      </c>
      <c r="Z44" s="663">
        <f>-X44</f>
        <v/>
      </c>
      <c r="AJ44" s="591">
        <f>AJ43+1</f>
        <v/>
      </c>
      <c r="AK44" s="594">
        <f>AN43</f>
        <v/>
      </c>
      <c r="AL44" s="594">
        <f>ROUND(AK44*$AN$3,)</f>
        <v/>
      </c>
      <c r="AM44" s="594">
        <f>-$AP$2</f>
        <v/>
      </c>
      <c r="AN44" s="594">
        <f>SUM(AK44:AM44)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  <c r="H45" s="594">
        <f>+K44</f>
        <v/>
      </c>
      <c r="I45" s="594">
        <f>ROUND(H45*$K$25,)</f>
        <v/>
      </c>
      <c r="J45" s="594">
        <f>-$I$25</f>
        <v/>
      </c>
      <c r="K45" s="594">
        <f>SUM(H45:J45)</f>
        <v/>
      </c>
      <c r="P45" s="663">
        <f>-S45</f>
        <v/>
      </c>
      <c r="Q45" s="594">
        <f>T44</f>
        <v/>
      </c>
      <c r="R45" s="594">
        <f>ROUND(Q45*$T$3,)</f>
        <v/>
      </c>
      <c r="S45" s="594">
        <f>-$H$2</f>
        <v/>
      </c>
      <c r="T45" s="594">
        <f>SUM(Q45:S45)</f>
        <v/>
      </c>
      <c r="V45" s="676">
        <f>+Y44</f>
        <v/>
      </c>
      <c r="W45" s="594">
        <f>ROUND(V45*$Y$6,)</f>
        <v/>
      </c>
      <c r="X45" s="591">
        <f>-$W$6</f>
        <v/>
      </c>
      <c r="Y45" s="594">
        <f>SUM(V45:X45)</f>
        <v/>
      </c>
      <c r="Z45" s="663">
        <f>-X45</f>
        <v/>
      </c>
      <c r="AJ45" s="591">
        <f>AJ44+1</f>
        <v/>
      </c>
      <c r="AK45" s="594">
        <f>AN44</f>
        <v/>
      </c>
      <c r="AL45" s="594">
        <f>ROUND(AK45*$AN$3,)</f>
        <v/>
      </c>
      <c r="AM45" s="594">
        <f>-$AP$2</f>
        <v/>
      </c>
      <c r="AN45" s="594">
        <f>SUM(AK45:AM45)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  <c r="H46" s="594">
        <f>+K45</f>
        <v/>
      </c>
      <c r="I46" s="594">
        <f>ROUND(H46*$K$25,)</f>
        <v/>
      </c>
      <c r="J46" s="594">
        <f>-$I$25</f>
        <v/>
      </c>
      <c r="K46" s="594">
        <f>SUM(H46:J46)</f>
        <v/>
      </c>
      <c r="P46" s="663">
        <f>-S46</f>
        <v/>
      </c>
      <c r="Q46" s="594">
        <f>T45</f>
        <v/>
      </c>
      <c r="R46" s="594">
        <f>ROUND(Q46*$T$3,)</f>
        <v/>
      </c>
      <c r="S46" s="594">
        <f>-$H$2</f>
        <v/>
      </c>
      <c r="T46" s="594">
        <f>SUM(Q46:S46)</f>
        <v/>
      </c>
      <c r="V46" s="676">
        <f>+Y45</f>
        <v/>
      </c>
      <c r="W46" s="594">
        <f>ROUND(V46*$Y$6,)</f>
        <v/>
      </c>
      <c r="X46" s="591">
        <f>-$W$6</f>
        <v/>
      </c>
      <c r="Y46" s="594">
        <f>SUM(V46:X46)</f>
        <v/>
      </c>
      <c r="Z46" s="663">
        <f>-X46</f>
        <v/>
      </c>
      <c r="AJ46" s="591">
        <f>AJ45+1</f>
        <v/>
      </c>
      <c r="AK46" s="594">
        <f>AN45</f>
        <v/>
      </c>
      <c r="AL46" s="594">
        <f>ROUND(AK46*$AN$3,)</f>
        <v/>
      </c>
      <c r="AM46" s="594">
        <f>-$AP$2</f>
        <v/>
      </c>
      <c r="AN46" s="594">
        <f>SUM(AK46:AM46)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  <c r="H47" s="594">
        <f>+K46</f>
        <v/>
      </c>
      <c r="I47" s="594">
        <f>ROUND(H47*$K$25,)</f>
        <v/>
      </c>
      <c r="J47" s="594">
        <f>-$I$25</f>
        <v/>
      </c>
      <c r="K47" s="594">
        <f>SUM(H47:J47)</f>
        <v/>
      </c>
      <c r="P47" s="663">
        <f>-S47</f>
        <v/>
      </c>
      <c r="Q47" s="594">
        <f>T46</f>
        <v/>
      </c>
      <c r="R47" s="594">
        <f>ROUND(Q47*$T$3,)</f>
        <v/>
      </c>
      <c r="S47" s="594">
        <f>-$H$2</f>
        <v/>
      </c>
      <c r="T47" s="594">
        <f>SUM(Q47:S47)</f>
        <v/>
      </c>
      <c r="V47" s="676">
        <f>+Y46</f>
        <v/>
      </c>
      <c r="W47" s="594">
        <f>ROUND(V47*$Y$6,)</f>
        <v/>
      </c>
      <c r="X47" s="591">
        <f>-$W$6</f>
        <v/>
      </c>
      <c r="Y47" s="594">
        <f>SUM(V47:X47)</f>
        <v/>
      </c>
      <c r="Z47" s="663">
        <f>-X47</f>
        <v/>
      </c>
      <c r="AJ47" s="591">
        <f>AJ46+1</f>
        <v/>
      </c>
      <c r="AK47" s="594">
        <f>AN46</f>
        <v/>
      </c>
      <c r="AL47" s="594">
        <f>ROUND(AK47*$AN$3,)</f>
        <v/>
      </c>
      <c r="AM47" s="594">
        <f>-$AP$2</f>
        <v/>
      </c>
      <c r="AN47" s="594">
        <f>SUM(AK47:AM47)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  <c r="H48" s="594">
        <f>+K47</f>
        <v/>
      </c>
      <c r="I48" s="594">
        <f>ROUND(H48*$K$25,)</f>
        <v/>
      </c>
      <c r="J48" s="594">
        <f>-$I$25</f>
        <v/>
      </c>
      <c r="K48" s="594">
        <f>SUM(H48:J48)</f>
        <v/>
      </c>
      <c r="P48" s="663">
        <f>-S48</f>
        <v/>
      </c>
      <c r="Q48" s="594">
        <f>T47</f>
        <v/>
      </c>
      <c r="R48" s="594">
        <f>ROUND(Q48*$T$3,)</f>
        <v/>
      </c>
      <c r="S48" s="594">
        <f>-$H$2</f>
        <v/>
      </c>
      <c r="T48" s="594">
        <f>SUM(Q48:S48)</f>
        <v/>
      </c>
      <c r="V48" s="676">
        <f>+Y47</f>
        <v/>
      </c>
      <c r="W48" s="594">
        <f>ROUND(V48*$Y$6,)</f>
        <v/>
      </c>
      <c r="X48" s="591">
        <f>-$W$6</f>
        <v/>
      </c>
      <c r="Y48" s="594">
        <f>SUM(V48:X48)</f>
        <v/>
      </c>
      <c r="Z48" s="663">
        <f>-X48</f>
        <v/>
      </c>
      <c r="AJ48" s="591">
        <f>AJ47+1</f>
        <v/>
      </c>
      <c r="AK48" s="594">
        <f>AN47</f>
        <v/>
      </c>
      <c r="AL48" s="594">
        <f>ROUND(AK48*$AN$3,)</f>
        <v/>
      </c>
      <c r="AM48" s="594">
        <f>-$AP$2</f>
        <v/>
      </c>
      <c r="AN48" s="594">
        <f>SUM(AK48:AM48)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  <c r="H49" s="594">
        <f>+K48</f>
        <v/>
      </c>
      <c r="I49" s="594">
        <f>ROUND(H49*$K$25,)</f>
        <v/>
      </c>
      <c r="J49" s="594">
        <f>-$I$25</f>
        <v/>
      </c>
      <c r="K49" s="594">
        <f>SUM(H49:J49)</f>
        <v/>
      </c>
      <c r="P49" s="663">
        <f>-S49</f>
        <v/>
      </c>
      <c r="Q49" s="594">
        <f>T48</f>
        <v/>
      </c>
      <c r="R49" s="594">
        <f>ROUND(Q49*$T$3,)</f>
        <v/>
      </c>
      <c r="S49" s="594">
        <f>-$H$2</f>
        <v/>
      </c>
      <c r="T49" s="594">
        <f>SUM(Q49:S49)</f>
        <v/>
      </c>
      <c r="V49" s="676">
        <f>+Y48</f>
        <v/>
      </c>
      <c r="W49" s="594">
        <f>ROUND(V49*$Y$6,)</f>
        <v/>
      </c>
      <c r="X49" s="591">
        <f>-$W$6</f>
        <v/>
      </c>
      <c r="Y49" s="594">
        <f>SUM(V49:X49)</f>
        <v/>
      </c>
      <c r="Z49" s="663">
        <f>-X49</f>
        <v/>
      </c>
      <c r="AJ49" s="591">
        <f>AJ48+1</f>
        <v/>
      </c>
      <c r="AK49" s="594">
        <f>AN48</f>
        <v/>
      </c>
      <c r="AL49" s="594">
        <f>ROUND(AK49*$AN$3,)</f>
        <v/>
      </c>
      <c r="AM49" s="594">
        <f>-$AP$2</f>
        <v/>
      </c>
      <c r="AN49" s="594">
        <f>SUM(AK49:AM49)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  <c r="H50" s="594">
        <f>+K49</f>
        <v/>
      </c>
      <c r="I50" s="594">
        <f>ROUND(H50*$K$25,)</f>
        <v/>
      </c>
      <c r="J50" s="594">
        <f>-$I$25</f>
        <v/>
      </c>
      <c r="K50" s="594">
        <f>SUM(H50:J50)</f>
        <v/>
      </c>
      <c r="P50" s="663">
        <f>-S50</f>
        <v/>
      </c>
      <c r="Q50" s="594">
        <f>T49</f>
        <v/>
      </c>
      <c r="R50" s="594">
        <f>ROUND(Q50*$T$3,)</f>
        <v/>
      </c>
      <c r="S50" s="594">
        <f>-$H$2</f>
        <v/>
      </c>
      <c r="T50" s="594">
        <f>SUM(Q50:S50)</f>
        <v/>
      </c>
      <c r="V50" s="676">
        <f>+Y49</f>
        <v/>
      </c>
      <c r="W50" s="594">
        <f>ROUND(V50*$Y$6,)</f>
        <v/>
      </c>
      <c r="X50" s="591">
        <f>-$W$6</f>
        <v/>
      </c>
      <c r="Y50" s="594">
        <f>SUM(V50:X50)</f>
        <v/>
      </c>
      <c r="Z50" s="663">
        <f>-X50</f>
        <v/>
      </c>
      <c r="AJ50" s="591">
        <f>AJ49+1</f>
        <v/>
      </c>
      <c r="AK50" s="594">
        <f>AN49</f>
        <v/>
      </c>
      <c r="AL50" s="594">
        <f>ROUND(AK50*$AN$3,)</f>
        <v/>
      </c>
      <c r="AM50" s="594">
        <f>-$AP$2</f>
        <v/>
      </c>
      <c r="AN50" s="594">
        <f>SUM(AK50:AM50)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  <c r="H51" s="594">
        <f>+K50</f>
        <v/>
      </c>
      <c r="I51" s="594">
        <f>ROUND(H51*$K$25,)</f>
        <v/>
      </c>
      <c r="J51" s="594">
        <f>-$I$25</f>
        <v/>
      </c>
      <c r="K51" s="594">
        <f>SUM(H51:J51)</f>
        <v/>
      </c>
      <c r="P51" s="663">
        <f>-S51</f>
        <v/>
      </c>
      <c r="Q51" s="594">
        <f>T50</f>
        <v/>
      </c>
      <c r="R51" s="594">
        <f>ROUND(Q51*$T$3,)</f>
        <v/>
      </c>
      <c r="S51" s="594">
        <f>-$H$2</f>
        <v/>
      </c>
      <c r="T51" s="594">
        <f>SUM(Q51:S51)</f>
        <v/>
      </c>
      <c r="V51" s="676">
        <f>+Y50</f>
        <v/>
      </c>
      <c r="W51" s="594">
        <f>ROUND(V51*$Y$6,)</f>
        <v/>
      </c>
      <c r="X51" s="591">
        <f>-$W$6</f>
        <v/>
      </c>
      <c r="Y51" s="594">
        <f>SUM(V51:X51)</f>
        <v/>
      </c>
      <c r="Z51" s="663">
        <f>-X51</f>
        <v/>
      </c>
      <c r="AJ51" s="591">
        <f>AJ50+1</f>
        <v/>
      </c>
      <c r="AK51" s="594">
        <f>AN50</f>
        <v/>
      </c>
      <c r="AL51" s="594">
        <f>ROUND(AK51*$AN$3,)</f>
        <v/>
      </c>
      <c r="AM51" s="594">
        <f>-$AP$2</f>
        <v/>
      </c>
      <c r="AN51" s="594">
        <f>SUM(AK51:AM51)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  <c r="H52" s="594">
        <f>+K51</f>
        <v/>
      </c>
      <c r="I52" s="594">
        <f>ROUND(H52*$K$25,)</f>
        <v/>
      </c>
      <c r="J52" s="594">
        <f>-$I$25</f>
        <v/>
      </c>
      <c r="K52" s="594">
        <f>SUM(H52:J52)</f>
        <v/>
      </c>
      <c r="P52" s="663">
        <f>-S52</f>
        <v/>
      </c>
      <c r="Q52" s="594">
        <f>T51</f>
        <v/>
      </c>
      <c r="R52" s="594">
        <f>ROUND(Q52*$T$3,)</f>
        <v/>
      </c>
      <c r="S52" s="594">
        <f>-$H$2</f>
        <v/>
      </c>
      <c r="T52" s="594">
        <f>SUM(Q52:S52)</f>
        <v/>
      </c>
      <c r="V52" s="676">
        <f>+Y51</f>
        <v/>
      </c>
      <c r="W52" s="594">
        <f>ROUND(V52*$Y$6,)</f>
        <v/>
      </c>
      <c r="X52" s="591">
        <f>-$W$6</f>
        <v/>
      </c>
      <c r="Y52" s="594">
        <f>SUM(V52:X52)</f>
        <v/>
      </c>
      <c r="Z52" s="663">
        <f>-X52</f>
        <v/>
      </c>
      <c r="AJ52" s="591">
        <f>AJ51+1</f>
        <v/>
      </c>
      <c r="AK52" s="594">
        <f>AN51</f>
        <v/>
      </c>
      <c r="AL52" s="594">
        <f>ROUND(AK52*$AN$3,)</f>
        <v/>
      </c>
      <c r="AM52" s="594">
        <f>-$AP$2</f>
        <v/>
      </c>
      <c r="AN52" s="594">
        <f>SUM(AK52:AM52)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  <c r="H53" s="594">
        <f>+K52</f>
        <v/>
      </c>
      <c r="I53" s="594">
        <f>ROUND(H53*$K$25,)</f>
        <v/>
      </c>
      <c r="J53" s="594">
        <f>-$I$25</f>
        <v/>
      </c>
      <c r="K53" s="594">
        <f>SUM(H53:J53)</f>
        <v/>
      </c>
      <c r="P53" s="663">
        <f>-S53</f>
        <v/>
      </c>
      <c r="Q53" s="594">
        <f>T52</f>
        <v/>
      </c>
      <c r="R53" s="594">
        <f>ROUND(Q53*$T$3,)</f>
        <v/>
      </c>
      <c r="S53" s="594">
        <f>-$H$2</f>
        <v/>
      </c>
      <c r="T53" s="594">
        <f>SUM(Q53:S53)</f>
        <v/>
      </c>
      <c r="V53" s="676">
        <f>+Y52</f>
        <v/>
      </c>
      <c r="W53" s="594">
        <f>ROUND(V53*$Y$6,)</f>
        <v/>
      </c>
      <c r="X53" s="591">
        <f>-$W$6</f>
        <v/>
      </c>
      <c r="Y53" s="594">
        <f>SUM(V53:X53)</f>
        <v/>
      </c>
      <c r="Z53" s="663">
        <f>-X53</f>
        <v/>
      </c>
      <c r="AJ53" s="591">
        <f>AJ52+1</f>
        <v/>
      </c>
      <c r="AK53" s="594">
        <f>AN52</f>
        <v/>
      </c>
      <c r="AL53" s="594">
        <f>ROUND(AK53*$AN$3,)</f>
        <v/>
      </c>
      <c r="AM53" s="594">
        <f>-$AP$2</f>
        <v/>
      </c>
      <c r="AN53" s="594">
        <f>SUM(AK53:AM53)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  <c r="H54" s="594">
        <f>+K53</f>
        <v/>
      </c>
      <c r="I54" s="594">
        <f>ROUND(H54*$K$25,)</f>
        <v/>
      </c>
      <c r="J54" s="594">
        <f>-$I$25</f>
        <v/>
      </c>
      <c r="K54" s="594">
        <f>SUM(H54:J54)</f>
        <v/>
      </c>
      <c r="P54" s="663">
        <f>-S54</f>
        <v/>
      </c>
      <c r="Q54" s="594">
        <f>T53</f>
        <v/>
      </c>
      <c r="R54" s="594">
        <f>ROUND(Q54*$T$3,)</f>
        <v/>
      </c>
      <c r="S54" s="594">
        <f>-$H$2</f>
        <v/>
      </c>
      <c r="T54" s="594">
        <f>SUM(Q54:S54)</f>
        <v/>
      </c>
      <c r="V54" s="676">
        <f>+Y53</f>
        <v/>
      </c>
      <c r="W54" s="594">
        <f>ROUND(V54*$Y$6,)</f>
        <v/>
      </c>
      <c r="X54" s="591">
        <f>-$W$6</f>
        <v/>
      </c>
      <c r="Y54" s="594">
        <f>SUM(V54:X54)</f>
        <v/>
      </c>
      <c r="Z54" s="663">
        <f>-X54</f>
        <v/>
      </c>
      <c r="AJ54" s="591">
        <f>AJ53+1</f>
        <v/>
      </c>
      <c r="AK54" s="594">
        <f>AN53</f>
        <v/>
      </c>
      <c r="AL54" s="594">
        <f>ROUND(AK54*$AN$3,)</f>
        <v/>
      </c>
      <c r="AM54" s="594">
        <f>-$AP$2</f>
        <v/>
      </c>
      <c r="AN54" s="594">
        <f>SUM(AK54:AM54)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  <c r="H55" s="594">
        <f>+K54</f>
        <v/>
      </c>
      <c r="I55" s="594">
        <f>ROUND(H55*$K$25,)</f>
        <v/>
      </c>
      <c r="J55" s="594">
        <f>-$I$25</f>
        <v/>
      </c>
      <c r="K55" s="594">
        <f>SUM(H55:J55)</f>
        <v/>
      </c>
      <c r="P55" s="663">
        <f>-S55</f>
        <v/>
      </c>
      <c r="Q55" s="594">
        <f>T54</f>
        <v/>
      </c>
      <c r="R55" s="594">
        <f>ROUND(Q55*$T$3,)</f>
        <v/>
      </c>
      <c r="S55" s="594">
        <f>-$H$2</f>
        <v/>
      </c>
      <c r="T55" s="594">
        <f>SUM(Q55:S55)</f>
        <v/>
      </c>
      <c r="V55" s="676">
        <f>+Y54</f>
        <v/>
      </c>
      <c r="W55" s="594">
        <f>ROUND(V55*$Y$6,)</f>
        <v/>
      </c>
      <c r="X55" s="591">
        <f>-$W$6</f>
        <v/>
      </c>
      <c r="Y55" s="594">
        <f>SUM(V55:X55)</f>
        <v/>
      </c>
      <c r="Z55" s="663">
        <f>-X55</f>
        <v/>
      </c>
      <c r="AJ55" s="591">
        <f>AJ54+1</f>
        <v/>
      </c>
      <c r="AK55" s="594">
        <f>AN54</f>
        <v/>
      </c>
      <c r="AL55" s="594">
        <f>ROUND(AK55*$AN$3,)</f>
        <v/>
      </c>
      <c r="AM55" s="594">
        <f>-$AP$2</f>
        <v/>
      </c>
      <c r="AN55" s="594">
        <f>SUM(AK55:AM55)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  <c r="H56" s="594">
        <f>+K55</f>
        <v/>
      </c>
      <c r="I56" s="594">
        <f>ROUND(H56*$K$25,)</f>
        <v/>
      </c>
      <c r="J56" s="594">
        <f>-$I$25</f>
        <v/>
      </c>
      <c r="K56" s="594">
        <f>SUM(H56:J56)</f>
        <v/>
      </c>
      <c r="P56" s="663">
        <f>-S56</f>
        <v/>
      </c>
      <c r="Q56" s="594">
        <f>T55</f>
        <v/>
      </c>
      <c r="R56" s="594">
        <f>ROUND(Q56*$T$3,)</f>
        <v/>
      </c>
      <c r="S56" s="594">
        <f>-$H$2</f>
        <v/>
      </c>
      <c r="T56" s="594">
        <f>SUM(Q56:S56)</f>
        <v/>
      </c>
      <c r="V56" s="676">
        <f>+Y55</f>
        <v/>
      </c>
      <c r="W56" s="594">
        <f>ROUND(V56*$Y$6,)</f>
        <v/>
      </c>
      <c r="X56" s="591">
        <f>-$W$6</f>
        <v/>
      </c>
      <c r="Y56" s="594">
        <f>SUM(V56:X56)</f>
        <v/>
      </c>
      <c r="Z56" s="663">
        <f>-X56</f>
        <v/>
      </c>
      <c r="AJ56" s="591">
        <f>AJ55+1</f>
        <v/>
      </c>
      <c r="AK56" s="594">
        <f>AN55</f>
        <v/>
      </c>
      <c r="AL56" s="594">
        <f>ROUND(AK56*$AN$3,)</f>
        <v/>
      </c>
      <c r="AM56" s="594">
        <f>-$AP$2</f>
        <v/>
      </c>
      <c r="AN56" s="594">
        <f>SUM(AK56:AM56)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  <c r="H57" s="594">
        <f>+K56</f>
        <v/>
      </c>
      <c r="I57" s="594">
        <f>ROUND(H57*$K$25,)</f>
        <v/>
      </c>
      <c r="J57" s="594">
        <f>-$I$25</f>
        <v/>
      </c>
      <c r="K57" s="594">
        <f>SUM(H57:J57)</f>
        <v/>
      </c>
      <c r="P57" s="663">
        <f>-S57</f>
        <v/>
      </c>
      <c r="Q57" s="594">
        <f>T56</f>
        <v/>
      </c>
      <c r="R57" s="594">
        <f>ROUND(Q57*$T$3,)</f>
        <v/>
      </c>
      <c r="S57" s="594">
        <f>-$H$2</f>
        <v/>
      </c>
      <c r="T57" s="594">
        <f>SUM(Q57:S57)</f>
        <v/>
      </c>
      <c r="V57" s="676">
        <f>+Y56</f>
        <v/>
      </c>
      <c r="W57" s="594">
        <f>ROUND(V57*$Y$6,)</f>
        <v/>
      </c>
      <c r="X57" s="591">
        <f>-$W$6</f>
        <v/>
      </c>
      <c r="Y57" s="594">
        <f>SUM(V57:X57)</f>
        <v/>
      </c>
      <c r="Z57" s="663">
        <f>-X57</f>
        <v/>
      </c>
      <c r="AJ57" s="591">
        <f>AJ56+1</f>
        <v/>
      </c>
      <c r="AK57" s="594">
        <f>AN56</f>
        <v/>
      </c>
      <c r="AL57" s="594">
        <f>ROUND(AK57*$AN$3,)</f>
        <v/>
      </c>
      <c r="AM57" s="594">
        <f>-$AP$2</f>
        <v/>
      </c>
      <c r="AN57" s="594">
        <f>SUM(AK57:AM57)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  <c r="H58" s="594">
        <f>+K57</f>
        <v/>
      </c>
      <c r="I58" s="594">
        <f>ROUND(H58*$K$25,)</f>
        <v/>
      </c>
      <c r="J58" s="594">
        <f>-$I$25</f>
        <v/>
      </c>
      <c r="K58" s="594">
        <f>SUM(H58:J58)</f>
        <v/>
      </c>
      <c r="P58" s="663">
        <f>-S58</f>
        <v/>
      </c>
      <c r="Q58" s="594">
        <f>T57</f>
        <v/>
      </c>
      <c r="R58" s="594">
        <f>ROUND(Q58*$T$3,)</f>
        <v/>
      </c>
      <c r="S58" s="594">
        <f>-$H$2</f>
        <v/>
      </c>
      <c r="T58" s="594">
        <f>SUM(Q58:S58)</f>
        <v/>
      </c>
      <c r="V58" s="676">
        <f>+Y57</f>
        <v/>
      </c>
      <c r="W58" s="594">
        <f>ROUND(V58*$Y$6,)</f>
        <v/>
      </c>
      <c r="X58" s="591">
        <f>-$W$6</f>
        <v/>
      </c>
      <c r="Y58" s="594">
        <f>SUM(V58:X58)</f>
        <v/>
      </c>
      <c r="Z58" s="663">
        <f>-X58</f>
        <v/>
      </c>
      <c r="AJ58" s="591">
        <f>AJ57+1</f>
        <v/>
      </c>
      <c r="AK58" s="594">
        <f>AN57</f>
        <v/>
      </c>
      <c r="AL58" s="594">
        <f>ROUND(AK58*$AN$3,)</f>
        <v/>
      </c>
      <c r="AM58" s="594">
        <f>-$AP$2</f>
        <v/>
      </c>
      <c r="AN58" s="594">
        <f>SUM(AK58:AM58)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  <c r="H59" s="594">
        <f>+K58</f>
        <v/>
      </c>
      <c r="I59" s="594">
        <f>ROUND(H59*$K$25,)</f>
        <v/>
      </c>
      <c r="J59" s="594">
        <f>-$I$25</f>
        <v/>
      </c>
      <c r="K59" s="594">
        <f>SUM(H59:J59)</f>
        <v/>
      </c>
      <c r="P59" s="663">
        <f>-S59</f>
        <v/>
      </c>
      <c r="Q59" s="594">
        <f>T58</f>
        <v/>
      </c>
      <c r="R59" s="594">
        <f>ROUND(Q59*$T$3,)</f>
        <v/>
      </c>
      <c r="S59" s="594">
        <f>-$H$2</f>
        <v/>
      </c>
      <c r="T59" s="594">
        <f>SUM(Q59:S59)</f>
        <v/>
      </c>
      <c r="V59" s="676">
        <f>+Y58</f>
        <v/>
      </c>
      <c r="W59" s="594">
        <f>ROUND(V59*$Y$6,)</f>
        <v/>
      </c>
      <c r="X59" s="591">
        <f>-$W$6</f>
        <v/>
      </c>
      <c r="Y59" s="594">
        <f>SUM(V59:X59)</f>
        <v/>
      </c>
      <c r="Z59" s="663">
        <f>-X59</f>
        <v/>
      </c>
      <c r="AJ59" s="591">
        <f>AJ58+1</f>
        <v/>
      </c>
      <c r="AK59" s="594">
        <f>AN58</f>
        <v/>
      </c>
      <c r="AL59" s="594">
        <f>ROUND(AK59*$AN$3,)</f>
        <v/>
      </c>
      <c r="AM59" s="594">
        <f>-$AP$2</f>
        <v/>
      </c>
      <c r="AN59" s="594">
        <f>SUM(AK59:AM59)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  <c r="H60" s="594">
        <f>+K59</f>
        <v/>
      </c>
      <c r="I60" s="594">
        <f>ROUND(H60*$K$25,)</f>
        <v/>
      </c>
      <c r="J60" s="594">
        <f>-$I$25</f>
        <v/>
      </c>
      <c r="K60" s="594">
        <f>SUM(H60:J60)</f>
        <v/>
      </c>
      <c r="P60" s="663">
        <f>-S60</f>
        <v/>
      </c>
      <c r="Q60" s="594">
        <f>T59</f>
        <v/>
      </c>
      <c r="R60" s="594">
        <f>ROUND(Q60*$T$3,)</f>
        <v/>
      </c>
      <c r="S60" s="594">
        <f>-$H$2</f>
        <v/>
      </c>
      <c r="T60" s="594">
        <f>SUM(Q60:S60)</f>
        <v/>
      </c>
      <c r="V60" s="676">
        <f>+Y59</f>
        <v/>
      </c>
      <c r="W60" s="594">
        <f>ROUND(V60*$Y$6,)</f>
        <v/>
      </c>
      <c r="X60" s="591">
        <f>-$W$6</f>
        <v/>
      </c>
      <c r="Y60" s="594">
        <f>SUM(V60:X60)</f>
        <v/>
      </c>
      <c r="Z60" s="663">
        <f>-X60</f>
        <v/>
      </c>
      <c r="AJ60" s="591">
        <f>AJ59+1</f>
        <v/>
      </c>
      <c r="AK60" s="594">
        <f>AN59</f>
        <v/>
      </c>
      <c r="AL60" s="594">
        <f>ROUND(AK60*$AN$3,)</f>
        <v/>
      </c>
      <c r="AM60" s="594">
        <f>-$AP$2</f>
        <v/>
      </c>
      <c r="AN60" s="594">
        <f>SUM(AK60:AM60)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  <c r="H61" s="594">
        <f>+K60</f>
        <v/>
      </c>
      <c r="I61" s="594">
        <f>ROUND(H61*$K$25,)</f>
        <v/>
      </c>
      <c r="J61" s="594">
        <f>-$I$25</f>
        <v/>
      </c>
      <c r="K61" s="594">
        <f>SUM(H61:J61)</f>
        <v/>
      </c>
      <c r="P61" s="663">
        <f>-S61</f>
        <v/>
      </c>
      <c r="Q61" s="594">
        <f>T60</f>
        <v/>
      </c>
      <c r="R61" s="594">
        <f>ROUND(Q61*$T$3,)</f>
        <v/>
      </c>
      <c r="S61" s="594">
        <f>-$H$2</f>
        <v/>
      </c>
      <c r="T61" s="594">
        <f>SUM(Q61:S61)</f>
        <v/>
      </c>
      <c r="V61" s="676">
        <f>+Y60</f>
        <v/>
      </c>
      <c r="W61" s="594">
        <f>ROUND(V61*$Y$6,)</f>
        <v/>
      </c>
      <c r="X61" s="591">
        <f>-$W$6</f>
        <v/>
      </c>
      <c r="Y61" s="594">
        <f>SUM(V61:X61)</f>
        <v/>
      </c>
      <c r="Z61" s="663">
        <f>-X61</f>
        <v/>
      </c>
      <c r="AJ61" s="591">
        <f>AJ60+1</f>
        <v/>
      </c>
      <c r="AK61" s="594">
        <f>AN60</f>
        <v/>
      </c>
      <c r="AL61" s="594">
        <f>ROUND(AK61*$AN$3,)</f>
        <v/>
      </c>
      <c r="AM61" s="594">
        <f>-$AP$2</f>
        <v/>
      </c>
      <c r="AN61" s="594">
        <f>SUM(AK61:AM61)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  <c r="H62" s="594">
        <f>+K61</f>
        <v/>
      </c>
      <c r="I62" s="594">
        <f>ROUND(H62*$K$25,)</f>
        <v/>
      </c>
      <c r="J62" s="594">
        <f>-$I$25</f>
        <v/>
      </c>
      <c r="K62" s="594">
        <f>SUM(H62:J62)</f>
        <v/>
      </c>
      <c r="P62" s="663">
        <f>-S62</f>
        <v/>
      </c>
      <c r="Q62" s="594">
        <f>T61</f>
        <v/>
      </c>
      <c r="R62" s="594">
        <f>ROUND(Q62*$T$3,)</f>
        <v/>
      </c>
      <c r="S62" s="594">
        <f>-$H$2</f>
        <v/>
      </c>
      <c r="T62" s="594">
        <f>SUM(Q62:S62)</f>
        <v/>
      </c>
      <c r="V62" s="676">
        <f>+Y61</f>
        <v/>
      </c>
      <c r="W62" s="594">
        <f>ROUND(V62*$Y$6,)</f>
        <v/>
      </c>
      <c r="X62" s="591">
        <f>-$W$6</f>
        <v/>
      </c>
      <c r="Y62" s="594">
        <f>SUM(V62:X62)</f>
        <v/>
      </c>
      <c r="Z62" s="663">
        <f>-X62</f>
        <v/>
      </c>
      <c r="AJ62" s="591">
        <f>AJ61+1</f>
        <v/>
      </c>
      <c r="AK62" s="594">
        <f>AN61</f>
        <v/>
      </c>
      <c r="AL62" s="594">
        <f>ROUND(AK62*$AN$3,)</f>
        <v/>
      </c>
      <c r="AM62" s="594">
        <f>-$AP$2</f>
        <v/>
      </c>
      <c r="AN62" s="594">
        <f>SUM(AK62:AM62)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  <c r="H63" s="594">
        <f>+K62</f>
        <v/>
      </c>
      <c r="I63" s="594">
        <f>ROUND(H63*$K$25,)</f>
        <v/>
      </c>
      <c r="J63" s="594">
        <f>-$I$25</f>
        <v/>
      </c>
      <c r="K63" s="594">
        <f>SUM(H63:J63)</f>
        <v/>
      </c>
      <c r="P63" s="663">
        <f>-S63</f>
        <v/>
      </c>
      <c r="Q63" s="594">
        <f>T62</f>
        <v/>
      </c>
      <c r="R63" s="594">
        <f>ROUND(Q63*$T$3,)</f>
        <v/>
      </c>
      <c r="S63" s="594">
        <f>-$H$2</f>
        <v/>
      </c>
      <c r="T63" s="594">
        <f>SUM(Q63:S63)</f>
        <v/>
      </c>
      <c r="V63" s="676">
        <f>+Y62</f>
        <v/>
      </c>
      <c r="W63" s="594">
        <f>ROUND(V63*$Y$6,)</f>
        <v/>
      </c>
      <c r="X63" s="591">
        <f>-$W$6</f>
        <v/>
      </c>
      <c r="Y63" s="594">
        <f>SUM(V63:X63)</f>
        <v/>
      </c>
      <c r="Z63" s="663">
        <f>-X63</f>
        <v/>
      </c>
      <c r="AJ63" s="591">
        <f>AJ62+1</f>
        <v/>
      </c>
      <c r="AK63" s="594">
        <f>AN62</f>
        <v/>
      </c>
      <c r="AL63" s="594">
        <f>ROUND(AK63*$AN$3,)</f>
        <v/>
      </c>
      <c r="AM63" s="594">
        <f>-$AP$2</f>
        <v/>
      </c>
      <c r="AN63" s="594">
        <f>SUM(AK63:AM63)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  <c r="H64" s="594">
        <f>+K63</f>
        <v/>
      </c>
      <c r="I64" s="594">
        <f>ROUND(H64*$K$25,)</f>
        <v/>
      </c>
      <c r="J64" s="594">
        <f>-$I$25</f>
        <v/>
      </c>
      <c r="K64" s="594">
        <f>SUM(H64:J64)</f>
        <v/>
      </c>
      <c r="P64" s="663">
        <f>-S64</f>
        <v/>
      </c>
      <c r="Q64" s="594">
        <f>T63</f>
        <v/>
      </c>
      <c r="R64" s="594">
        <f>ROUND(Q64*$T$3,)</f>
        <v/>
      </c>
      <c r="S64" s="594">
        <f>-$H$2</f>
        <v/>
      </c>
      <c r="T64" s="594">
        <f>SUM(Q64:S64)</f>
        <v/>
      </c>
      <c r="V64" s="594">
        <f>+Y63</f>
        <v/>
      </c>
      <c r="W64" s="594">
        <f>ROUND(V64*$Y$6,)</f>
        <v/>
      </c>
      <c r="X64" s="591">
        <f>-$W$6</f>
        <v/>
      </c>
      <c r="Y64" s="594">
        <f>SUM(V64:X64)</f>
        <v/>
      </c>
      <c r="Z64" s="663">
        <f>-X64</f>
        <v/>
      </c>
      <c r="AJ64" s="591">
        <f>AJ63+1</f>
        <v/>
      </c>
      <c r="AK64" s="594">
        <f>AN63</f>
        <v/>
      </c>
      <c r="AL64" s="594">
        <f>ROUND(AK64*$AN$3,)</f>
        <v/>
      </c>
      <c r="AM64" s="594">
        <f>-$AP$2</f>
        <v/>
      </c>
      <c r="AN64" s="594">
        <f>SUM(AK64:AM64)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  <c r="H65" s="594">
        <f>+K64</f>
        <v/>
      </c>
      <c r="I65" s="662">
        <f>IF((AP2+AM6)-(K64+K64*K25-I25)&lt;0,H26-SUM(I29:I64),ROUND(H65*$K$25,))</f>
        <v/>
      </c>
      <c r="J65" s="594">
        <f>-$I$25</f>
        <v/>
      </c>
      <c r="K65" s="594">
        <f>SUM(H65:J65)</f>
        <v/>
      </c>
      <c r="P65" s="663">
        <f>-S65</f>
        <v/>
      </c>
      <c r="Q65" s="594">
        <f>T64</f>
        <v/>
      </c>
      <c r="R65" s="662">
        <f>IF((V2+S6)-(T64+T64*T3-V2)&lt;0,R2-SUM(R6:R64),ROUND(Q65*$F$3,))</f>
        <v/>
      </c>
      <c r="S65" s="594">
        <f>-$H$2</f>
        <v/>
      </c>
      <c r="T65" s="594">
        <f>SUM(Q65:S65)</f>
        <v/>
      </c>
      <c r="V65" s="594">
        <f>+Y64</f>
        <v/>
      </c>
      <c r="W65" s="662">
        <f>IF((AP2+AM6)-(Y64+Y64*Y6-W6)&lt;0,V7-SUM(W9:W64),ROUND(V65*$Y$6,))</f>
        <v/>
      </c>
      <c r="X65" s="591">
        <f>-$W$6</f>
        <v/>
      </c>
      <c r="Y65" s="594">
        <f>SUM(V65:X65)</f>
        <v/>
      </c>
      <c r="Z65" s="663">
        <f>-X65</f>
        <v/>
      </c>
      <c r="AJ65" s="591">
        <f>AJ64+1</f>
        <v/>
      </c>
      <c r="AK65" s="594">
        <f>AN64</f>
        <v/>
      </c>
      <c r="AL65" s="662">
        <f>IF((AP2+AM6)-(AN64+AN64*AN3-AP2)&lt;0,AL2-SUM(AL6:AL64),ROUND(AK65*$AN$3,))</f>
        <v/>
      </c>
      <c r="AM65" s="594">
        <f>-$AP$2</f>
        <v/>
      </c>
      <c r="AN65" s="594">
        <f>SUM(AK65:AM65)</f>
        <v/>
      </c>
    </row>
    <row r="66">
      <c r="B66" s="591" t="n">
        <v>61</v>
      </c>
      <c r="C66" s="594">
        <f>F65</f>
        <v/>
      </c>
      <c r="D66" s="662">
        <f>C66*$F$3-(C66+C66*$F$3+E66)</f>
        <v/>
      </c>
      <c r="E66" s="594">
        <f>-$H$2-E6</f>
        <v/>
      </c>
      <c r="F66" s="594">
        <f>SUM(C66:E66)</f>
        <v/>
      </c>
      <c r="H66" s="594">
        <f>+K65</f>
        <v/>
      </c>
      <c r="I66" s="662">
        <f>H66*$K$25-(H66+H66*$K$25+J66)</f>
        <v/>
      </c>
      <c r="J66" s="594">
        <f>-AP2-AM6</f>
        <v/>
      </c>
      <c r="K66" s="594">
        <f>SUM(H66:J66)</f>
        <v/>
      </c>
      <c r="P66" s="663">
        <f>-S66</f>
        <v/>
      </c>
      <c r="Q66" s="594">
        <f>T65</f>
        <v/>
      </c>
      <c r="R66" s="662">
        <f>Q66*$T$3-(Q66+Q66*$T$3+S66)</f>
        <v/>
      </c>
      <c r="S66" s="594">
        <f>-$V$2-S6</f>
        <v/>
      </c>
      <c r="T66" s="594">
        <f>SUM(Q66:S66)</f>
        <v/>
      </c>
      <c r="V66" s="594">
        <f>+Y65</f>
        <v/>
      </c>
      <c r="W66" s="662">
        <f>V66*$Y$6-(V66+V66*$Y$6+X66)</f>
        <v/>
      </c>
      <c r="X66" s="594">
        <f>-AP2-AM6</f>
        <v/>
      </c>
      <c r="Y66" s="594">
        <f>SUM(V66:X66)</f>
        <v/>
      </c>
      <c r="Z66" s="663">
        <f>-X66</f>
        <v/>
      </c>
      <c r="AJ66" s="591" t="n">
        <v>61</v>
      </c>
      <c r="AK66" s="594">
        <f>AN65</f>
        <v/>
      </c>
      <c r="AL66" s="662">
        <f>AK66*$AN$3-(AK66+AK66*$AN$3+AM66)</f>
        <v/>
      </c>
      <c r="AM66" s="594">
        <f>-$AP$2-AM6</f>
        <v/>
      </c>
      <c r="AN66" s="594">
        <f>SUM(AK66:AM66)</f>
        <v/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rgb="002E7D32"/>
    <outlinePr summaryBelow="1" summaryRight="1"/>
    <pageSetUpPr/>
  </sheetPr>
  <dimension ref="A1:AH78"/>
  <sheetViews>
    <sheetView showGridLines="0" tabSelected="1" zoomScale="70" zoomScaleNormal="70" workbookViewId="0">
      <selection activeCell="A1" sqref="A1"/>
    </sheetView>
  </sheetViews>
  <sheetFormatPr baseColWidth="8" defaultRowHeight="16.9"/>
  <cols>
    <col width="8" customWidth="1" style="497" min="1" max="1"/>
    <col width="44.375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customWidth="1" style="185" min="6" max="6"/>
    <col width="11.125" customWidth="1" style="185" min="7" max="9"/>
    <col width="13.375" customWidth="1" style="497" min="10" max="11"/>
    <col width="12.125" customWidth="1" style="497" min="12" max="12"/>
    <col width="10.5" customWidth="1" style="497" min="13" max="13"/>
    <col width="12.125" customWidth="1" style="497" min="14" max="16"/>
    <col width="10.5" customWidth="1" style="497" min="17" max="17"/>
    <col width="15.875" customWidth="1" style="497" min="18" max="19"/>
    <col width="11.6875" bestFit="1" customWidth="1" style="497" min="20" max="20"/>
    <col width="10.1875" bestFit="1" customWidth="1" style="497" min="21" max="21"/>
    <col width="15.875" customWidth="1" style="497" min="22" max="23"/>
    <col width="14.1875" bestFit="1" customWidth="1" style="497" min="24" max="24"/>
    <col width="11.8125" customWidth="1" style="497" min="25" max="25"/>
    <col width="13.625" customWidth="1" style="497" min="27" max="27"/>
    <col width="10.1875" bestFit="1" customWidth="1" style="497" min="28" max="28"/>
    <col width="20" bestFit="1" customWidth="1" style="497" min="29" max="29"/>
    <col width="31.6875" bestFit="1" customWidth="1" style="497" min="30" max="30"/>
    <col width="13.625" customWidth="1" style="497" min="31" max="31"/>
    <col width="7.125" bestFit="1" customWidth="1" style="497" min="32" max="32"/>
    <col width="21" bestFit="1" customWidth="1" style="497" min="33" max="33"/>
    <col width="32" bestFit="1" customWidth="1" style="497" min="34" max="34"/>
  </cols>
  <sheetData>
    <row r="1">
      <c r="O1" s="500">
        <f>K2-AC4*C7-AC9*C7</f>
        <v/>
      </c>
      <c r="P1" s="500">
        <f>L2-AC5*C7-AC10*C7</f>
        <v/>
      </c>
      <c r="Q1" s="500">
        <f>M2-AC6*C7-AC11*C7</f>
        <v/>
      </c>
      <c r="X1" s="500">
        <f>T2-SUM(T6:T11)</f>
        <v/>
      </c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  <c r="V2" s="500">
        <f>SUM(V5:V77)</f>
        <v/>
      </c>
      <c r="W2" s="500">
        <f>SUM(W5:W77)</f>
        <v/>
      </c>
      <c r="X2" s="500">
        <f>SUM(X5:X77)</f>
        <v/>
      </c>
      <c r="Y2" s="500">
        <f>SUM(Y5:Y77)</f>
        <v/>
      </c>
      <c r="AA2" s="206" t="inlineStr">
        <is>
          <t>v- 100단위 조정</t>
        </is>
      </c>
      <c r="AE2" s="206" t="inlineStr">
        <is>
          <t>v- 소수점만 제거</t>
        </is>
      </c>
      <c r="AH2" s="206" t="inlineStr">
        <is>
          <t>V+</t>
        </is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선납+선납할인+단품+결합할인 시 (v-)</t>
        </is>
      </c>
      <c r="S3" s="76" t="n"/>
      <c r="T3" s="76" t="n"/>
      <c r="U3" s="76" t="n"/>
      <c r="V3" s="402" t="inlineStr">
        <is>
          <t>선납+선납할인+단품+결합할인+6개월면제 시 (v-)</t>
        </is>
      </c>
      <c r="W3" s="403" t="n"/>
      <c r="X3" s="403" t="n"/>
      <c r="Y3" s="403" t="n"/>
      <c r="AA3" s="378" t="inlineStr">
        <is>
          <t>월 선납금(v-)</t>
        </is>
      </c>
      <c r="AB3" s="251" t="n"/>
      <c r="AC3" s="504">
        <f>C23</f>
        <v/>
      </c>
      <c r="AE3" s="378" t="inlineStr">
        <is>
          <t>월 선납금(v-)</t>
        </is>
      </c>
      <c r="AF3" s="251" t="n"/>
      <c r="AG3" s="504">
        <f>C23</f>
        <v/>
      </c>
      <c r="AH3" s="505">
        <f>AG3*1.1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9" t="inlineStr">
        <is>
          <t>구독료청구</t>
        </is>
      </c>
      <c r="W4" s="26" t="inlineStr">
        <is>
          <t>제품</t>
        </is>
      </c>
      <c r="X4" s="15" t="inlineStr">
        <is>
          <t>케어</t>
        </is>
      </c>
      <c r="Y4" s="27" t="inlineStr">
        <is>
          <t>보증</t>
        </is>
      </c>
      <c r="AA4" s="375" t="n"/>
      <c r="AB4" s="506" t="inlineStr">
        <is>
          <t>제품</t>
        </is>
      </c>
      <c r="AC4" s="507">
        <f>AC3-AC5-AC6</f>
        <v/>
      </c>
      <c r="AE4" s="375" t="n"/>
      <c r="AF4" s="506" t="inlineStr">
        <is>
          <t>제품</t>
        </is>
      </c>
      <c r="AG4" s="507">
        <f>AG3-AG5-AG6</f>
        <v/>
      </c>
      <c r="AH4" s="505">
        <f>ROUND(AG4*1.1,)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08">
        <f>ROUNDDOWN(($C$34/$C$7)*(H5-G5+1)/DAY(H5),-2)</f>
        <v/>
      </c>
      <c r="O5" s="509">
        <f>N5-P5-Q5</f>
        <v/>
      </c>
      <c r="P5" s="512">
        <f>ROUNDDOWN(($C$11/$C$7-AC5-AC10)*(H5-G5+1)/DAY(H5),-2)</f>
        <v/>
      </c>
      <c r="Q5" s="513">
        <f>ROUNDDOWN(($C$12/$C$7-AC6-AC11)*(H5-G5+1)/DAY(H5),-2)</f>
        <v/>
      </c>
      <c r="R5" s="508">
        <f>ROUNDDOWN(($C$58/$C$7)*($H5-$G5+1)/DAY($H5),-2)</f>
        <v/>
      </c>
      <c r="S5" s="509">
        <f>R5-T5-U5</f>
        <v/>
      </c>
      <c r="T5" s="512">
        <f>ROUNDDOWN(($C$11/$C$7-AC5-AC10-AC15-AC20)*(H5-G5+1)/DAY(H5),-2)</f>
        <v/>
      </c>
      <c r="U5" s="513">
        <f>ROUNDDOWN(($C$12/$C$7-AC6-AC11-AC16-AC21)*(H5-G5+1)/DAY(H5),-2)</f>
        <v/>
      </c>
      <c r="V5" s="508">
        <f>ROUNDDOWN(($C$58/$C$7)*($H5-$G5+1)/DAY($H5),-2)</f>
        <v/>
      </c>
      <c r="W5" s="509">
        <f>V5-X5-Y5</f>
        <v/>
      </c>
      <c r="X5" s="512">
        <f>ROUNDDOWN(($C$11/$C$7-AC5-AC10-AC15-AC20)*(H5-G5+1)/DAY(H5),-2)</f>
        <v/>
      </c>
      <c r="Y5" s="513">
        <f>ROUNDDOWN(($C$12/$C$7-AC6-AC11-AC16-AC21)*(H5-G5+1)/DAY(H5),-2)</f>
        <v/>
      </c>
      <c r="AA5" s="375" t="n"/>
      <c r="AB5" s="506" t="inlineStr">
        <is>
          <t>케어</t>
        </is>
      </c>
      <c r="AC5" s="507">
        <f>ROUND($AC$3*C11/$C$14,-2)</f>
        <v/>
      </c>
      <c r="AE5" s="375" t="n"/>
      <c r="AF5" s="506" t="inlineStr">
        <is>
          <t>케어</t>
        </is>
      </c>
      <c r="AG5" s="507">
        <f>ROUND($AG$3*C11/$C$14,0)</f>
        <v/>
      </c>
      <c r="AH5" s="505">
        <f>ROUND(AG5*1.1,)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$C$33</f>
        <v/>
      </c>
      <c r="O6" s="516">
        <f>N6-P6-Q6</f>
        <v/>
      </c>
      <c r="P6" s="500">
        <f>L6-$AC$5-$AC$10</f>
        <v/>
      </c>
      <c r="Q6" s="519">
        <f>M6-$AC$6-$AC$11</f>
        <v/>
      </c>
      <c r="R6" s="515">
        <f>$C$57</f>
        <v/>
      </c>
      <c r="S6" s="516">
        <f>R6-T6-U6</f>
        <v/>
      </c>
      <c r="T6" s="500">
        <f>L6-$AC$5-$AC$10-$AC$15-$AC$20</f>
        <v/>
      </c>
      <c r="U6" s="519">
        <f>M6-$AC$6-AC$11-AC$16-AC$21</f>
        <v/>
      </c>
      <c r="V6" s="520" t="n"/>
      <c r="W6" s="521" t="n"/>
      <c r="X6" s="522" t="n"/>
      <c r="Y6" s="523" t="n"/>
      <c r="AA6" s="376" t="n"/>
      <c r="AB6" s="524" t="inlineStr">
        <is>
          <t>보증</t>
        </is>
      </c>
      <c r="AC6" s="507">
        <f>ROUND($AC$3*C12/$C$14,-2)</f>
        <v/>
      </c>
      <c r="AE6" s="376" t="n"/>
      <c r="AF6" s="524" t="inlineStr">
        <is>
          <t>보증</t>
        </is>
      </c>
      <c r="AG6" s="507">
        <f>ROUND($AG$3*C12/$C$14,0)</f>
        <v/>
      </c>
      <c r="AH6" s="505">
        <f>ROUND(AG6*1.1,)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$C$33</f>
        <v/>
      </c>
      <c r="O7" s="516">
        <f>N7-P7-Q7</f>
        <v/>
      </c>
      <c r="P7" s="500">
        <f>L7-$AC$5-$AC$10</f>
        <v/>
      </c>
      <c r="Q7" s="519">
        <f>M7-$AC$6-$AC$11</f>
        <v/>
      </c>
      <c r="R7" s="515">
        <f>$C$57</f>
        <v/>
      </c>
      <c r="S7" s="516">
        <f>R7-T7-U7</f>
        <v/>
      </c>
      <c r="T7" s="500">
        <f>L7-$AC$5-$AC$10-$AC$15-$AC$20</f>
        <v/>
      </c>
      <c r="U7" s="519">
        <f>M7-$AC$6-AC$11-AC$16-AC$21</f>
        <v/>
      </c>
      <c r="V7" s="520" t="n"/>
      <c r="W7" s="521" t="n"/>
      <c r="X7" s="522" t="n"/>
      <c r="Y7" s="523" t="n"/>
      <c r="AA7" s="399" t="n"/>
      <c r="AB7" s="500" t="n"/>
      <c r="AC7" s="206" t="n"/>
      <c r="AE7" s="399" t="n"/>
      <c r="AF7" s="500" t="n"/>
      <c r="AG7" s="206" t="n"/>
      <c r="AH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$C$33</f>
        <v/>
      </c>
      <c r="O8" s="516">
        <f>N8-P8-Q8</f>
        <v/>
      </c>
      <c r="P8" s="500">
        <f>L8-$AC$5-$AC$10</f>
        <v/>
      </c>
      <c r="Q8" s="519">
        <f>M8-$AC$6-$AC$11</f>
        <v/>
      </c>
      <c r="R8" s="515">
        <f>$C$57</f>
        <v/>
      </c>
      <c r="S8" s="516">
        <f>R8-T8-U8</f>
        <v/>
      </c>
      <c r="T8" s="500">
        <f>L8-$AC$5-$AC$10-$AC$15-$AC$20</f>
        <v/>
      </c>
      <c r="U8" s="519">
        <f>M8-$AC$6-AC$11-AC$16-AC$21</f>
        <v/>
      </c>
      <c r="V8" s="520" t="n"/>
      <c r="W8" s="521" t="n"/>
      <c r="X8" s="522" t="n"/>
      <c r="Y8" s="523" t="n"/>
      <c r="AA8" s="378" t="inlineStr">
        <is>
          <t>월 선납할인(V-)</t>
        </is>
      </c>
      <c r="AB8" s="251" t="n"/>
      <c r="AC8" s="525">
        <f>C31/C7</f>
        <v/>
      </c>
      <c r="AE8" s="378" t="inlineStr">
        <is>
          <t>월 선납할인(V-)</t>
        </is>
      </c>
      <c r="AF8" s="251" t="n"/>
      <c r="AG8" s="525">
        <f>C29</f>
        <v/>
      </c>
      <c r="AH8" s="505">
        <f>AG8*1.1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$C$33</f>
        <v/>
      </c>
      <c r="O9" s="516">
        <f>N9-P9-Q9</f>
        <v/>
      </c>
      <c r="P9" s="500">
        <f>L9-$AC$5-$AC$10</f>
        <v/>
      </c>
      <c r="Q9" s="519">
        <f>M9-$AC$6-$AC$11</f>
        <v/>
      </c>
      <c r="R9" s="515">
        <f>$C$57</f>
        <v/>
      </c>
      <c r="S9" s="516">
        <f>R9-T9-U9</f>
        <v/>
      </c>
      <c r="T9" s="500">
        <f>L9-$AC$5-$AC$10-$AC$15-$AC$20</f>
        <v/>
      </c>
      <c r="U9" s="519">
        <f>M9-$AC$6-AC$11-AC$16-AC$21</f>
        <v/>
      </c>
      <c r="V9" s="520" t="n"/>
      <c r="W9" s="521" t="n"/>
      <c r="X9" s="522" t="n"/>
      <c r="Y9" s="523" t="n"/>
      <c r="AA9" s="375" t="n"/>
      <c r="AB9" s="506" t="inlineStr">
        <is>
          <t>제품</t>
        </is>
      </c>
      <c r="AC9" s="507">
        <f>AC8-AC10-AC11</f>
        <v/>
      </c>
      <c r="AE9" s="375" t="n"/>
      <c r="AF9" s="506" t="inlineStr">
        <is>
          <t>제품</t>
        </is>
      </c>
      <c r="AG9" s="507">
        <f>AG8-AG10-AG11</f>
        <v/>
      </c>
      <c r="AH9" s="505">
        <f>ROUND(AG9*1.1,)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$C$33</f>
        <v/>
      </c>
      <c r="O10" s="516">
        <f>N10-P10-Q10</f>
        <v/>
      </c>
      <c r="P10" s="500">
        <f>L10-$AC$5-$AC$10</f>
        <v/>
      </c>
      <c r="Q10" s="519">
        <f>M10-$AC$6-$AC$11</f>
        <v/>
      </c>
      <c r="R10" s="515">
        <f>$C$57</f>
        <v/>
      </c>
      <c r="S10" s="516">
        <f>R10-T10-U10</f>
        <v/>
      </c>
      <c r="T10" s="500">
        <f>L10-$AC$5-$AC$10-$AC$15-$AC$20</f>
        <v/>
      </c>
      <c r="U10" s="519">
        <f>M10-$AC$6-AC$11-AC$16-AC$21</f>
        <v/>
      </c>
      <c r="V10" s="520" t="n"/>
      <c r="W10" s="521" t="n"/>
      <c r="X10" s="522" t="n"/>
      <c r="Y10" s="523" t="n"/>
      <c r="AA10" s="375" t="n"/>
      <c r="AB10" s="506" t="inlineStr">
        <is>
          <t>케어</t>
        </is>
      </c>
      <c r="AC10" s="507">
        <f>ROUND($AC8*$C$11/$C$14,-2)</f>
        <v/>
      </c>
      <c r="AE10" s="375" t="n"/>
      <c r="AF10" s="506" t="inlineStr">
        <is>
          <t>케어</t>
        </is>
      </c>
      <c r="AG10" s="507">
        <f>ROUND($AG8*$C$11/$C$14,0)</f>
        <v/>
      </c>
      <c r="AH10" s="505">
        <f>ROUND(AG10*1.1,)</f>
        <v/>
      </c>
    </row>
    <row r="11">
      <c r="B11" s="9" t="inlineStr">
        <is>
          <t>케어서비스(v-)</t>
        </is>
      </c>
      <c r="C11" s="526" t="n">
        <v>424800</v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$C$33</f>
        <v/>
      </c>
      <c r="O11" s="516">
        <f>N11-P11-Q11</f>
        <v/>
      </c>
      <c r="P11" s="500">
        <f>L11-$AC$5-$AC$10</f>
        <v/>
      </c>
      <c r="Q11" s="519">
        <f>M11-$AC$6-$AC$11</f>
        <v/>
      </c>
      <c r="R11" s="515">
        <f>$C$57</f>
        <v/>
      </c>
      <c r="S11" s="516">
        <f>R11-T11-U11</f>
        <v/>
      </c>
      <c r="T11" s="500">
        <f>L11-$AC$5-$AC$10-$AC$15-$AC$20</f>
        <v/>
      </c>
      <c r="U11" s="519">
        <f>M11-$AC$6-AC$11-AC$16-AC$21</f>
        <v/>
      </c>
      <c r="V11" s="520" t="n"/>
      <c r="W11" s="521" t="n"/>
      <c r="X11" s="522" t="n"/>
      <c r="Y11" s="523" t="n"/>
      <c r="AA11" s="376" t="n"/>
      <c r="AB11" s="524" t="inlineStr">
        <is>
          <t>보증</t>
        </is>
      </c>
      <c r="AC11" s="507">
        <f>ROUND($AC8*$C$12/$C$14,-2)</f>
        <v/>
      </c>
      <c r="AE11" s="376" t="n"/>
      <c r="AF11" s="524" t="inlineStr">
        <is>
          <t>보증</t>
        </is>
      </c>
      <c r="AG11" s="507">
        <f>ROUND($AG8*$C$12/$C$14,0)</f>
        <v/>
      </c>
      <c r="AH11" s="505">
        <f>ROUND(AG11*1.1,)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$C$33</f>
        <v/>
      </c>
      <c r="O12" s="516">
        <f>N12-P12-Q12</f>
        <v/>
      </c>
      <c r="P12" s="500">
        <f>L12-$AC$5-$AC$10</f>
        <v/>
      </c>
      <c r="Q12" s="519">
        <f>M12-$AC$6-$AC$11</f>
        <v/>
      </c>
      <c r="R12" s="515">
        <f>$C$57</f>
        <v/>
      </c>
      <c r="S12" s="516">
        <f>R12-T12-U12</f>
        <v/>
      </c>
      <c r="T12" s="500">
        <f>L12-$AC$5-$AC$10-$AC$15-$AC$20</f>
        <v/>
      </c>
      <c r="U12" s="519">
        <f>M12-$AC$6-AC$11-AC$16-AC$21</f>
        <v/>
      </c>
      <c r="V12" s="515">
        <f>$C$57</f>
        <v/>
      </c>
      <c r="W12" s="516">
        <f>V12-X12-Y12</f>
        <v/>
      </c>
      <c r="X12" s="500">
        <f>$C$11/$C$7-$AC$5-$AC$10-$AC$15-$AC$20</f>
        <v/>
      </c>
      <c r="Y12" s="519">
        <f>$C$12/$C$7-$AC$6-AC$11-AC$16-AC$21</f>
        <v/>
      </c>
      <c r="AA12" s="399" t="n"/>
      <c r="AE12" s="399" t="n"/>
      <c r="AH12" s="505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$C$33</f>
        <v/>
      </c>
      <c r="O13" s="516">
        <f>N13-P13-Q13</f>
        <v/>
      </c>
      <c r="P13" s="500">
        <f>L13-$AC$5-$AC$10</f>
        <v/>
      </c>
      <c r="Q13" s="519">
        <f>M13-$AC$6-$AC$11</f>
        <v/>
      </c>
      <c r="R13" s="515">
        <f>$C$57</f>
        <v/>
      </c>
      <c r="S13" s="516">
        <f>R13-T13-U13</f>
        <v/>
      </c>
      <c r="T13" s="500">
        <f>L13-$AC$5-$AC$10-$AC$15-$AC$20</f>
        <v/>
      </c>
      <c r="U13" s="519">
        <f>M13-$AC$6-AC$11-AC$16-AC$21</f>
        <v/>
      </c>
      <c r="V13" s="515">
        <f>$C$57</f>
        <v/>
      </c>
      <c r="W13" s="516">
        <f>V13-X13-Y13</f>
        <v/>
      </c>
      <c r="X13" s="500">
        <f>$C$11/$C$7-$AC$5-$AC$10-$AC$15-$AC$20</f>
        <v/>
      </c>
      <c r="Y13" s="519">
        <f>$C$12/$C$7-$AC$6-AC$11-AC$16-AC$21</f>
        <v/>
      </c>
      <c r="AA13" s="378" t="inlineStr">
        <is>
          <t>월 단품할인(V-)</t>
        </is>
      </c>
      <c r="AB13" s="251" t="n"/>
      <c r="AC13" s="525">
        <f>C39</f>
        <v/>
      </c>
      <c r="AE13" s="378" t="inlineStr">
        <is>
          <t>월 단품할인(V-)</t>
        </is>
      </c>
      <c r="AF13" s="251" t="n"/>
      <c r="AG13" s="525">
        <f>C39</f>
        <v/>
      </c>
      <c r="AH13" s="505">
        <f>AG13*1.1</f>
        <v/>
      </c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$C$33</f>
        <v/>
      </c>
      <c r="O14" s="516">
        <f>N14-P14-Q14</f>
        <v/>
      </c>
      <c r="P14" s="500">
        <f>L14-$AC$5-$AC$10</f>
        <v/>
      </c>
      <c r="Q14" s="519">
        <f>M14-$AC$6-$AC$11</f>
        <v/>
      </c>
      <c r="R14" s="515">
        <f>$C$57</f>
        <v/>
      </c>
      <c r="S14" s="516">
        <f>R14-T14-U14</f>
        <v/>
      </c>
      <c r="T14" s="500">
        <f>L14-$AC$5-$AC$10-$AC$15-$AC$20</f>
        <v/>
      </c>
      <c r="U14" s="519">
        <f>M14-$AC$6-AC$11-AC$16-AC$21</f>
        <v/>
      </c>
      <c r="V14" s="515">
        <f>$C$57</f>
        <v/>
      </c>
      <c r="W14" s="516">
        <f>V14-X14-Y14</f>
        <v/>
      </c>
      <c r="X14" s="500">
        <f>$C$11/$C$7-$AC$5-$AC$10-$AC$15-$AC$20</f>
        <v/>
      </c>
      <c r="Y14" s="519">
        <f>$C$12/$C$7-$AC$6-AC$11-AC$16-AC$21</f>
        <v/>
      </c>
      <c r="AA14" s="375" t="n"/>
      <c r="AB14" s="506" t="inlineStr">
        <is>
          <t>제품</t>
        </is>
      </c>
      <c r="AC14" s="507">
        <f>AC13-AC15-AC16</f>
        <v/>
      </c>
      <c r="AE14" s="375" t="n"/>
      <c r="AF14" s="506" t="inlineStr">
        <is>
          <t>제품</t>
        </is>
      </c>
      <c r="AG14" s="507">
        <f>AG13-AG15-AG16</f>
        <v/>
      </c>
      <c r="AH14" s="505">
        <f>ROUND(AG14*1.1,)</f>
        <v/>
      </c>
    </row>
    <row r="15">
      <c r="B15" s="9" t="inlineStr">
        <is>
          <t>월구독료(v-)</t>
        </is>
      </c>
      <c r="C15" s="526">
        <f>C14/C7</f>
        <v/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$C$33</f>
        <v/>
      </c>
      <c r="O15" s="516">
        <f>N15-P15-Q15</f>
        <v/>
      </c>
      <c r="P15" s="500">
        <f>L15-$AC$5-$AC$10</f>
        <v/>
      </c>
      <c r="Q15" s="519">
        <f>M15-$AC$6-$AC$11</f>
        <v/>
      </c>
      <c r="R15" s="515">
        <f>$C$57</f>
        <v/>
      </c>
      <c r="S15" s="516">
        <f>R15-T15-U15</f>
        <v/>
      </c>
      <c r="T15" s="500">
        <f>L15-$AC$5-$AC$10-$AC$15-$AC$20</f>
        <v/>
      </c>
      <c r="U15" s="519">
        <f>M15-$AC$6-AC$11-AC$16-AC$21</f>
        <v/>
      </c>
      <c r="V15" s="515">
        <f>$C$57</f>
        <v/>
      </c>
      <c r="W15" s="516">
        <f>V15-X15-Y15</f>
        <v/>
      </c>
      <c r="X15" s="500">
        <f>$C$11/$C$7-$AC$5-$AC$10-$AC$15-$AC$20</f>
        <v/>
      </c>
      <c r="Y15" s="519">
        <f>$C$12/$C$7-$AC$6-AC$11-AC$16-AC$21</f>
        <v/>
      </c>
      <c r="AA15" s="375" t="n"/>
      <c r="AB15" s="506" t="inlineStr">
        <is>
          <t>케어</t>
        </is>
      </c>
      <c r="AC15" s="507">
        <f>ROUND($AC13*$C$11/$C$14,-2)</f>
        <v/>
      </c>
      <c r="AE15" s="375" t="n"/>
      <c r="AF15" s="506" t="inlineStr">
        <is>
          <t>케어</t>
        </is>
      </c>
      <c r="AG15" s="507">
        <f>ROUND($AG13*$C$11/$C$14,0)</f>
        <v/>
      </c>
      <c r="AH15" s="505">
        <f>ROUND(AG15*1.1,)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$C$33</f>
        <v/>
      </c>
      <c r="O16" s="516">
        <f>N16-P16-Q16</f>
        <v/>
      </c>
      <c r="P16" s="500">
        <f>L16-$AC$5-$AC$10</f>
        <v/>
      </c>
      <c r="Q16" s="519">
        <f>M16-$AC$6-$AC$11</f>
        <v/>
      </c>
      <c r="R16" s="515">
        <f>$C$57</f>
        <v/>
      </c>
      <c r="S16" s="516">
        <f>R16-T16-U16</f>
        <v/>
      </c>
      <c r="T16" s="500">
        <f>L16-$AC$5-$AC$10-$AC$15-$AC$20</f>
        <v/>
      </c>
      <c r="U16" s="519">
        <f>M16-$AC$6-AC$11-AC$16-AC$21</f>
        <v/>
      </c>
      <c r="V16" s="515">
        <f>$C$57</f>
        <v/>
      </c>
      <c r="W16" s="516">
        <f>V16-X16-Y16</f>
        <v/>
      </c>
      <c r="X16" s="500">
        <f>$C$11/$C$7-$AC$5-$AC$10-$AC$15-$AC$20</f>
        <v/>
      </c>
      <c r="Y16" s="519">
        <f>$C$12/$C$7-$AC$6-AC$11-AC$16-AC$21</f>
        <v/>
      </c>
      <c r="AA16" s="376" t="n"/>
      <c r="AB16" s="524" t="inlineStr">
        <is>
          <t>보증</t>
        </is>
      </c>
      <c r="AC16" s="507">
        <f>ROUND($AC13*$C$12/$C$14,-2)</f>
        <v/>
      </c>
      <c r="AE16" s="376" t="n"/>
      <c r="AF16" s="524" t="inlineStr">
        <is>
          <t>보증</t>
        </is>
      </c>
      <c r="AG16" s="507">
        <f>ROUND($AG13*$C$12/$C$14,0)</f>
        <v/>
      </c>
      <c r="AH16" s="505">
        <f>ROUND(AG16*1.1,)</f>
        <v/>
      </c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$C$33</f>
        <v/>
      </c>
      <c r="O17" s="516">
        <f>N17-P17-Q17</f>
        <v/>
      </c>
      <c r="P17" s="500">
        <f>L17-$AC$5-$AC$10</f>
        <v/>
      </c>
      <c r="Q17" s="519">
        <f>M17-$AC$6-$AC$11</f>
        <v/>
      </c>
      <c r="R17" s="515">
        <f>$C$57</f>
        <v/>
      </c>
      <c r="S17" s="516">
        <f>R17-T17-U17</f>
        <v/>
      </c>
      <c r="T17" s="500">
        <f>L17-$AC$5-$AC$10-$AC$15-$AC$20</f>
        <v/>
      </c>
      <c r="U17" s="519">
        <f>M17-$AC$6-AC$11-AC$16-AC$21</f>
        <v/>
      </c>
      <c r="V17" s="515">
        <f>$C$57</f>
        <v/>
      </c>
      <c r="W17" s="516">
        <f>V17-X17-Y17</f>
        <v/>
      </c>
      <c r="X17" s="500">
        <f>$C$11/$C$7-$AC$5-$AC$10-$AC$15-$AC$20</f>
        <v/>
      </c>
      <c r="Y17" s="519">
        <f>$C$12/$C$7-$AC$6-AC$11-AC$16-AC$21</f>
        <v/>
      </c>
      <c r="AA17" s="399" t="n"/>
      <c r="AE17" s="399" t="n"/>
      <c r="AH17" s="505" t="n"/>
    </row>
    <row r="18" ht="17.45" customHeight="1" s="497">
      <c r="A18" s="176" t="n"/>
      <c r="B18" s="314" t="inlineStr">
        <is>
          <t>선납금 %</t>
        </is>
      </c>
      <c r="C18" s="349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$C$33</f>
        <v/>
      </c>
      <c r="O18" s="516">
        <f>N18-P18-Q18</f>
        <v/>
      </c>
      <c r="P18" s="500">
        <f>L18-$AC$5-$AC$10</f>
        <v/>
      </c>
      <c r="Q18" s="519">
        <f>M18-$AC$6-$AC$11</f>
        <v/>
      </c>
      <c r="R18" s="515">
        <f>$C$57</f>
        <v/>
      </c>
      <c r="S18" s="516">
        <f>R18-T18-U18</f>
        <v/>
      </c>
      <c r="T18" s="500">
        <f>L18-$AC$5-$AC$10-$AC$15-$AC$20</f>
        <v/>
      </c>
      <c r="U18" s="519">
        <f>M18-$AC$6-AC$11-AC$16-AC$21</f>
        <v/>
      </c>
      <c r="V18" s="515">
        <f>$C$57</f>
        <v/>
      </c>
      <c r="W18" s="516">
        <f>V18-X18-Y18</f>
        <v/>
      </c>
      <c r="X18" s="500">
        <f>$C$11/$C$7-$AC$5-$AC$10-$AC$15-$AC$20</f>
        <v/>
      </c>
      <c r="Y18" s="519">
        <f>$C$12/$C$7-$AC$6-AC$11-AC$16-AC$21</f>
        <v/>
      </c>
      <c r="AA18" s="378" t="inlineStr">
        <is>
          <t>월 결합할인(V-)</t>
        </is>
      </c>
      <c r="AB18" s="251" t="n"/>
      <c r="AC18" s="525">
        <f>C49</f>
        <v/>
      </c>
      <c r="AE18" s="378" t="inlineStr">
        <is>
          <t>월 결합할인(V-)</t>
        </is>
      </c>
      <c r="AF18" s="251" t="n"/>
      <c r="AG18" s="525">
        <f>C49</f>
        <v/>
      </c>
      <c r="AH18" s="505">
        <f>AG18*1.1</f>
        <v/>
      </c>
    </row>
    <row r="19">
      <c r="A19" s="176" t="n"/>
      <c r="B19" s="9" t="inlineStr">
        <is>
          <t>(계산용) 선납금(V+)</t>
        </is>
      </c>
      <c r="C19" s="506">
        <f>C16*C18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$C$33</f>
        <v/>
      </c>
      <c r="O19" s="516">
        <f>N19-P19-Q19</f>
        <v/>
      </c>
      <c r="P19" s="500">
        <f>L19-$AC$5-$AC$10</f>
        <v/>
      </c>
      <c r="Q19" s="519">
        <f>M19-$AC$6-$AC$11</f>
        <v/>
      </c>
      <c r="R19" s="515">
        <f>$C$57</f>
        <v/>
      </c>
      <c r="S19" s="516">
        <f>R19-T19-U19</f>
        <v/>
      </c>
      <c r="T19" s="500">
        <f>L19-$AC$5-$AC$10-$AC$15-$AC$20</f>
        <v/>
      </c>
      <c r="U19" s="519">
        <f>M19-$AC$6-AC$11-AC$16-AC$21</f>
        <v/>
      </c>
      <c r="V19" s="515">
        <f>$C$57</f>
        <v/>
      </c>
      <c r="W19" s="516">
        <f>V19-X19-Y19</f>
        <v/>
      </c>
      <c r="X19" s="500">
        <f>$C$11/$C$7-$AC$5-$AC$10-$AC$15-$AC$20</f>
        <v/>
      </c>
      <c r="Y19" s="519">
        <f>$C$12/$C$7-$AC$6-AC$11-AC$16-AC$21</f>
        <v/>
      </c>
      <c r="AA19" s="375" t="n"/>
      <c r="AB19" s="506" t="inlineStr">
        <is>
          <t>제품</t>
        </is>
      </c>
      <c r="AC19" s="507">
        <f>AC18-AC20-AC21</f>
        <v/>
      </c>
      <c r="AE19" s="375" t="n"/>
      <c r="AF19" s="506" t="inlineStr">
        <is>
          <t>제품</t>
        </is>
      </c>
      <c r="AG19" s="507">
        <f>AG18-AG20-AG21</f>
        <v/>
      </c>
      <c r="AH19" s="505">
        <f>ROUND(AG19*1.1,)</f>
        <v/>
      </c>
    </row>
    <row r="20">
      <c r="A20" s="176" t="n"/>
      <c r="B20" s="9" t="inlineStr">
        <is>
          <t>(계산용) 선납금(V-)</t>
        </is>
      </c>
      <c r="C20" s="506">
        <f>+C19/1.1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$C$33</f>
        <v/>
      </c>
      <c r="O20" s="516">
        <f>N20-P20-Q20</f>
        <v/>
      </c>
      <c r="P20" s="500">
        <f>L20-$AC$5-$AC$10</f>
        <v/>
      </c>
      <c r="Q20" s="519">
        <f>M20-$AC$6-$AC$11</f>
        <v/>
      </c>
      <c r="R20" s="515">
        <f>$C$57</f>
        <v/>
      </c>
      <c r="S20" s="516">
        <f>R20-T20-U20</f>
        <v/>
      </c>
      <c r="T20" s="500">
        <f>L20-$AC$5-$AC$10-$AC$15-$AC$20</f>
        <v/>
      </c>
      <c r="U20" s="519">
        <f>M20-$AC$6-AC$11-AC$16-AC$21</f>
        <v/>
      </c>
      <c r="V20" s="515">
        <f>$C$57</f>
        <v/>
      </c>
      <c r="W20" s="516">
        <f>V20-X20-Y20</f>
        <v/>
      </c>
      <c r="X20" s="500">
        <f>$C$11/$C$7-$AC$5-$AC$10-$AC$15-$AC$20</f>
        <v/>
      </c>
      <c r="Y20" s="519">
        <f>$C$12/$C$7-$AC$6-AC$11-AC$16-AC$21</f>
        <v/>
      </c>
      <c r="AA20" s="375" t="n"/>
      <c r="AB20" s="506" t="inlineStr">
        <is>
          <t>케어</t>
        </is>
      </c>
      <c r="AC20" s="507">
        <f>ROUND($AC18*$C$11/$C$14,-2)</f>
        <v/>
      </c>
      <c r="AE20" s="375" t="n"/>
      <c r="AF20" s="506" t="inlineStr">
        <is>
          <t>케어</t>
        </is>
      </c>
      <c r="AG20" s="507">
        <f>ROUND($AG18*$C$11/$C$14,0)</f>
        <v/>
      </c>
      <c r="AH20" s="505">
        <f>ROUND(AG20*1.1,)</f>
        <v/>
      </c>
    </row>
    <row r="21">
      <c r="A21" s="176" t="n"/>
      <c r="B21" s="9" t="inlineStr">
        <is>
          <t>(계산용) 월 선납금(V-)</t>
        </is>
      </c>
      <c r="C21" s="506">
        <f>+ROUND(C20/C7,-2)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$C$33</f>
        <v/>
      </c>
      <c r="O21" s="516">
        <f>N21-P21-Q21</f>
        <v/>
      </c>
      <c r="P21" s="500">
        <f>L21-$AC$5-$AC$10</f>
        <v/>
      </c>
      <c r="Q21" s="519">
        <f>M21-$AC$6-$AC$11</f>
        <v/>
      </c>
      <c r="R21" s="515">
        <f>$C$57</f>
        <v/>
      </c>
      <c r="S21" s="516">
        <f>R21-T21-U21</f>
        <v/>
      </c>
      <c r="T21" s="500">
        <f>L21-$AC$5-$AC$10-$AC$15-$AC$20</f>
        <v/>
      </c>
      <c r="U21" s="519">
        <f>M21-$AC$6-AC$11-AC$16-AC$21</f>
        <v/>
      </c>
      <c r="V21" s="515">
        <f>$C$57</f>
        <v/>
      </c>
      <c r="W21" s="516">
        <f>V21-X21-Y21</f>
        <v/>
      </c>
      <c r="X21" s="500">
        <f>$C$11/$C$7-$AC$5-$AC$10-$AC$15-$AC$20</f>
        <v/>
      </c>
      <c r="Y21" s="519">
        <f>$C$12/$C$7-$AC$6-AC$11-AC$16-AC$21</f>
        <v/>
      </c>
      <c r="AA21" s="376" t="n"/>
      <c r="AB21" s="524" t="inlineStr">
        <is>
          <t>보증</t>
        </is>
      </c>
      <c r="AC21" s="507">
        <f>ROUND($AC18*$C$12/$C$14,-2)</f>
        <v/>
      </c>
      <c r="AE21" s="376" t="n"/>
      <c r="AF21" s="524" t="inlineStr">
        <is>
          <t>보증</t>
        </is>
      </c>
      <c r="AG21" s="507">
        <f>ROUND($AG18*$C$12/$C$14,0)</f>
        <v/>
      </c>
      <c r="AH21" s="505">
        <f>ROUND(AG21*1.1,)</f>
        <v/>
      </c>
    </row>
    <row r="22">
      <c r="A22" s="176" t="n"/>
      <c r="B22" s="9" t="inlineStr">
        <is>
          <t>(최종) 선납금 (V-)</t>
        </is>
      </c>
      <c r="C22" s="506">
        <f>+C21*C7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$C$33</f>
        <v/>
      </c>
      <c r="O22" s="516">
        <f>N22-P22-Q22</f>
        <v/>
      </c>
      <c r="P22" s="500">
        <f>L22-$AC$5-$AC$10</f>
        <v/>
      </c>
      <c r="Q22" s="519">
        <f>M22-$AC$6-$AC$11</f>
        <v/>
      </c>
      <c r="R22" s="515">
        <f>$C$57</f>
        <v/>
      </c>
      <c r="S22" s="516">
        <f>R22-T22-U22</f>
        <v/>
      </c>
      <c r="T22" s="500">
        <f>L22-$AC$5-$AC$10-$AC$15-$AC$20</f>
        <v/>
      </c>
      <c r="U22" s="519">
        <f>M22-$AC$6-AC$11-AC$16-AC$21</f>
        <v/>
      </c>
      <c r="V22" s="515">
        <f>$C$57</f>
        <v/>
      </c>
      <c r="W22" s="516">
        <f>V22-X22-Y22</f>
        <v/>
      </c>
      <c r="X22" s="500">
        <f>$C$11/$C$7-$AC$5-$AC$10-$AC$15-$AC$20</f>
        <v/>
      </c>
      <c r="Y22" s="519">
        <f>$C$12/$C$7-$AC$6-AC$11-AC$16-AC$21</f>
        <v/>
      </c>
    </row>
    <row r="23">
      <c r="A23" s="176" t="n"/>
      <c r="B23" s="9" t="inlineStr">
        <is>
          <t>(최종) 월 선납금 (V-)</t>
        </is>
      </c>
      <c r="C23" s="506">
        <f>+C22/C7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$C$33</f>
        <v/>
      </c>
      <c r="O23" s="516">
        <f>N23-P23-Q23</f>
        <v/>
      </c>
      <c r="P23" s="500">
        <f>L23-$AC$5-$AC$10</f>
        <v/>
      </c>
      <c r="Q23" s="519">
        <f>M23-$AC$6-$AC$11</f>
        <v/>
      </c>
      <c r="R23" s="515">
        <f>$C$57</f>
        <v/>
      </c>
      <c r="S23" s="516">
        <f>R23-T23-U23</f>
        <v/>
      </c>
      <c r="T23" s="500">
        <f>L23-$AC$5-$AC$10-$AC$15-$AC$20</f>
        <v/>
      </c>
      <c r="U23" s="519">
        <f>M23-$AC$6-AC$11-AC$16-AC$21</f>
        <v/>
      </c>
      <c r="V23" s="515">
        <f>$C$57</f>
        <v/>
      </c>
      <c r="W23" s="516">
        <f>V23-X23-Y23</f>
        <v/>
      </c>
      <c r="X23" s="500">
        <f>$C$11/$C$7-$AC$5-$AC$10-$AC$15-$AC$20</f>
        <v/>
      </c>
      <c r="Y23" s="519">
        <f>$C$12/$C$7-$AC$6-AC$11-AC$16-AC$21</f>
        <v/>
      </c>
    </row>
    <row r="24">
      <c r="B24" s="9" t="inlineStr">
        <is>
          <t>(최종) 선납금 반영 월 구독료 (V+)</t>
        </is>
      </c>
      <c r="C24" s="506">
        <f>+(C15-C23)*1.1</f>
        <v/>
      </c>
      <c r="D24" s="505">
        <f>C22*1.1=C26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$C$33</f>
        <v/>
      </c>
      <c r="O24" s="516">
        <f>N24-P24-Q24</f>
        <v/>
      </c>
      <c r="P24" s="500">
        <f>L24-$AC$5-$AC$10</f>
        <v/>
      </c>
      <c r="Q24" s="519">
        <f>M24-$AC$6-$AC$11</f>
        <v/>
      </c>
      <c r="R24" s="515">
        <f>$C$57</f>
        <v/>
      </c>
      <c r="S24" s="516">
        <f>R24-T24-U24</f>
        <v/>
      </c>
      <c r="T24" s="500">
        <f>L24-$AC$5-$AC$10-$AC$15-$AC$20</f>
        <v/>
      </c>
      <c r="U24" s="519">
        <f>M24-$AC$6-AC$11-AC$16-AC$21</f>
        <v/>
      </c>
      <c r="V24" s="515">
        <f>$C$57</f>
        <v/>
      </c>
      <c r="W24" s="516">
        <f>V24-X24-Y24</f>
        <v/>
      </c>
      <c r="X24" s="500">
        <f>$C$11/$C$7-$AC$5-$AC$10-$AC$15-$AC$20</f>
        <v/>
      </c>
      <c r="Y24" s="519">
        <f>$C$12/$C$7-$AC$6-AC$11-AC$16-AC$21</f>
        <v/>
      </c>
    </row>
    <row r="25">
      <c r="B25" s="9" t="inlineStr">
        <is>
          <t>(최종) 선납금 반영 총 구독료 (V+)</t>
        </is>
      </c>
      <c r="C25" s="506">
        <f>+C24*C7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$C$33</f>
        <v/>
      </c>
      <c r="O25" s="516">
        <f>N25-P25-Q25</f>
        <v/>
      </c>
      <c r="P25" s="500">
        <f>L25-$AC$5-$AC$10</f>
        <v/>
      </c>
      <c r="Q25" s="519">
        <f>M25-$AC$6-$AC$11</f>
        <v/>
      </c>
      <c r="R25" s="515">
        <f>$C$57</f>
        <v/>
      </c>
      <c r="S25" s="516">
        <f>R25-T25-U25</f>
        <v/>
      </c>
      <c r="T25" s="500">
        <f>L25-$AC$5-$AC$10-$AC$15-$AC$20</f>
        <v/>
      </c>
      <c r="U25" s="519">
        <f>M25-$AC$6-AC$11-AC$16-AC$21</f>
        <v/>
      </c>
      <c r="V25" s="515">
        <f>$C$57</f>
        <v/>
      </c>
      <c r="W25" s="516">
        <f>V25-X25-Y25</f>
        <v/>
      </c>
      <c r="X25" s="500">
        <f>$C$11/$C$7-$AC$5-$AC$10-$AC$15-$AC$20</f>
        <v/>
      </c>
      <c r="Y25" s="519">
        <f>$C$12/$C$7-$AC$6-AC$11-AC$16-AC$21</f>
        <v/>
      </c>
      <c r="AA25" s="206" t="inlineStr">
        <is>
          <t>케어서비스 수행 매출</t>
        </is>
      </c>
      <c r="AC25" s="206" t="inlineStr">
        <is>
          <t>할인 회차별 1/n분배</t>
        </is>
      </c>
      <c r="AD25" s="206" t="inlineStr">
        <is>
          <t>할인 회차별 1/n분배</t>
        </is>
      </c>
      <c r="AG25" s="206" t="inlineStr">
        <is>
          <t>할인 회차별 비율분배</t>
        </is>
      </c>
      <c r="AH25" s="206" t="inlineStr">
        <is>
          <t>할인 회차별 비율분배</t>
        </is>
      </c>
    </row>
    <row r="26" ht="17.25" customHeight="1" s="497" thickBot="1">
      <c r="B26" s="9" t="inlineStr">
        <is>
          <t>(최종) 선납금 (V+)</t>
        </is>
      </c>
      <c r="C26" s="506">
        <f>+C16-C25</f>
        <v/>
      </c>
      <c r="D26" s="348" t="inlineStr">
        <is>
          <t>* 정책별 할인율</t>
        </is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$C$33</f>
        <v/>
      </c>
      <c r="O26" s="516">
        <f>N26-P26-Q26</f>
        <v/>
      </c>
      <c r="P26" s="500">
        <f>L26-$AC$5-$AC$10</f>
        <v/>
      </c>
      <c r="Q26" s="519">
        <f>M26-$AC$6-$AC$11</f>
        <v/>
      </c>
      <c r="R26" s="515">
        <f>$C$57</f>
        <v/>
      </c>
      <c r="S26" s="516">
        <f>R26-T26-U26</f>
        <v/>
      </c>
      <c r="T26" s="500">
        <f>L26-$AC$5-$AC$10-$AC$15-$AC$20</f>
        <v/>
      </c>
      <c r="U26" s="519">
        <f>M26-$AC$6-AC$11-AC$16-AC$21</f>
        <v/>
      </c>
      <c r="V26" s="515">
        <f>$C$57</f>
        <v/>
      </c>
      <c r="W26" s="516">
        <f>V26-X26-Y26</f>
        <v/>
      </c>
      <c r="X26" s="500">
        <f>$C$11/$C$7-$AC$5-$AC$10-$AC$15-$AC$20</f>
        <v/>
      </c>
      <c r="Y26" s="519">
        <f>$C$12/$C$7-$AC$6-AC$11-AC$16-AC$21</f>
        <v/>
      </c>
      <c r="AA26" s="2" t="n"/>
      <c r="AB26" s="2" t="inlineStr">
        <is>
          <t>기존</t>
        </is>
      </c>
      <c r="AC26" s="2" t="inlineStr">
        <is>
          <t>선납+단품+결합할인</t>
        </is>
      </c>
      <c r="AD26" s="2" t="inlineStr">
        <is>
          <t>선납+단품+결합할인+6개월 할인</t>
        </is>
      </c>
      <c r="AG26" s="2" t="inlineStr">
        <is>
          <t>선납+단품+결합할인</t>
        </is>
      </c>
      <c r="AH26" s="2" t="inlineStr">
        <is>
          <t>선납+단품+결합할인+6개월 할인</t>
        </is>
      </c>
    </row>
    <row r="27">
      <c r="A27" s="176" t="n"/>
      <c r="B27" s="296" t="inlineStr">
        <is>
          <t>(계산용) 선납 할인금 (V+)</t>
        </is>
      </c>
      <c r="C27" s="528">
        <f>C16*D27</f>
        <v/>
      </c>
      <c r="D27" s="529" t="n">
        <v>0.04</v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$C$33</f>
        <v/>
      </c>
      <c r="O27" s="516">
        <f>N27-P27-Q27</f>
        <v/>
      </c>
      <c r="P27" s="500">
        <f>L27-$AC$5-$AC$10</f>
        <v/>
      </c>
      <c r="Q27" s="519">
        <f>M27-$AC$6-$AC$11</f>
        <v/>
      </c>
      <c r="R27" s="515">
        <f>$C$57</f>
        <v/>
      </c>
      <c r="S27" s="516">
        <f>R27-T27-U27</f>
        <v/>
      </c>
      <c r="T27" s="500">
        <f>L27-$AC$5-$AC$10-$AC$15-$AC$20</f>
        <v/>
      </c>
      <c r="U27" s="519">
        <f>M27-$AC$6-AC$11-AC$16-AC$21</f>
        <v/>
      </c>
      <c r="V27" s="515">
        <f>$C$57</f>
        <v/>
      </c>
      <c r="W27" s="516">
        <f>V27-X27-Y27</f>
        <v/>
      </c>
      <c r="X27" s="500">
        <f>$C$11/$C$7-$AC$5-$AC$10-$AC$15-$AC$20</f>
        <v/>
      </c>
      <c r="Y27" s="519">
        <f>$C$12/$C$7-$AC$6-AC$11-AC$16-AC$21</f>
        <v/>
      </c>
      <c r="AA27" s="527" t="inlineStr">
        <is>
          <t>1회차</t>
        </is>
      </c>
      <c r="AB27" s="506" t="n">
        <v>59600</v>
      </c>
      <c r="AC27" s="507">
        <f>AB27-($AC$5+$AC$10+$AC$15+$AC$20)*12</f>
        <v/>
      </c>
      <c r="AD27" s="507">
        <f>AC27-SUM($T$6:$T$11)*12/$C$7</f>
        <v/>
      </c>
      <c r="AE27" s="500">
        <f>(T2-SUM(T6:T11))*12/72</f>
        <v/>
      </c>
      <c r="AG27" s="507">
        <f>($C$11-SUM($AC$5,$AC$10,$AC$15,$AC$20)*$C$7)*AB27/SUM($AB$27:$AB$32)</f>
        <v/>
      </c>
      <c r="AH27" s="507">
        <f>($C$11-SUM($AC$5,$AC$10,$AC$15,$AC$20)*$C$7-$T$6*6)*AB27/SUM($AB$27:$AB$32)</f>
        <v/>
      </c>
    </row>
    <row r="28">
      <c r="B28" s="298" t="inlineStr">
        <is>
          <t>(계산용) 선납 할인금 (V-)</t>
        </is>
      </c>
      <c r="C28" s="530">
        <f>+C27/1.1</f>
        <v/>
      </c>
      <c r="D28" s="531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$C$33</f>
        <v/>
      </c>
      <c r="O28" s="516">
        <f>N28-P28-Q28</f>
        <v/>
      </c>
      <c r="P28" s="500">
        <f>L28-$AC$5-$AC$10</f>
        <v/>
      </c>
      <c r="Q28" s="519">
        <f>M28-$AC$6-$AC$11</f>
        <v/>
      </c>
      <c r="R28" s="515">
        <f>$C$57</f>
        <v/>
      </c>
      <c r="S28" s="516">
        <f>R28-T28-U28</f>
        <v/>
      </c>
      <c r="T28" s="500">
        <f>L28-$AC$5-$AC$10-$AC$15-$AC$20</f>
        <v/>
      </c>
      <c r="U28" s="519">
        <f>M28-$AC$6-AC$11-AC$16-AC$21</f>
        <v/>
      </c>
      <c r="V28" s="515">
        <f>$C$57</f>
        <v/>
      </c>
      <c r="W28" s="516">
        <f>V28-X28-Y28</f>
        <v/>
      </c>
      <c r="X28" s="500">
        <f>$C$11/$C$7-$AC$5-$AC$10-$AC$15-$AC$20</f>
        <v/>
      </c>
      <c r="Y28" s="519">
        <f>$C$12/$C$7-$AC$6-AC$11-AC$16-AC$21</f>
        <v/>
      </c>
      <c r="AA28" s="527" t="inlineStr">
        <is>
          <t>2회차</t>
        </is>
      </c>
      <c r="AB28" s="506" t="n">
        <v>59600</v>
      </c>
      <c r="AC28" s="507">
        <f>AB28-($AC$5+$AC$10+$AC$15+$AC$20)*12</f>
        <v/>
      </c>
      <c r="AD28" s="507">
        <f>AC28-SUM($T$6:$T$11)*12/$C$7</f>
        <v/>
      </c>
      <c r="AG28" s="507">
        <f>($C$11-SUM($AC$5,$AC$10,$AC$15,$AC$20)*$C$7)*AB28/SUM($AB$27:$AB$32)</f>
        <v/>
      </c>
      <c r="AH28" s="507">
        <f>($C$11-SUM($AC$5,$AC$10,$AC$15,$AC$20)*$C$7-$T$6*6)*AB28/SUM($AB$27:$AB$32)</f>
        <v/>
      </c>
    </row>
    <row r="29">
      <c r="B29" s="298" t="inlineStr">
        <is>
          <t>(계산용) 선납 월할인금 (V-)</t>
        </is>
      </c>
      <c r="C29" s="532">
        <f>+ROUNDUP(C28/C7,-2)</f>
        <v/>
      </c>
      <c r="D29" s="531" t="n"/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$C$33</f>
        <v/>
      </c>
      <c r="O29" s="516">
        <f>N29-P29-Q29</f>
        <v/>
      </c>
      <c r="P29" s="500">
        <f>L29-$AC$5-$AC$10</f>
        <v/>
      </c>
      <c r="Q29" s="519">
        <f>M29-$AC$6-$AC$11</f>
        <v/>
      </c>
      <c r="R29" s="515">
        <f>$C$57</f>
        <v/>
      </c>
      <c r="S29" s="516">
        <f>R29-T29-U29</f>
        <v/>
      </c>
      <c r="T29" s="500">
        <f>L29-$AC$5-$AC$10-$AC$15-$AC$20</f>
        <v/>
      </c>
      <c r="U29" s="519">
        <f>M29-$AC$6-AC$11-AC$16-AC$21</f>
        <v/>
      </c>
      <c r="V29" s="515">
        <f>$C$57</f>
        <v/>
      </c>
      <c r="W29" s="516">
        <f>V29-X29-Y29</f>
        <v/>
      </c>
      <c r="X29" s="500">
        <f>$C$11/$C$7-$AC$5-$AC$10-$AC$15-$AC$20</f>
        <v/>
      </c>
      <c r="Y29" s="519">
        <f>$C$12/$C$7-$AC$6-AC$11-AC$16-AC$21</f>
        <v/>
      </c>
      <c r="AA29" s="527" t="inlineStr">
        <is>
          <t>3회차</t>
        </is>
      </c>
      <c r="AB29" s="506" t="n">
        <v>93200</v>
      </c>
      <c r="AC29" s="507">
        <f>AB29-($AC$5+$AC$10+$AC$15+$AC$20)*12</f>
        <v/>
      </c>
      <c r="AD29" s="507">
        <f>AC29-SUM($T$6:$T$11)*12/$C$7</f>
        <v/>
      </c>
      <c r="AG29" s="507">
        <f>($C$11-SUM($AC$5,$AC$10,$AC$15,$AC$20)*$C$7)*AB29/SUM($AB$27:$AB$32)</f>
        <v/>
      </c>
      <c r="AH29" s="507">
        <f>($C$11-SUM($AC$5,$AC$10,$AC$15,$AC$20)*$C$7-$T$6*6)*AB29/SUM($AB$27:$AB$32)</f>
        <v/>
      </c>
    </row>
    <row r="30" ht="17.25" customHeight="1" s="497" thickBot="1">
      <c r="B30" s="301" t="inlineStr">
        <is>
          <t>(계산용) 선납 월할인금 (V+)</t>
        </is>
      </c>
      <c r="C30" s="533">
        <f>+C29*1.1</f>
        <v/>
      </c>
      <c r="D30" s="534" t="n"/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$C$33</f>
        <v/>
      </c>
      <c r="O30" s="516">
        <f>N30-P30-Q30</f>
        <v/>
      </c>
      <c r="P30" s="500">
        <f>L30-$AC$5-$AC$10</f>
        <v/>
      </c>
      <c r="Q30" s="519">
        <f>M30-$AC$6-$AC$11</f>
        <v/>
      </c>
      <c r="R30" s="515">
        <f>$C$57</f>
        <v/>
      </c>
      <c r="S30" s="516">
        <f>R30-T30-U30</f>
        <v/>
      </c>
      <c r="T30" s="500">
        <f>L30-$AC$5-$AC$10-$AC$15-$AC$20</f>
        <v/>
      </c>
      <c r="U30" s="519">
        <f>M30-$AC$6-AC$11-AC$16-AC$21</f>
        <v/>
      </c>
      <c r="V30" s="515">
        <f>$C$57</f>
        <v/>
      </c>
      <c r="W30" s="516">
        <f>V30-X30-Y30</f>
        <v/>
      </c>
      <c r="X30" s="500">
        <f>$C$11/$C$7-$AC$5-$AC$10-$AC$15-$AC$20</f>
        <v/>
      </c>
      <c r="Y30" s="519">
        <f>$C$12/$C$7-$AC$6-AC$11-AC$16-AC$21</f>
        <v/>
      </c>
      <c r="AA30" s="527" t="inlineStr">
        <is>
          <t>4회차</t>
        </is>
      </c>
      <c r="AB30" s="506" t="n">
        <v>59600</v>
      </c>
      <c r="AC30" s="507">
        <f>AB30-($AC$5+$AC$10+$AC$15+$AC$20)*12</f>
        <v/>
      </c>
      <c r="AD30" s="507">
        <f>AC30-SUM($T$6:$T$11)*12/$C$7</f>
        <v/>
      </c>
      <c r="AG30" s="507">
        <f>($C$11-SUM($AC$5,$AC$10,$AC$15,$AC$20)*$C$7)*AB30/SUM($AB$27:$AB$32)</f>
        <v/>
      </c>
      <c r="AH30" s="507">
        <f>($C$11-SUM($AC$5,$AC$10,$AC$15,$AC$20)*$C$7-$T$6*6)*AB30/SUM($AB$27:$AB$32)</f>
        <v/>
      </c>
    </row>
    <row r="31">
      <c r="B31" s="265" t="inlineStr">
        <is>
          <t>(최종) 선납 할인금 (V-)</t>
        </is>
      </c>
      <c r="C31" s="506">
        <f>+C29*C7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$C$33</f>
        <v/>
      </c>
      <c r="O31" s="516">
        <f>N31-P31-Q31</f>
        <v/>
      </c>
      <c r="P31" s="500">
        <f>L31-$AC$5-$AC$10</f>
        <v/>
      </c>
      <c r="Q31" s="519">
        <f>M31-$AC$6-$AC$11</f>
        <v/>
      </c>
      <c r="R31" s="515">
        <f>$C$57</f>
        <v/>
      </c>
      <c r="S31" s="516">
        <f>R31-T31-U31</f>
        <v/>
      </c>
      <c r="T31" s="500">
        <f>L31-$AC$5-$AC$10-$AC$15-$AC$20</f>
        <v/>
      </c>
      <c r="U31" s="519">
        <f>M31-$AC$6-AC$11-AC$16-AC$21</f>
        <v/>
      </c>
      <c r="V31" s="515">
        <f>$C$57</f>
        <v/>
      </c>
      <c r="W31" s="516">
        <f>V31-X31-Y31</f>
        <v/>
      </c>
      <c r="X31" s="500">
        <f>$C$11/$C$7-$AC$5-$AC$10-$AC$15-$AC$20</f>
        <v/>
      </c>
      <c r="Y31" s="519">
        <f>$C$12/$C$7-$AC$6-AC$11-AC$16-AC$21</f>
        <v/>
      </c>
      <c r="AA31" s="527" t="inlineStr">
        <is>
          <t>5회차</t>
        </is>
      </c>
      <c r="AB31" s="506" t="n">
        <v>59600</v>
      </c>
      <c r="AC31" s="507">
        <f>AB31-($AC$5+$AC$10+$AC$15+$AC$20)*12</f>
        <v/>
      </c>
      <c r="AD31" s="507">
        <f>AC31-SUM($T$6:$T$11)*12/$C$7</f>
        <v/>
      </c>
      <c r="AG31" s="507">
        <f>($C$11-SUM($AC$5,$AC$10,$AC$15,$AC$20)*$C$7)*AB31/SUM($AB$27:$AB$32)</f>
        <v/>
      </c>
      <c r="AH31" s="507">
        <f>($C$11-SUM($AC$5,$AC$10,$AC$15,$AC$20)*$C$7-$T$6*6)*AB31/SUM($AB$27:$AB$32)</f>
        <v/>
      </c>
    </row>
    <row r="32" ht="17.25" customHeight="1" s="497" thickBot="1">
      <c r="B32" s="9" t="inlineStr">
        <is>
          <t>(최종) 선납 할인금 (V+)</t>
        </is>
      </c>
      <c r="C32" s="506">
        <f>+C30*C7</f>
        <v/>
      </c>
      <c r="D32" s="535">
        <f>C31*1.1=C32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$C$33</f>
        <v/>
      </c>
      <c r="O32" s="516">
        <f>N32-P32-Q32</f>
        <v/>
      </c>
      <c r="P32" s="500">
        <f>L32-$AC$5-$AC$10</f>
        <v/>
      </c>
      <c r="Q32" s="519">
        <f>M32-$AC$6-$AC$11</f>
        <v/>
      </c>
      <c r="R32" s="515">
        <f>$C$57</f>
        <v/>
      </c>
      <c r="S32" s="516">
        <f>R32-T32-U32</f>
        <v/>
      </c>
      <c r="T32" s="500">
        <f>L32-$AC$5-$AC$10-$AC$15-$AC$20</f>
        <v/>
      </c>
      <c r="U32" s="519">
        <f>M32-$AC$6-AC$11-AC$16-AC$21</f>
        <v/>
      </c>
      <c r="V32" s="515">
        <f>$C$57</f>
        <v/>
      </c>
      <c r="W32" s="516">
        <f>V32-X32-Y32</f>
        <v/>
      </c>
      <c r="X32" s="500">
        <f>$C$11/$C$7-$AC$5-$AC$10-$AC$15-$AC$20</f>
        <v/>
      </c>
      <c r="Y32" s="519">
        <f>$C$12/$C$7-$AC$6-AC$11-AC$16-AC$21</f>
        <v/>
      </c>
      <c r="AA32" s="527" t="inlineStr">
        <is>
          <t>6회차</t>
        </is>
      </c>
      <c r="AB32" s="506" t="n">
        <v>93200</v>
      </c>
      <c r="AC32" s="507">
        <f>AB32-($AC$5+$AC$10+$AC$15+$AC$20)*12</f>
        <v/>
      </c>
      <c r="AD32" s="507">
        <f>AC32-SUM($T$6:$T$11)*12/$C$7</f>
        <v/>
      </c>
      <c r="AG32" s="507">
        <f>($C$11-SUM($AC$5,$AC$10,$AC$15,$AC$20)*$C$7)*AB32/SUM($AB$27:$AB$32)</f>
        <v/>
      </c>
      <c r="AH32" s="507">
        <f>($C$11-SUM($AC$5,$AC$10,$AC$15,$AC$20)*$C$7-$T$6*6)*AB32/SUM($AB$27:$AB$32)</f>
        <v/>
      </c>
    </row>
    <row r="33">
      <c r="B33" s="293" t="inlineStr">
        <is>
          <t>(최종) 선납금+선납 할인 반영 월 구독료 (V-)</t>
        </is>
      </c>
      <c r="C33" s="536">
        <f>+(C14-C31-C22)/C7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$C$33</f>
        <v/>
      </c>
      <c r="O33" s="516">
        <f>N33-P33-Q33</f>
        <v/>
      </c>
      <c r="P33" s="500">
        <f>L33-$AC$5-$AC$10</f>
        <v/>
      </c>
      <c r="Q33" s="519">
        <f>M33-$AC$6-$AC$11</f>
        <v/>
      </c>
      <c r="R33" s="515">
        <f>$C$57</f>
        <v/>
      </c>
      <c r="S33" s="516">
        <f>R33-T33-U33</f>
        <v/>
      </c>
      <c r="T33" s="500">
        <f>L33-$AC$5-$AC$10-$AC$15-$AC$20</f>
        <v/>
      </c>
      <c r="U33" s="519">
        <f>M33-$AC$6-AC$11-AC$16-AC$21</f>
        <v/>
      </c>
      <c r="V33" s="515">
        <f>$C$57</f>
        <v/>
      </c>
      <c r="W33" s="516">
        <f>V33-X33-Y33</f>
        <v/>
      </c>
      <c r="X33" s="500">
        <f>$C$11/$C$7-$AC$5-$AC$10-$AC$15-$AC$20</f>
        <v/>
      </c>
      <c r="Y33" s="519">
        <f>$C$12/$C$7-$AC$6-AC$11-AC$16-AC$21</f>
        <v/>
      </c>
    </row>
    <row r="34" ht="17.25" customHeight="1" s="497" thickBot="1">
      <c r="B34" s="294" t="inlineStr">
        <is>
          <t>(최종) 선납금+선납 할인 반영 총 구독료 (V-)</t>
        </is>
      </c>
      <c r="C34" s="537">
        <f>C33*C7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$C$33</f>
        <v/>
      </c>
      <c r="O34" s="516">
        <f>N34-P34-Q34</f>
        <v/>
      </c>
      <c r="P34" s="500">
        <f>L34-$AC$5-$AC$10</f>
        <v/>
      </c>
      <c r="Q34" s="519">
        <f>M34-$AC$6-$AC$11</f>
        <v/>
      </c>
      <c r="R34" s="515">
        <f>$C$57</f>
        <v/>
      </c>
      <c r="S34" s="516">
        <f>R34-T34-U34</f>
        <v/>
      </c>
      <c r="T34" s="500">
        <f>L34-$AC$5-$AC$10-$AC$15-$AC$20</f>
        <v/>
      </c>
      <c r="U34" s="519">
        <f>M34-$AC$6-AC$11-AC$16-AC$21</f>
        <v/>
      </c>
      <c r="V34" s="515">
        <f>$C$57</f>
        <v/>
      </c>
      <c r="W34" s="516">
        <f>V34-X34-Y34</f>
        <v/>
      </c>
      <c r="X34" s="500">
        <f>$C$11/$C$7-$AC$5-$AC$10-$AC$15-$AC$20</f>
        <v/>
      </c>
      <c r="Y34" s="519">
        <f>$C$12/$C$7-$AC$6-AC$11-AC$16-AC$21</f>
        <v/>
      </c>
    </row>
    <row r="35">
      <c r="B35" s="295" t="inlineStr">
        <is>
          <t>(최종) 선납금+선납 할인 반영 월 구독료 (V+)</t>
        </is>
      </c>
      <c r="C35" s="538">
        <f>+(C16-C22*1.1-C32)/C7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$C$33</f>
        <v/>
      </c>
      <c r="O35" s="516">
        <f>N35-P35-Q35</f>
        <v/>
      </c>
      <c r="P35" s="500">
        <f>L35-$AC$5-$AC$10</f>
        <v/>
      </c>
      <c r="Q35" s="519">
        <f>M35-$AC$6-$AC$11</f>
        <v/>
      </c>
      <c r="R35" s="515">
        <f>$C$57</f>
        <v/>
      </c>
      <c r="S35" s="516">
        <f>R35-T35-U35</f>
        <v/>
      </c>
      <c r="T35" s="500">
        <f>L35-$AC$5-$AC$10-$AC$15-$AC$20</f>
        <v/>
      </c>
      <c r="U35" s="519">
        <f>M35-$AC$6-AC$11-AC$16-AC$21</f>
        <v/>
      </c>
      <c r="V35" s="515">
        <f>$C$57</f>
        <v/>
      </c>
      <c r="W35" s="516">
        <f>V35-X35-Y35</f>
        <v/>
      </c>
      <c r="X35" s="500">
        <f>$C$11/$C$7-$AC$5-$AC$10-$AC$15-$AC$20</f>
        <v/>
      </c>
      <c r="Y35" s="519">
        <f>$C$12/$C$7-$AC$6-AC$11-AC$16-AC$21</f>
        <v/>
      </c>
      <c r="AA35" s="500" t="inlineStr">
        <is>
          <t>보증연장 매출</t>
        </is>
      </c>
      <c r="AD35" s="539" t="n"/>
    </row>
    <row r="36" ht="17.25" customHeight="1" s="497" thickBot="1">
      <c r="B36" s="294" t="inlineStr">
        <is>
          <t>(최종) 선납금+선납 할인 반영 총 구독료 (V+)</t>
        </is>
      </c>
      <c r="C36" s="537">
        <f>C35*C7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$C$33</f>
        <v/>
      </c>
      <c r="O36" s="516">
        <f>N36-P36-Q36</f>
        <v/>
      </c>
      <c r="P36" s="500">
        <f>L36-$AC$5-$AC$10</f>
        <v/>
      </c>
      <c r="Q36" s="519">
        <f>M36-$AC$6-$AC$11</f>
        <v/>
      </c>
      <c r="R36" s="515">
        <f>$C$57</f>
        <v/>
      </c>
      <c r="S36" s="516">
        <f>R36-T36-U36</f>
        <v/>
      </c>
      <c r="T36" s="500">
        <f>L36-$AC$5-$AC$10-$AC$15-$AC$20</f>
        <v/>
      </c>
      <c r="U36" s="519">
        <f>M36-$AC$6-AC$11-AC$16-AC$21</f>
        <v/>
      </c>
      <c r="V36" s="515">
        <f>$C$57</f>
        <v/>
      </c>
      <c r="W36" s="516">
        <f>V36-X36-Y36</f>
        <v/>
      </c>
      <c r="X36" s="500">
        <f>$C$11/$C$7-$AC$5-$AC$10-$AC$15-$AC$20</f>
        <v/>
      </c>
      <c r="Y36" s="519">
        <f>$C$12/$C$7-$AC$6-AC$11-AC$16-AC$21</f>
        <v/>
      </c>
      <c r="AA36" s="2" t="n"/>
      <c r="AB36" s="2" t="inlineStr">
        <is>
          <t>기존</t>
        </is>
      </c>
      <c r="AC36" s="2" t="inlineStr">
        <is>
          <t>선납+단품+결합할인</t>
        </is>
      </c>
      <c r="AD36" s="2" t="inlineStr">
        <is>
          <t>선납+단품+결합할인+6개월 할인</t>
        </is>
      </c>
    </row>
    <row r="37">
      <c r="B37" s="296" t="inlineStr">
        <is>
          <t>(계산용) 단품 할인금 (V+)</t>
        </is>
      </c>
      <c r="C37" s="528">
        <f>C16*D37</f>
        <v/>
      </c>
      <c r="D37" s="540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$C$33</f>
        <v/>
      </c>
      <c r="O37" s="516">
        <f>N37-P37-Q37</f>
        <v/>
      </c>
      <c r="P37" s="500">
        <f>L37-$AC$5-$AC$10</f>
        <v/>
      </c>
      <c r="Q37" s="519">
        <f>M37-$AC$6-$AC$11</f>
        <v/>
      </c>
      <c r="R37" s="515">
        <f>$C$57</f>
        <v/>
      </c>
      <c r="S37" s="516">
        <f>R37-T37-U37</f>
        <v/>
      </c>
      <c r="T37" s="500">
        <f>L37-$AC$5-$AC$10-$AC$15-$AC$20</f>
        <v/>
      </c>
      <c r="U37" s="519">
        <f>M37-$AC$6-AC$11-AC$16-AC$21</f>
        <v/>
      </c>
      <c r="V37" s="515">
        <f>$C$57</f>
        <v/>
      </c>
      <c r="W37" s="516">
        <f>V37-X37-Y37</f>
        <v/>
      </c>
      <c r="X37" s="500">
        <f>$C$11/$C$7-$AC$5-$AC$10-$AC$15-$AC$20</f>
        <v/>
      </c>
      <c r="Y37" s="519">
        <f>$C$12/$C$7-$AC$6-AC$11-AC$16-AC$21</f>
        <v/>
      </c>
      <c r="AA37" s="527" t="inlineStr">
        <is>
          <t>13개월~</t>
        </is>
      </c>
      <c r="AB37" s="506">
        <f>C12/(C7-12)</f>
        <v/>
      </c>
      <c r="AC37" s="507">
        <f>AB37-($AC$6+$AC$11+$AC$16+$AC$21)*C7/(C7-12)</f>
        <v/>
      </c>
      <c r="AD37" s="507">
        <f>AC37-SUM($U$6:$U$11)/($C$7-12)</f>
        <v/>
      </c>
    </row>
    <row r="38">
      <c r="B38" s="298" t="inlineStr">
        <is>
          <t>(계산용) 단품 할인금 (V-)</t>
        </is>
      </c>
      <c r="C38" s="530">
        <f>+C37/1.1</f>
        <v/>
      </c>
      <c r="D38" s="531" t="n"/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$C$33</f>
        <v/>
      </c>
      <c r="O38" s="516">
        <f>N38-P38-Q38</f>
        <v/>
      </c>
      <c r="P38" s="500">
        <f>L38-$AC$5-$AC$10</f>
        <v/>
      </c>
      <c r="Q38" s="519">
        <f>M38-$AC$6-$AC$11</f>
        <v/>
      </c>
      <c r="R38" s="515">
        <f>$C$57</f>
        <v/>
      </c>
      <c r="S38" s="516">
        <f>R38-T38-U38</f>
        <v/>
      </c>
      <c r="T38" s="500">
        <f>L38-$AC$5-$AC$10-$AC$15-$AC$20</f>
        <v/>
      </c>
      <c r="U38" s="519">
        <f>M38-$AC$6-AC$11-AC$16-AC$21</f>
        <v/>
      </c>
      <c r="V38" s="515">
        <f>$C$57</f>
        <v/>
      </c>
      <c r="W38" s="516">
        <f>V38-X38-Y38</f>
        <v/>
      </c>
      <c r="X38" s="500">
        <f>$C$11/$C$7-$AC$5-$AC$10-$AC$15-$AC$20</f>
        <v/>
      </c>
      <c r="Y38" s="519">
        <f>$C$12/$C$7-$AC$6-AC$11-AC$16-AC$21</f>
        <v/>
      </c>
      <c r="AB38" s="500">
        <f>AB37*60</f>
        <v/>
      </c>
      <c r="AC38" s="500">
        <f>AC37*60</f>
        <v/>
      </c>
      <c r="AD38" s="500">
        <f>AD37*60</f>
        <v/>
      </c>
    </row>
    <row r="39">
      <c r="B39" s="298" t="inlineStr">
        <is>
          <t>(계산용) 단품 월할인금 (V-)</t>
        </is>
      </c>
      <c r="C39" s="532">
        <f>+ROUNDUP(C38/C7,-2)</f>
        <v/>
      </c>
      <c r="D39" s="531" t="n"/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$C$33</f>
        <v/>
      </c>
      <c r="O39" s="516">
        <f>N39-P39-Q39</f>
        <v/>
      </c>
      <c r="P39" s="500">
        <f>L39-$AC$5-$AC$10</f>
        <v/>
      </c>
      <c r="Q39" s="519">
        <f>M39-$AC$6-$AC$11</f>
        <v/>
      </c>
      <c r="R39" s="515">
        <f>$C$57</f>
        <v/>
      </c>
      <c r="S39" s="516">
        <f>R39-T39-U39</f>
        <v/>
      </c>
      <c r="T39" s="500">
        <f>L39-$AC$5-$AC$10-$AC$15-$AC$20</f>
        <v/>
      </c>
      <c r="U39" s="519">
        <f>M39-$AC$6-AC$11-AC$16-AC$21</f>
        <v/>
      </c>
      <c r="V39" s="515">
        <f>$C$57</f>
        <v/>
      </c>
      <c r="W39" s="516">
        <f>V39-X39-Y39</f>
        <v/>
      </c>
      <c r="X39" s="500">
        <f>$C$11/$C$7-$AC$5-$AC$10-$AC$15-$AC$20</f>
        <v/>
      </c>
      <c r="Y39" s="519">
        <f>$C$12/$C$7-$AC$6-AC$11-AC$16-AC$21</f>
        <v/>
      </c>
    </row>
    <row r="40" ht="17.25" customHeight="1" s="497" thickBot="1">
      <c r="B40" s="301" t="inlineStr">
        <is>
          <t>(계산용) 단품 월할인금 (V+)</t>
        </is>
      </c>
      <c r="C40" s="533">
        <f>+C39*1.1</f>
        <v/>
      </c>
      <c r="D40" s="541" t="n"/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$C$33</f>
        <v/>
      </c>
      <c r="O40" s="516">
        <f>N40-P40-Q40</f>
        <v/>
      </c>
      <c r="P40" s="500">
        <f>L40-$AC$5-$AC$10</f>
        <v/>
      </c>
      <c r="Q40" s="519">
        <f>M40-$AC$6-$AC$11</f>
        <v/>
      </c>
      <c r="R40" s="515">
        <f>$C$57</f>
        <v/>
      </c>
      <c r="S40" s="516">
        <f>R40-T40-U40</f>
        <v/>
      </c>
      <c r="T40" s="500">
        <f>L40-$AC$5-$AC$10-$AC$15-$AC$20</f>
        <v/>
      </c>
      <c r="U40" s="519">
        <f>M40-$AC$6-AC$11-AC$16-AC$21</f>
        <v/>
      </c>
      <c r="V40" s="515">
        <f>$C$57</f>
        <v/>
      </c>
      <c r="W40" s="516">
        <f>V40-X40-Y40</f>
        <v/>
      </c>
      <c r="X40" s="500">
        <f>$C$11/$C$7-$AC$5-$AC$10-$AC$15-$AC$20</f>
        <v/>
      </c>
      <c r="Y40" s="519">
        <f>$C$12/$C$7-$AC$6-AC$11-AC$16-AC$21</f>
        <v/>
      </c>
      <c r="AD40" s="500" t="n"/>
    </row>
    <row r="41">
      <c r="B41" s="265" t="inlineStr">
        <is>
          <t>(최종) 단품 할인금 (V-)</t>
        </is>
      </c>
      <c r="C41" s="506">
        <f>+C39*C7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$C$33</f>
        <v/>
      </c>
      <c r="O41" s="516">
        <f>N41-P41-Q41</f>
        <v/>
      </c>
      <c r="P41" s="500">
        <f>L41-$AC$5-$AC$10</f>
        <v/>
      </c>
      <c r="Q41" s="519">
        <f>M41-$AC$6-$AC$11</f>
        <v/>
      </c>
      <c r="R41" s="515">
        <f>$C$57</f>
        <v/>
      </c>
      <c r="S41" s="516">
        <f>R41-T41-U41</f>
        <v/>
      </c>
      <c r="T41" s="500">
        <f>L41-$AC$5-$AC$10-$AC$15-$AC$20</f>
        <v/>
      </c>
      <c r="U41" s="519">
        <f>M41-$AC$6-AC$11-AC$16-AC$21</f>
        <v/>
      </c>
      <c r="V41" s="515">
        <f>$C$57</f>
        <v/>
      </c>
      <c r="W41" s="516">
        <f>V41-X41-Y41</f>
        <v/>
      </c>
      <c r="X41" s="500">
        <f>$C$11/$C$7-$AC$5-$AC$10-$AC$15-$AC$20</f>
        <v/>
      </c>
      <c r="Y41" s="519">
        <f>$C$12/$C$7-$AC$6-AC$11-AC$16-AC$21</f>
        <v/>
      </c>
    </row>
    <row r="42" ht="17.25" customHeight="1" s="497" thickBot="1">
      <c r="B42" s="9" t="inlineStr">
        <is>
          <t>(최종) 단품 할인금 (V+)</t>
        </is>
      </c>
      <c r="C42" s="506">
        <f>+C40*C7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$C$33</f>
        <v/>
      </c>
      <c r="O42" s="516">
        <f>N42-P42-Q42</f>
        <v/>
      </c>
      <c r="P42" s="500">
        <f>L42-$AC$5-$AC$10</f>
        <v/>
      </c>
      <c r="Q42" s="519">
        <f>M42-$AC$6-$AC$11</f>
        <v/>
      </c>
      <c r="R42" s="515">
        <f>$C$57</f>
        <v/>
      </c>
      <c r="S42" s="516">
        <f>R42-T42-U42</f>
        <v/>
      </c>
      <c r="T42" s="500">
        <f>L42-$AC$5-$AC$10-$AC$15-$AC$20</f>
        <v/>
      </c>
      <c r="U42" s="519">
        <f>M42-$AC$6-AC$11-AC$16-AC$21</f>
        <v/>
      </c>
      <c r="V42" s="515">
        <f>$C$57</f>
        <v/>
      </c>
      <c r="W42" s="516">
        <f>V42-X42-Y42</f>
        <v/>
      </c>
      <c r="X42" s="500">
        <f>$C$11/$C$7-$AC$5-$AC$10-$AC$15-$AC$20</f>
        <v/>
      </c>
      <c r="Y42" s="519">
        <f>$C$12/$C$7-$AC$6-AC$11-AC$16-AC$21</f>
        <v/>
      </c>
    </row>
    <row r="43">
      <c r="B43" s="293" t="inlineStr">
        <is>
          <t>(최종) 단품 할인 반영 월 구독료 (V-)</t>
        </is>
      </c>
      <c r="C43" s="536">
        <f>+(C14-C41)/C7</f>
        <v/>
      </c>
      <c r="D43" s="343">
        <f>+C15-C39=C43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$C$33</f>
        <v/>
      </c>
      <c r="O43" s="516">
        <f>N43-P43-Q43</f>
        <v/>
      </c>
      <c r="P43" s="500">
        <f>L43-$AC$5-$AC$10</f>
        <v/>
      </c>
      <c r="Q43" s="519">
        <f>M43-$AC$6-$AC$11</f>
        <v/>
      </c>
      <c r="R43" s="515">
        <f>$C$57</f>
        <v/>
      </c>
      <c r="S43" s="516">
        <f>R43-T43-U43</f>
        <v/>
      </c>
      <c r="T43" s="500">
        <f>L43-$AC$5-$AC$10-$AC$15-$AC$20</f>
        <v/>
      </c>
      <c r="U43" s="519">
        <f>M43-$AC$6-AC$11-AC$16-AC$21</f>
        <v/>
      </c>
      <c r="V43" s="515">
        <f>$C$57</f>
        <v/>
      </c>
      <c r="W43" s="516">
        <f>V43-X43-Y43</f>
        <v/>
      </c>
      <c r="X43" s="500">
        <f>$C$11/$C$7-$AC$5-$AC$10-$AC$15-$AC$20</f>
        <v/>
      </c>
      <c r="Y43" s="519">
        <f>$C$12/$C$7-$AC$6-AC$11-AC$16-AC$21</f>
        <v/>
      </c>
    </row>
    <row r="44" ht="17.25" customHeight="1" s="497" thickBot="1">
      <c r="B44" s="294" t="inlineStr">
        <is>
          <t>(최종) 단품 할인 반영 총 구독료 (V-)</t>
        </is>
      </c>
      <c r="C44" s="537">
        <f>C43*C7</f>
        <v/>
      </c>
      <c r="D44" s="343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$C$33</f>
        <v/>
      </c>
      <c r="O44" s="516">
        <f>N44-P44-Q44</f>
        <v/>
      </c>
      <c r="P44" s="500">
        <f>L44-$AC$5-$AC$10</f>
        <v/>
      </c>
      <c r="Q44" s="519">
        <f>M44-$AC$6-$AC$11</f>
        <v/>
      </c>
      <c r="R44" s="515">
        <f>$C$57</f>
        <v/>
      </c>
      <c r="S44" s="516">
        <f>R44-T44-U44</f>
        <v/>
      </c>
      <c r="T44" s="500">
        <f>L44-$AC$5-$AC$10-$AC$15-$AC$20</f>
        <v/>
      </c>
      <c r="U44" s="519">
        <f>M44-$AC$6-AC$11-AC$16-AC$21</f>
        <v/>
      </c>
      <c r="V44" s="515">
        <f>$C$57</f>
        <v/>
      </c>
      <c r="W44" s="516">
        <f>V44-X44-Y44</f>
        <v/>
      </c>
      <c r="X44" s="500">
        <f>$C$11/$C$7-$AC$5-$AC$10-$AC$15-$AC$20</f>
        <v/>
      </c>
      <c r="Y44" s="519">
        <f>$C$12/$C$7-$AC$6-AC$11-AC$16-AC$21</f>
        <v/>
      </c>
    </row>
    <row r="45">
      <c r="B45" s="295" t="inlineStr">
        <is>
          <t>(최종) 단품 할인 반영 월 구독료 (V+)</t>
        </is>
      </c>
      <c r="C45" s="538">
        <f>+C43*1.1</f>
        <v/>
      </c>
      <c r="D45" s="343">
        <f>+C15*1.1-C40=C45</f>
        <v/>
      </c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$C$33</f>
        <v/>
      </c>
      <c r="O45" s="516">
        <f>N45-P45-Q45</f>
        <v/>
      </c>
      <c r="P45" s="500">
        <f>L45-$AC$5-$AC$10</f>
        <v/>
      </c>
      <c r="Q45" s="519">
        <f>M45-$AC$6-$AC$11</f>
        <v/>
      </c>
      <c r="R45" s="515">
        <f>$C$57</f>
        <v/>
      </c>
      <c r="S45" s="516">
        <f>R45-T45-U45</f>
        <v/>
      </c>
      <c r="T45" s="500">
        <f>L45-$AC$5-$AC$10-$AC$15-$AC$20</f>
        <v/>
      </c>
      <c r="U45" s="519">
        <f>M45-$AC$6-AC$11-AC$16-AC$21</f>
        <v/>
      </c>
      <c r="V45" s="515">
        <f>$C$57</f>
        <v/>
      </c>
      <c r="W45" s="516">
        <f>V45-X45-Y45</f>
        <v/>
      </c>
      <c r="X45" s="500">
        <f>$C$11/$C$7-$AC$5-$AC$10-$AC$15-$AC$20</f>
        <v/>
      </c>
      <c r="Y45" s="519">
        <f>$C$12/$C$7-$AC$6-AC$11-AC$16-AC$21</f>
        <v/>
      </c>
    </row>
    <row r="46" ht="17.25" customHeight="1" s="497" thickBot="1">
      <c r="B46" s="294" t="inlineStr">
        <is>
          <t>(최종) 단품 할인 반영 총 구독료 (V+)</t>
        </is>
      </c>
      <c r="C46" s="537">
        <f>+C45*C7</f>
        <v/>
      </c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$C$33</f>
        <v/>
      </c>
      <c r="O46" s="516">
        <f>N46-P46-Q46</f>
        <v/>
      </c>
      <c r="P46" s="500">
        <f>L46-$AC$5-$AC$10</f>
        <v/>
      </c>
      <c r="Q46" s="519">
        <f>M46-$AC$6-$AC$11</f>
        <v/>
      </c>
      <c r="R46" s="515">
        <f>$C$57</f>
        <v/>
      </c>
      <c r="S46" s="516">
        <f>R46-T46-U46</f>
        <v/>
      </c>
      <c r="T46" s="500">
        <f>L46-$AC$5-$AC$10-$AC$15-$AC$20</f>
        <v/>
      </c>
      <c r="U46" s="519">
        <f>M46-$AC$6-AC$11-AC$16-AC$21</f>
        <v/>
      </c>
      <c r="V46" s="515">
        <f>$C$57</f>
        <v/>
      </c>
      <c r="W46" s="516">
        <f>V46-X46-Y46</f>
        <v/>
      </c>
      <c r="X46" s="500">
        <f>$C$11/$C$7-$AC$5-$AC$10-$AC$15-$AC$20</f>
        <v/>
      </c>
      <c r="Y46" s="519">
        <f>$C$12/$C$7-$AC$6-AC$11-AC$16-AC$21</f>
        <v/>
      </c>
    </row>
    <row r="47">
      <c r="B47" s="296" t="inlineStr">
        <is>
          <t>(계산용) 결합 할인금 (V+)</t>
        </is>
      </c>
      <c r="C47" s="528">
        <f>C16*D47</f>
        <v/>
      </c>
      <c r="D47" s="540" t="n">
        <v>0.05</v>
      </c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$C$33</f>
        <v/>
      </c>
      <c r="O47" s="516">
        <f>N47-P47-Q47</f>
        <v/>
      </c>
      <c r="P47" s="500">
        <f>L47-$AC$5-$AC$10</f>
        <v/>
      </c>
      <c r="Q47" s="519">
        <f>M47-$AC$6-$AC$11</f>
        <v/>
      </c>
      <c r="R47" s="515">
        <f>$C$57</f>
        <v/>
      </c>
      <c r="S47" s="516">
        <f>R47-T47-U47</f>
        <v/>
      </c>
      <c r="T47" s="500">
        <f>L47-$AC$5-$AC$10-$AC$15-$AC$20</f>
        <v/>
      </c>
      <c r="U47" s="519">
        <f>M47-$AC$6-AC$11-AC$16-AC$21</f>
        <v/>
      </c>
      <c r="V47" s="515">
        <f>$C$57</f>
        <v/>
      </c>
      <c r="W47" s="516">
        <f>V47-X47-Y47</f>
        <v/>
      </c>
      <c r="X47" s="500">
        <f>$C$11/$C$7-$AC$5-$AC$10-$AC$15-$AC$20</f>
        <v/>
      </c>
      <c r="Y47" s="519">
        <f>$C$12/$C$7-$AC$6-AC$11-AC$16-AC$21</f>
        <v/>
      </c>
    </row>
    <row r="48">
      <c r="B48" s="298" t="inlineStr">
        <is>
          <t>(계산용) 결합 할인금 (V-)</t>
        </is>
      </c>
      <c r="C48" s="530">
        <f>+C47/1.1</f>
        <v/>
      </c>
      <c r="D48" s="531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$C$33</f>
        <v/>
      </c>
      <c r="O48" s="516">
        <f>N48-P48-Q48</f>
        <v/>
      </c>
      <c r="P48" s="500">
        <f>L48-$AC$5-$AC$10</f>
        <v/>
      </c>
      <c r="Q48" s="519">
        <f>M48-$AC$6-$AC$11</f>
        <v/>
      </c>
      <c r="R48" s="515">
        <f>$C$57</f>
        <v/>
      </c>
      <c r="S48" s="516">
        <f>R48-T48-U48</f>
        <v/>
      </c>
      <c r="T48" s="500">
        <f>L48-$AC$5-$AC$10-$AC$15-$AC$20</f>
        <v/>
      </c>
      <c r="U48" s="519">
        <f>M48-$AC$6-AC$11-AC$16-AC$21</f>
        <v/>
      </c>
      <c r="V48" s="515">
        <f>$C$57</f>
        <v/>
      </c>
      <c r="W48" s="516">
        <f>V48-X48-Y48</f>
        <v/>
      </c>
      <c r="X48" s="500">
        <f>$C$11/$C$7-$AC$5-$AC$10-$AC$15-$AC$20</f>
        <v/>
      </c>
      <c r="Y48" s="519">
        <f>$C$12/$C$7-$AC$6-AC$11-AC$16-AC$21</f>
        <v/>
      </c>
    </row>
    <row r="49">
      <c r="B49" s="298" t="inlineStr">
        <is>
          <t>(계산용) 결합 월할인금 (V-)</t>
        </is>
      </c>
      <c r="C49" s="532">
        <f>+ROUNDUP(C48/C7,-2)</f>
        <v/>
      </c>
      <c r="D49" s="531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$C$33</f>
        <v/>
      </c>
      <c r="O49" s="516">
        <f>N49-P49-Q49</f>
        <v/>
      </c>
      <c r="P49" s="500">
        <f>L49-$AC$5-$AC$10</f>
        <v/>
      </c>
      <c r="Q49" s="519">
        <f>M49-$AC$6-$AC$11</f>
        <v/>
      </c>
      <c r="R49" s="515">
        <f>$C$57</f>
        <v/>
      </c>
      <c r="S49" s="516">
        <f>R49-T49-U49</f>
        <v/>
      </c>
      <c r="T49" s="500">
        <f>L49-$AC$5-$AC$10-$AC$15-$AC$20</f>
        <v/>
      </c>
      <c r="U49" s="519">
        <f>M49-$AC$6-AC$11-AC$16-AC$21</f>
        <v/>
      </c>
      <c r="V49" s="515">
        <f>$C$57</f>
        <v/>
      </c>
      <c r="W49" s="516">
        <f>V49-X49-Y49</f>
        <v/>
      </c>
      <c r="X49" s="500">
        <f>$C$11/$C$7-$AC$5-$AC$10-$AC$15-$AC$20</f>
        <v/>
      </c>
      <c r="Y49" s="519">
        <f>$C$12/$C$7-$AC$6-AC$11-AC$16-AC$21</f>
        <v/>
      </c>
    </row>
    <row r="50" ht="17.25" customHeight="1" s="497" thickBot="1">
      <c r="B50" s="301" t="inlineStr">
        <is>
          <t>(계산용) 결합 월할인금 (V+)</t>
        </is>
      </c>
      <c r="C50" s="533">
        <f>+C49*1.1</f>
        <v/>
      </c>
      <c r="D50" s="541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$C$33</f>
        <v/>
      </c>
      <c r="O50" s="516">
        <f>N50-P50-Q50</f>
        <v/>
      </c>
      <c r="P50" s="500">
        <f>L50-$AC$5-$AC$10</f>
        <v/>
      </c>
      <c r="Q50" s="519">
        <f>M50-$AC$6-$AC$11</f>
        <v/>
      </c>
      <c r="R50" s="515">
        <f>$C$57</f>
        <v/>
      </c>
      <c r="S50" s="516">
        <f>R50-T50-U50</f>
        <v/>
      </c>
      <c r="T50" s="500">
        <f>L50-$AC$5-$AC$10-$AC$15-$AC$20</f>
        <v/>
      </c>
      <c r="U50" s="519">
        <f>M50-$AC$6-AC$11-AC$16-AC$21</f>
        <v/>
      </c>
      <c r="V50" s="515">
        <f>$C$57</f>
        <v/>
      </c>
      <c r="W50" s="516">
        <f>V50-X50-Y50</f>
        <v/>
      </c>
      <c r="X50" s="500">
        <f>$C$11/$C$7-$AC$5-$AC$10-$AC$15-$AC$20</f>
        <v/>
      </c>
      <c r="Y50" s="519">
        <f>$C$12/$C$7-$AC$6-AC$11-AC$16-AC$21</f>
        <v/>
      </c>
    </row>
    <row r="51">
      <c r="B51" s="265" t="inlineStr">
        <is>
          <t>(최종) 결합 할인금 (V-)</t>
        </is>
      </c>
      <c r="C51" s="506">
        <f>+C49*C7</f>
        <v/>
      </c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$C$33</f>
        <v/>
      </c>
      <c r="O51" s="516">
        <f>N51-P51-Q51</f>
        <v/>
      </c>
      <c r="P51" s="500">
        <f>L51-$AC$5-$AC$10</f>
        <v/>
      </c>
      <c r="Q51" s="519">
        <f>M51-$AC$6-$AC$11</f>
        <v/>
      </c>
      <c r="R51" s="515">
        <f>$C$57</f>
        <v/>
      </c>
      <c r="S51" s="516">
        <f>R51-T51-U51</f>
        <v/>
      </c>
      <c r="T51" s="500">
        <f>L51-$AC$5-$AC$10-$AC$15-$AC$20</f>
        <v/>
      </c>
      <c r="U51" s="519">
        <f>M51-$AC$6-AC$11-AC$16-AC$21</f>
        <v/>
      </c>
      <c r="V51" s="515">
        <f>$C$57</f>
        <v/>
      </c>
      <c r="W51" s="516">
        <f>V51-X51-Y51</f>
        <v/>
      </c>
      <c r="X51" s="500">
        <f>$C$11/$C$7-$AC$5-$AC$10-$AC$15-$AC$20</f>
        <v/>
      </c>
      <c r="Y51" s="519">
        <f>$C$12/$C$7-$AC$6-AC$11-AC$16-AC$21</f>
        <v/>
      </c>
    </row>
    <row r="52" ht="17.25" customHeight="1" s="497" thickBot="1">
      <c r="B52" s="9" t="inlineStr">
        <is>
          <t>(최종) 결합 할인금 (V+)</t>
        </is>
      </c>
      <c r="C52" s="506">
        <f>+C50*C7</f>
        <v/>
      </c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$C$33</f>
        <v/>
      </c>
      <c r="O52" s="516">
        <f>N52-P52-Q52</f>
        <v/>
      </c>
      <c r="P52" s="500">
        <f>L52-$AC$5-$AC$10</f>
        <v/>
      </c>
      <c r="Q52" s="519">
        <f>M52-$AC$6-$AC$11</f>
        <v/>
      </c>
      <c r="R52" s="515">
        <f>$C$57</f>
        <v/>
      </c>
      <c r="S52" s="516">
        <f>R52-T52-U52</f>
        <v/>
      </c>
      <c r="T52" s="500">
        <f>L52-$AC$5-$AC$10-$AC$15-$AC$20</f>
        <v/>
      </c>
      <c r="U52" s="519">
        <f>M52-$AC$6-AC$11-AC$16-AC$21</f>
        <v/>
      </c>
      <c r="V52" s="515">
        <f>$C$57</f>
        <v/>
      </c>
      <c r="W52" s="516">
        <f>V52-X52-Y52</f>
        <v/>
      </c>
      <c r="X52" s="500">
        <f>$C$11/$C$7-$AC$5-$AC$10-$AC$15-$AC$20</f>
        <v/>
      </c>
      <c r="Y52" s="519">
        <f>$C$12/$C$7-$AC$6-AC$11-AC$16-AC$21</f>
        <v/>
      </c>
    </row>
    <row r="53">
      <c r="B53" s="293" t="inlineStr">
        <is>
          <t>(최종) 결합 할인 반영 월 구독료 (V-)</t>
        </is>
      </c>
      <c r="C53" s="536">
        <f>+(C14-C51)/C7</f>
        <v/>
      </c>
      <c r="D53" s="343">
        <f>+C15-C49=C53</f>
        <v/>
      </c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$C$33</f>
        <v/>
      </c>
      <c r="O53" s="516">
        <f>N53-P53-Q53</f>
        <v/>
      </c>
      <c r="P53" s="500">
        <f>L53-$AC$5-$AC$10</f>
        <v/>
      </c>
      <c r="Q53" s="519">
        <f>M53-$AC$6-$AC$11</f>
        <v/>
      </c>
      <c r="R53" s="515">
        <f>$C$57</f>
        <v/>
      </c>
      <c r="S53" s="516">
        <f>R53-T53-U53</f>
        <v/>
      </c>
      <c r="T53" s="500">
        <f>L53-$AC$5-$AC$10-$AC$15-$AC$20</f>
        <v/>
      </c>
      <c r="U53" s="519">
        <f>M53-$AC$6-AC$11-AC$16-AC$21</f>
        <v/>
      </c>
      <c r="V53" s="515">
        <f>$C$57</f>
        <v/>
      </c>
      <c r="W53" s="516">
        <f>V53-X53-Y53</f>
        <v/>
      </c>
      <c r="X53" s="500">
        <f>$C$11/$C$7-$AC$5-$AC$10-$AC$15-$AC$20</f>
        <v/>
      </c>
      <c r="Y53" s="519">
        <f>$C$12/$C$7-$AC$6-AC$11-AC$16-AC$21</f>
        <v/>
      </c>
    </row>
    <row r="54" ht="17.25" customHeight="1" s="497" thickBot="1">
      <c r="B54" s="294" t="inlineStr">
        <is>
          <t>(최종) 결합 할인 반영 총 구독료 (V-)</t>
        </is>
      </c>
      <c r="C54" s="537">
        <f>C53*C7</f>
        <v/>
      </c>
      <c r="D54" s="343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$C$33</f>
        <v/>
      </c>
      <c r="O54" s="516">
        <f>N54-P54-Q54</f>
        <v/>
      </c>
      <c r="P54" s="500">
        <f>L54-$AC$5-$AC$10</f>
        <v/>
      </c>
      <c r="Q54" s="519">
        <f>M54-$AC$6-$AC$11</f>
        <v/>
      </c>
      <c r="R54" s="515">
        <f>$C$57</f>
        <v/>
      </c>
      <c r="S54" s="516">
        <f>R54-T54-U54</f>
        <v/>
      </c>
      <c r="T54" s="500">
        <f>L54-$AC$5-$AC$10-$AC$15-$AC$20</f>
        <v/>
      </c>
      <c r="U54" s="519">
        <f>M54-$AC$6-AC$11-AC$16-AC$21</f>
        <v/>
      </c>
      <c r="V54" s="515">
        <f>$C$57</f>
        <v/>
      </c>
      <c r="W54" s="516">
        <f>V54-X54-Y54</f>
        <v/>
      </c>
      <c r="X54" s="500">
        <f>$C$11/$C$7-$AC$5-$AC$10-$AC$15-$AC$20</f>
        <v/>
      </c>
      <c r="Y54" s="519">
        <f>$C$12/$C$7-$AC$6-AC$11-AC$16-AC$21</f>
        <v/>
      </c>
    </row>
    <row r="55">
      <c r="B55" s="295" t="inlineStr">
        <is>
          <t>(최종) 결합 할인 반영 월 구독료 (V+)</t>
        </is>
      </c>
      <c r="C55" s="538">
        <f>+C53*1.1</f>
        <v/>
      </c>
      <c r="D55" s="343">
        <f>+C15*1.1-C50=C55</f>
        <v/>
      </c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$C$33</f>
        <v/>
      </c>
      <c r="O55" s="516">
        <f>N55-P55-Q55</f>
        <v/>
      </c>
      <c r="P55" s="500">
        <f>L55-$AC$5-$AC$10</f>
        <v/>
      </c>
      <c r="Q55" s="519">
        <f>M55-$AC$6-$AC$11</f>
        <v/>
      </c>
      <c r="R55" s="515">
        <f>$C$57</f>
        <v/>
      </c>
      <c r="S55" s="516">
        <f>R55-T55-U55</f>
        <v/>
      </c>
      <c r="T55" s="500">
        <f>L55-$AC$5-$AC$10-$AC$15-$AC$20</f>
        <v/>
      </c>
      <c r="U55" s="519">
        <f>M55-$AC$6-AC$11-AC$16-AC$21</f>
        <v/>
      </c>
      <c r="V55" s="515">
        <f>$C$57</f>
        <v/>
      </c>
      <c r="W55" s="516">
        <f>V55-X55-Y55</f>
        <v/>
      </c>
      <c r="X55" s="500">
        <f>$C$11/$C$7-$AC$5-$AC$10-$AC$15-$AC$20</f>
        <v/>
      </c>
      <c r="Y55" s="519">
        <f>$C$12/$C$7-$AC$6-AC$11-AC$16-AC$21</f>
        <v/>
      </c>
    </row>
    <row r="56" ht="17.25" customHeight="1" s="497" thickBot="1">
      <c r="B56" s="294" t="inlineStr">
        <is>
          <t>(최종) 결합 할인 반영 총 구독료 (V+)</t>
        </is>
      </c>
      <c r="C56" s="537">
        <f>+C55*C7</f>
        <v/>
      </c>
      <c r="D56" s="343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$C$33</f>
        <v/>
      </c>
      <c r="O56" s="516">
        <f>N56-P56-Q56</f>
        <v/>
      </c>
      <c r="P56" s="500">
        <f>L56-$AC$5-$AC$10</f>
        <v/>
      </c>
      <c r="Q56" s="519">
        <f>M56-$AC$6-$AC$11</f>
        <v/>
      </c>
      <c r="R56" s="515">
        <f>$C$57</f>
        <v/>
      </c>
      <c r="S56" s="516">
        <f>R56-T56-U56</f>
        <v/>
      </c>
      <c r="T56" s="500">
        <f>L56-$AC$5-$AC$10-$AC$15-$AC$20</f>
        <v/>
      </c>
      <c r="U56" s="519">
        <f>M56-$AC$6-AC$11-AC$16-AC$21</f>
        <v/>
      </c>
      <c r="V56" s="515">
        <f>$C$57</f>
        <v/>
      </c>
      <c r="W56" s="516">
        <f>V56-X56-Y56</f>
        <v/>
      </c>
      <c r="X56" s="500">
        <f>$C$11/$C$7-$AC$5-$AC$10-$AC$15-$AC$20</f>
        <v/>
      </c>
      <c r="Y56" s="519">
        <f>$C$12/$C$7-$AC$6-AC$11-AC$16-AC$21</f>
        <v/>
      </c>
    </row>
    <row r="57">
      <c r="B57" s="320" t="inlineStr">
        <is>
          <t>(최종) 선납+단품+결합 할인 반영 월 구독료 (V-)</t>
        </is>
      </c>
      <c r="C57" s="542">
        <f>+(C14-C26/1.1-C41-C31-C51)/C7</f>
        <v/>
      </c>
      <c r="D57" s="543">
        <f>+C15-C39-C29-C26/1.1/C7-C49=C57</f>
        <v/>
      </c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$C$33</f>
        <v/>
      </c>
      <c r="O57" s="516">
        <f>N57-P57-Q57</f>
        <v/>
      </c>
      <c r="P57" s="500">
        <f>L57-$AC$5-$AC$10</f>
        <v/>
      </c>
      <c r="Q57" s="519">
        <f>M57-$AC$6-$AC$11</f>
        <v/>
      </c>
      <c r="R57" s="515">
        <f>$C$57</f>
        <v/>
      </c>
      <c r="S57" s="516">
        <f>R57-T57-U57</f>
        <v/>
      </c>
      <c r="T57" s="500">
        <f>L57-$AC$5-$AC$10-$AC$15-$AC$20</f>
        <v/>
      </c>
      <c r="U57" s="519">
        <f>M57-$AC$6-AC$11-AC$16-AC$21</f>
        <v/>
      </c>
      <c r="V57" s="515">
        <f>$C$57</f>
        <v/>
      </c>
      <c r="W57" s="516">
        <f>V57-X57-Y57</f>
        <v/>
      </c>
      <c r="X57" s="500">
        <f>$C$11/$C$7-$AC$5-$AC$10-$AC$15-$AC$20</f>
        <v/>
      </c>
      <c r="Y57" s="519">
        <f>$C$12/$C$7-$AC$6-AC$11-AC$16-AC$21</f>
        <v/>
      </c>
    </row>
    <row r="58" ht="17.25" customHeight="1" s="497" thickBot="1">
      <c r="B58" s="322" t="inlineStr">
        <is>
          <t>(최종) 선납+단품+결합 할인 반영 총 구독료 (V-)</t>
        </is>
      </c>
      <c r="C58" s="544">
        <f>+C57*C7</f>
        <v/>
      </c>
      <c r="D58" s="343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$C$33</f>
        <v/>
      </c>
      <c r="O58" s="516">
        <f>N58-P58-Q58</f>
        <v/>
      </c>
      <c r="P58" s="500">
        <f>L58-$AC$5-$AC$10</f>
        <v/>
      </c>
      <c r="Q58" s="519">
        <f>M58-$AC$6-$AC$11</f>
        <v/>
      </c>
      <c r="R58" s="515">
        <f>$C$57</f>
        <v/>
      </c>
      <c r="S58" s="516">
        <f>R58-T58-U58</f>
        <v/>
      </c>
      <c r="T58" s="500">
        <f>L58-$AC$5-$AC$10-$AC$15-$AC$20</f>
        <v/>
      </c>
      <c r="U58" s="519">
        <f>M58-$AC$6-AC$11-AC$16-AC$21</f>
        <v/>
      </c>
      <c r="V58" s="515">
        <f>$C$57</f>
        <v/>
      </c>
      <c r="W58" s="516">
        <f>V58-X58-Y58</f>
        <v/>
      </c>
      <c r="X58" s="500">
        <f>$C$11/$C$7-$AC$5-$AC$10-$AC$15-$AC$20</f>
        <v/>
      </c>
      <c r="Y58" s="519">
        <f>$C$12/$C$7-$AC$6-AC$11-AC$16-AC$21</f>
        <v/>
      </c>
    </row>
    <row r="59">
      <c r="B59" s="324" t="inlineStr">
        <is>
          <t>(최종) 선납+단품+결합 할인 반영 월 구독료 (V+)</t>
        </is>
      </c>
      <c r="C59" s="545">
        <f>+C57*1.1</f>
        <v/>
      </c>
      <c r="D59" s="343">
        <f>+C15*1.1-C30-C40-C26/C7-C50=C59</f>
        <v/>
      </c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$C$33</f>
        <v/>
      </c>
      <c r="O59" s="516">
        <f>N59-P59-Q59</f>
        <v/>
      </c>
      <c r="P59" s="500">
        <f>L59-$AC$5-$AC$10</f>
        <v/>
      </c>
      <c r="Q59" s="519">
        <f>M59-$AC$6-$AC$11</f>
        <v/>
      </c>
      <c r="R59" s="515">
        <f>$C$57</f>
        <v/>
      </c>
      <c r="S59" s="516">
        <f>R59-T59-U59</f>
        <v/>
      </c>
      <c r="T59" s="500">
        <f>L59-$AC$5-$AC$10-$AC$15-$AC$20</f>
        <v/>
      </c>
      <c r="U59" s="519">
        <f>M59-$AC$6-AC$11-AC$16-AC$21</f>
        <v/>
      </c>
      <c r="V59" s="515">
        <f>$C$57</f>
        <v/>
      </c>
      <c r="W59" s="516">
        <f>V59-X59-Y59</f>
        <v/>
      </c>
      <c r="X59" s="500">
        <f>$C$11/$C$7-$AC$5-$AC$10-$AC$15-$AC$20</f>
        <v/>
      </c>
      <c r="Y59" s="519">
        <f>$C$12/$C$7-$AC$6-AC$11-AC$16-AC$21</f>
        <v/>
      </c>
    </row>
    <row r="60" ht="17.25" customHeight="1" s="497" thickBot="1">
      <c r="B60" s="322" t="inlineStr">
        <is>
          <t>(최종) 선납+단품+결합 할인 반영 총 구독료 (V+)</t>
        </is>
      </c>
      <c r="C60" s="544">
        <f>+C59*C7</f>
        <v/>
      </c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$C$33</f>
        <v/>
      </c>
      <c r="O60" s="516">
        <f>N60-P60-Q60</f>
        <v/>
      </c>
      <c r="P60" s="500">
        <f>L60-$AC$5-$AC$10</f>
        <v/>
      </c>
      <c r="Q60" s="519">
        <f>M60-$AC$6-$AC$11</f>
        <v/>
      </c>
      <c r="R60" s="515">
        <f>$C$57</f>
        <v/>
      </c>
      <c r="S60" s="516">
        <f>R60-T60-U60</f>
        <v/>
      </c>
      <c r="T60" s="500">
        <f>L60-$AC$5-$AC$10-$AC$15-$AC$20</f>
        <v/>
      </c>
      <c r="U60" s="519">
        <f>M60-$AC$6-AC$11-AC$16-AC$21</f>
        <v/>
      </c>
      <c r="V60" s="515">
        <f>$C$57</f>
        <v/>
      </c>
      <c r="W60" s="516">
        <f>V60-X60-Y60</f>
        <v/>
      </c>
      <c r="X60" s="500">
        <f>$C$11/$C$7-$AC$5-$AC$10-$AC$15-$AC$20</f>
        <v/>
      </c>
      <c r="Y60" s="519">
        <f>$C$12/$C$7-$AC$6-AC$11-AC$16-AC$21</f>
        <v/>
      </c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$C$33</f>
        <v/>
      </c>
      <c r="O61" s="516">
        <f>N61-P61-Q61</f>
        <v/>
      </c>
      <c r="P61" s="500">
        <f>L61-$AC$5-$AC$10</f>
        <v/>
      </c>
      <c r="Q61" s="519">
        <f>M61-$AC$6-$AC$11</f>
        <v/>
      </c>
      <c r="R61" s="515">
        <f>$C$57</f>
        <v/>
      </c>
      <c r="S61" s="516">
        <f>R61-T61-U61</f>
        <v/>
      </c>
      <c r="T61" s="500">
        <f>L61-$AC$5-$AC$10-$AC$15-$AC$20</f>
        <v/>
      </c>
      <c r="U61" s="519">
        <f>M61-$AC$6-AC$11-AC$16-AC$21</f>
        <v/>
      </c>
      <c r="V61" s="515">
        <f>$C$57</f>
        <v/>
      </c>
      <c r="W61" s="516">
        <f>V61-X61-Y61</f>
        <v/>
      </c>
      <c r="X61" s="500">
        <f>$C$11/$C$7-$AC$5-$AC$10-$AC$15-$AC$20</f>
        <v/>
      </c>
      <c r="Y61" s="519">
        <f>$C$12/$C$7-$AC$6-AC$11-AC$16-AC$21</f>
        <v/>
      </c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$C$33</f>
        <v/>
      </c>
      <c r="O62" s="516">
        <f>N62-P62-Q62</f>
        <v/>
      </c>
      <c r="P62" s="500">
        <f>L62-$AC$5-$AC$10</f>
        <v/>
      </c>
      <c r="Q62" s="519">
        <f>M62-$AC$6-$AC$11</f>
        <v/>
      </c>
      <c r="R62" s="515">
        <f>$C$57</f>
        <v/>
      </c>
      <c r="S62" s="516">
        <f>R62-T62-U62</f>
        <v/>
      </c>
      <c r="T62" s="500">
        <f>L62-$AC$5-$AC$10-$AC$15-$AC$20</f>
        <v/>
      </c>
      <c r="U62" s="519">
        <f>M62-$AC$6-AC$11-AC$16-AC$21</f>
        <v/>
      </c>
      <c r="V62" s="515">
        <f>$C$57</f>
        <v/>
      </c>
      <c r="W62" s="516">
        <f>V62-X62-Y62</f>
        <v/>
      </c>
      <c r="X62" s="500">
        <f>$C$11/$C$7-$AC$5-$AC$10-$AC$15-$AC$20</f>
        <v/>
      </c>
      <c r="Y62" s="519">
        <f>$C$12/$C$7-$AC$6-AC$11-AC$16-AC$21</f>
        <v/>
      </c>
    </row>
    <row r="63">
      <c r="C63" s="505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$C$33</f>
        <v/>
      </c>
      <c r="O63" s="516">
        <f>N63-P63-Q63</f>
        <v/>
      </c>
      <c r="P63" s="500">
        <f>L63-$AC$5-$AC$10</f>
        <v/>
      </c>
      <c r="Q63" s="519">
        <f>M63-$AC$6-$AC$11</f>
        <v/>
      </c>
      <c r="R63" s="515">
        <f>$C$57</f>
        <v/>
      </c>
      <c r="S63" s="516">
        <f>R63-T63-U63</f>
        <v/>
      </c>
      <c r="T63" s="500">
        <f>L63-$AC$5-$AC$10-$AC$15-$AC$20</f>
        <v/>
      </c>
      <c r="U63" s="519">
        <f>M63-$AC$6-AC$11-AC$16-AC$21</f>
        <v/>
      </c>
      <c r="V63" s="515">
        <f>$C$57</f>
        <v/>
      </c>
      <c r="W63" s="516">
        <f>V63-X63-Y63</f>
        <v/>
      </c>
      <c r="X63" s="500">
        <f>$C$11/$C$7-$AC$5-$AC$10-$AC$15-$AC$20</f>
        <v/>
      </c>
      <c r="Y63" s="519">
        <f>$C$12/$C$7-$AC$6-AC$11-AC$16-AC$21</f>
        <v/>
      </c>
    </row>
    <row r="64">
      <c r="B64" s="9" t="inlineStr">
        <is>
          <t>선납+단품+결합 할인 반영 순수 구독료 (V-)</t>
        </is>
      </c>
      <c r="C64" s="506">
        <f>C58-C11-C12+SUM(AC5:AC6,AC10:AC11,AC15:AC16,AC20:AC21)*C7</f>
        <v/>
      </c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$C$33</f>
        <v/>
      </c>
      <c r="O64" s="516">
        <f>N64-P64-Q64</f>
        <v/>
      </c>
      <c r="P64" s="500">
        <f>L64-$AC$5-$AC$10</f>
        <v/>
      </c>
      <c r="Q64" s="519">
        <f>M64-$AC$6-$AC$11</f>
        <v/>
      </c>
      <c r="R64" s="515">
        <f>$C$57</f>
        <v/>
      </c>
      <c r="S64" s="516">
        <f>R64-T64-U64</f>
        <v/>
      </c>
      <c r="T64" s="500">
        <f>L64-$AC$5-$AC$10-$AC$15-$AC$20</f>
        <v/>
      </c>
      <c r="U64" s="519">
        <f>M64-$AC$6-AC$11-AC$16-AC$21</f>
        <v/>
      </c>
      <c r="V64" s="515">
        <f>$C$57</f>
        <v/>
      </c>
      <c r="W64" s="516">
        <f>V64-X64-Y64</f>
        <v/>
      </c>
      <c r="X64" s="500">
        <f>$C$11/$C$7-$AC$5-$AC$10-$AC$15-$AC$20</f>
        <v/>
      </c>
      <c r="Y64" s="519">
        <f>$C$12/$C$7-$AC$6-AC$11-AC$16-AC$21</f>
        <v/>
      </c>
    </row>
    <row r="65">
      <c r="B65" s="9" t="inlineStr">
        <is>
          <t>선납+단품+결합 할인 반영 순수 구독료 월할 (V-)</t>
        </is>
      </c>
      <c r="C65" s="506">
        <f>C64/C7</f>
        <v/>
      </c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$C$33</f>
        <v/>
      </c>
      <c r="O65" s="516">
        <f>N65-P65-Q65</f>
        <v/>
      </c>
      <c r="P65" s="500">
        <f>L65-$AC$5-$AC$10</f>
        <v/>
      </c>
      <c r="Q65" s="519">
        <f>M65-$AC$6-$AC$11</f>
        <v/>
      </c>
      <c r="R65" s="515">
        <f>$C$57</f>
        <v/>
      </c>
      <c r="S65" s="516">
        <f>R65-T65-U65</f>
        <v/>
      </c>
      <c r="T65" s="500">
        <f>L65-$AC$5-$AC$10-$AC$15-$AC$20</f>
        <v/>
      </c>
      <c r="U65" s="519">
        <f>M65-$AC$6-AC$11-AC$16-AC$21</f>
        <v/>
      </c>
      <c r="V65" s="515">
        <f>$C$57</f>
        <v/>
      </c>
      <c r="W65" s="516">
        <f>V65-X65-Y65</f>
        <v/>
      </c>
      <c r="X65" s="500">
        <f>$C$11/$C$7-$AC$5-$AC$10-$AC$15-$AC$20</f>
        <v/>
      </c>
      <c r="Y65" s="519">
        <f>$C$12/$C$7-$AC$6-AC$11-AC$16-AC$21</f>
        <v/>
      </c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$C$33</f>
        <v/>
      </c>
      <c r="O66" s="516">
        <f>N66-P66-Q66</f>
        <v/>
      </c>
      <c r="P66" s="500">
        <f>L66-$AC$5-$AC$10</f>
        <v/>
      </c>
      <c r="Q66" s="519">
        <f>M66-$AC$6-$AC$11</f>
        <v/>
      </c>
      <c r="R66" s="515">
        <f>$C$57</f>
        <v/>
      </c>
      <c r="S66" s="516">
        <f>R66-T66-U66</f>
        <v/>
      </c>
      <c r="T66" s="500">
        <f>L66-$AC$5-$AC$10-$AC$15-$AC$20</f>
        <v/>
      </c>
      <c r="U66" s="519">
        <f>M66-$AC$6-AC$11-AC$16-AC$21</f>
        <v/>
      </c>
      <c r="V66" s="515">
        <f>$C$57</f>
        <v/>
      </c>
      <c r="W66" s="516">
        <f>V66-X66-Y66</f>
        <v/>
      </c>
      <c r="X66" s="500">
        <f>$C$11/$C$7-$AC$5-$AC$10-$AC$15-$AC$20</f>
        <v/>
      </c>
      <c r="Y66" s="519">
        <f>$C$12/$C$7-$AC$6-AC$11-AC$16-AC$21</f>
        <v/>
      </c>
    </row>
    <row r="67">
      <c r="C67" s="505">
        <f>(C15*1.1)*5%/1.1</f>
        <v/>
      </c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$C$33</f>
        <v/>
      </c>
      <c r="O67" s="516">
        <f>N67-P67-Q67</f>
        <v/>
      </c>
      <c r="P67" s="500">
        <f>L67-$AC$5-$AC$10</f>
        <v/>
      </c>
      <c r="Q67" s="519">
        <f>M67-$AC$6-$AC$11</f>
        <v/>
      </c>
      <c r="R67" s="515">
        <f>$C$57</f>
        <v/>
      </c>
      <c r="S67" s="516">
        <f>R67-T67-U67</f>
        <v/>
      </c>
      <c r="T67" s="500">
        <f>L67-$AC$5-$AC$10-$AC$15-$AC$20</f>
        <v/>
      </c>
      <c r="U67" s="519">
        <f>M67-$AC$6-AC$11-AC$16-AC$21</f>
        <v/>
      </c>
      <c r="V67" s="515">
        <f>$C$57</f>
        <v/>
      </c>
      <c r="W67" s="516">
        <f>V67-X67-Y67</f>
        <v/>
      </c>
      <c r="X67" s="500">
        <f>$C$11/$C$7-$AC$5-$AC$10-$AC$15-$AC$20</f>
        <v/>
      </c>
      <c r="Y67" s="519">
        <f>$C$12/$C$7-$AC$6-AC$11-AC$16-AC$21</f>
        <v/>
      </c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$C$33</f>
        <v/>
      </c>
      <c r="O68" s="516">
        <f>N68-P68-Q68</f>
        <v/>
      </c>
      <c r="P68" s="500">
        <f>L68-$AC$5-$AC$10</f>
        <v/>
      </c>
      <c r="Q68" s="519">
        <f>M68-$AC$6-$AC$11</f>
        <v/>
      </c>
      <c r="R68" s="515">
        <f>$C$57</f>
        <v/>
      </c>
      <c r="S68" s="516">
        <f>R68-T68-U68</f>
        <v/>
      </c>
      <c r="T68" s="500">
        <f>L68-$AC$5-$AC$10-$AC$15-$AC$20</f>
        <v/>
      </c>
      <c r="U68" s="519">
        <f>M68-$AC$6-AC$11-AC$16-AC$21</f>
        <v/>
      </c>
      <c r="V68" s="515">
        <f>$C$57</f>
        <v/>
      </c>
      <c r="W68" s="516">
        <f>V68-X68-Y68</f>
        <v/>
      </c>
      <c r="X68" s="500">
        <f>$C$11/$C$7-$AC$5-$AC$10-$AC$15-$AC$20</f>
        <v/>
      </c>
      <c r="Y68" s="519">
        <f>$C$12/$C$7-$AC$6-AC$11-AC$16-AC$21</f>
        <v/>
      </c>
    </row>
    <row r="69">
      <c r="C69" s="500" t="n"/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$C$33</f>
        <v/>
      </c>
      <c r="O69" s="516">
        <f>N69-P69-Q69</f>
        <v/>
      </c>
      <c r="P69" s="500">
        <f>L69-$AC$5-$AC$10</f>
        <v/>
      </c>
      <c r="Q69" s="519">
        <f>M69-$AC$6-$AC$11</f>
        <v/>
      </c>
      <c r="R69" s="515">
        <f>$C$57</f>
        <v/>
      </c>
      <c r="S69" s="516">
        <f>R69-T69-U69</f>
        <v/>
      </c>
      <c r="T69" s="500">
        <f>L69-$AC$5-$AC$10-$AC$15-$AC$20</f>
        <v/>
      </c>
      <c r="U69" s="519">
        <f>M69-$AC$6-AC$11-AC$16-AC$21</f>
        <v/>
      </c>
      <c r="V69" s="515">
        <f>$C$57</f>
        <v/>
      </c>
      <c r="W69" s="516">
        <f>V69-X69-Y69</f>
        <v/>
      </c>
      <c r="X69" s="500">
        <f>$C$11/$C$7-$AC$5-$AC$10-$AC$15-$AC$20</f>
        <v/>
      </c>
      <c r="Y69" s="519">
        <f>$C$12/$C$7-$AC$6-AC$11-AC$16-AC$21</f>
        <v/>
      </c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$C$33</f>
        <v/>
      </c>
      <c r="O70" s="516">
        <f>N70-P70-Q70</f>
        <v/>
      </c>
      <c r="P70" s="500">
        <f>L70-$AC$5-$AC$10</f>
        <v/>
      </c>
      <c r="Q70" s="519">
        <f>M70-$AC$6-$AC$11</f>
        <v/>
      </c>
      <c r="R70" s="515">
        <f>$C$57</f>
        <v/>
      </c>
      <c r="S70" s="516">
        <f>R70-T70-U70</f>
        <v/>
      </c>
      <c r="T70" s="500">
        <f>L70-$AC$5-$AC$10-$AC$15-$AC$20</f>
        <v/>
      </c>
      <c r="U70" s="519">
        <f>M70-$AC$6-AC$11-AC$16-AC$21</f>
        <v/>
      </c>
      <c r="V70" s="515">
        <f>$C$57</f>
        <v/>
      </c>
      <c r="W70" s="516">
        <f>V70-X70-Y70</f>
        <v/>
      </c>
      <c r="X70" s="500">
        <f>$C$11/$C$7-$AC$5-$AC$10-$AC$15-$AC$20</f>
        <v/>
      </c>
      <c r="Y70" s="519">
        <f>$C$12/$C$7-$AC$6-AC$11-AC$16-AC$21</f>
        <v/>
      </c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$C$33</f>
        <v/>
      </c>
      <c r="O71" s="516">
        <f>N71-P71-Q71</f>
        <v/>
      </c>
      <c r="P71" s="500">
        <f>L71-$AC$5-$AC$10</f>
        <v/>
      </c>
      <c r="Q71" s="519">
        <f>M71-$AC$6-$AC$11</f>
        <v/>
      </c>
      <c r="R71" s="515">
        <f>$C$57</f>
        <v/>
      </c>
      <c r="S71" s="516">
        <f>R71-T71-U71</f>
        <v/>
      </c>
      <c r="T71" s="500">
        <f>L71-$AC$5-$AC$10-$AC$15-$AC$20</f>
        <v/>
      </c>
      <c r="U71" s="519">
        <f>M71-$AC$6-AC$11-AC$16-AC$21</f>
        <v/>
      </c>
      <c r="V71" s="515">
        <f>$C$57</f>
        <v/>
      </c>
      <c r="W71" s="516">
        <f>V71-X71-Y71</f>
        <v/>
      </c>
      <c r="X71" s="500">
        <f>$C$11/$C$7-$AC$5-$AC$10-$AC$15-$AC$20</f>
        <v/>
      </c>
      <c r="Y71" s="519">
        <f>$C$12/$C$7-$AC$6-AC$11-AC$16-AC$21</f>
        <v/>
      </c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$C$33</f>
        <v/>
      </c>
      <c r="O72" s="516">
        <f>N72-P72-Q72</f>
        <v/>
      </c>
      <c r="P72" s="500">
        <f>L72-$AC$5-$AC$10</f>
        <v/>
      </c>
      <c r="Q72" s="519">
        <f>M72-$AC$6-$AC$11</f>
        <v/>
      </c>
      <c r="R72" s="515">
        <f>$C$57</f>
        <v/>
      </c>
      <c r="S72" s="516">
        <f>R72-T72-U72</f>
        <v/>
      </c>
      <c r="T72" s="500">
        <f>L72-$AC$5-$AC$10-$AC$15-$AC$20</f>
        <v/>
      </c>
      <c r="U72" s="519">
        <f>M72-$AC$6-AC$11-AC$16-AC$21</f>
        <v/>
      </c>
      <c r="V72" s="515">
        <f>$C$57</f>
        <v/>
      </c>
      <c r="W72" s="516">
        <f>V72-X72-Y72</f>
        <v/>
      </c>
      <c r="X72" s="500">
        <f>$C$11/$C$7-$AC$5-$AC$10-$AC$15-$AC$20</f>
        <v/>
      </c>
      <c r="Y72" s="519">
        <f>$C$12/$C$7-$AC$6-AC$11-AC$16-AC$21</f>
        <v/>
      </c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$C$33</f>
        <v/>
      </c>
      <c r="O73" s="516">
        <f>N73-P73-Q73</f>
        <v/>
      </c>
      <c r="P73" s="500">
        <f>L73-$AC$5-$AC$10</f>
        <v/>
      </c>
      <c r="Q73" s="519">
        <f>M73-$AC$6-$AC$11</f>
        <v/>
      </c>
      <c r="R73" s="515">
        <f>$C$57</f>
        <v/>
      </c>
      <c r="S73" s="516">
        <f>R73-T73-U73</f>
        <v/>
      </c>
      <c r="T73" s="500">
        <f>L73-$AC$5-$AC$10-$AC$15-$AC$20</f>
        <v/>
      </c>
      <c r="U73" s="519">
        <f>M73-$AC$6-AC$11-AC$16-AC$21</f>
        <v/>
      </c>
      <c r="V73" s="515">
        <f>$C$57</f>
        <v/>
      </c>
      <c r="W73" s="516">
        <f>V73-X73-Y73</f>
        <v/>
      </c>
      <c r="X73" s="500">
        <f>$C$11/$C$7-$AC$5-$AC$10-$AC$15-$AC$20</f>
        <v/>
      </c>
      <c r="Y73" s="519">
        <f>$C$12/$C$7-$AC$6-AC$11-AC$16-AC$21</f>
        <v/>
      </c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$C$33</f>
        <v/>
      </c>
      <c r="O74" s="516">
        <f>N74-P74-Q74</f>
        <v/>
      </c>
      <c r="P74" s="500">
        <f>L74-$AC$5-$AC$10</f>
        <v/>
      </c>
      <c r="Q74" s="519">
        <f>M74-$AC$6-$AC$11</f>
        <v/>
      </c>
      <c r="R74" s="515">
        <f>$C$57</f>
        <v/>
      </c>
      <c r="S74" s="516">
        <f>R74-T74-U74</f>
        <v/>
      </c>
      <c r="T74" s="500">
        <f>L74-$AC$5-$AC$10-$AC$15-$AC$20</f>
        <v/>
      </c>
      <c r="U74" s="519">
        <f>M74-$AC$6-AC$11-AC$16-AC$21</f>
        <v/>
      </c>
      <c r="V74" s="515">
        <f>$C$57</f>
        <v/>
      </c>
      <c r="W74" s="516">
        <f>V74-X74-Y74</f>
        <v/>
      </c>
      <c r="X74" s="500">
        <f>$C$11/$C$7-$AC$5-$AC$10-$AC$15-$AC$20</f>
        <v/>
      </c>
      <c r="Y74" s="519">
        <f>$C$12/$C$7-$AC$6-AC$11-AC$16-AC$21</f>
        <v/>
      </c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$C$33</f>
        <v/>
      </c>
      <c r="O75" s="516">
        <f>N75-P75-Q75</f>
        <v/>
      </c>
      <c r="P75" s="500">
        <f>L75-$AC$5-$AC$10</f>
        <v/>
      </c>
      <c r="Q75" s="519">
        <f>M75-$AC$6-$AC$11</f>
        <v/>
      </c>
      <c r="R75" s="515">
        <f>$C$57</f>
        <v/>
      </c>
      <c r="S75" s="516">
        <f>R75-T75-U75</f>
        <v/>
      </c>
      <c r="T75" s="500">
        <f>L75-$AC$5-$AC$10-$AC$15-$AC$20</f>
        <v/>
      </c>
      <c r="U75" s="519">
        <f>M75-$AC$6-AC$11-AC$16-AC$21</f>
        <v/>
      </c>
      <c r="V75" s="515">
        <f>$C$57</f>
        <v/>
      </c>
      <c r="W75" s="516">
        <f>V75-X75-Y75</f>
        <v/>
      </c>
      <c r="X75" s="500">
        <f>$C$11/$C$7-$AC$5-$AC$10-$AC$15-$AC$20</f>
        <v/>
      </c>
      <c r="Y75" s="519">
        <f>$C$12/$C$7-$AC$6-AC$11-AC$16-AC$21</f>
        <v/>
      </c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$C$33</f>
        <v/>
      </c>
      <c r="O76" s="516">
        <f>N76-P76-Q76</f>
        <v/>
      </c>
      <c r="P76" s="500">
        <f>L76-$AC$5-$AC$10</f>
        <v/>
      </c>
      <c r="Q76" s="519">
        <f>M76-$AC$6-$AC$11</f>
        <v/>
      </c>
      <c r="R76" s="515">
        <f>$C$57</f>
        <v/>
      </c>
      <c r="S76" s="516">
        <f>R76-T76-U76</f>
        <v/>
      </c>
      <c r="T76" s="500">
        <f>L76-$AC$5-$AC$10-$AC$15-$AC$20</f>
        <v/>
      </c>
      <c r="U76" s="519">
        <f>M76-$AC$6-AC$11-AC$16-AC$21</f>
        <v/>
      </c>
      <c r="V76" s="515">
        <f>$C$57</f>
        <v/>
      </c>
      <c r="W76" s="516">
        <f>V76-X76-Y76</f>
        <v/>
      </c>
      <c r="X76" s="500">
        <f>$C$11/$C$7-$AC$5-$AC$10-$AC$15-$AC$20</f>
        <v/>
      </c>
      <c r="Y76" s="519">
        <f>$C$12/$C$7-$AC$6-AC$11-AC$16-AC$21</f>
        <v/>
      </c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46">
        <f>$C$33-N5</f>
        <v/>
      </c>
      <c r="O77" s="547">
        <f>N77-P77-Q77</f>
        <v/>
      </c>
      <c r="P77" s="550">
        <f>($C$11/$C$7-$AC$5-$AC$10)-P5</f>
        <v/>
      </c>
      <c r="Q77" s="551">
        <f>($C$12/$C$7-$AC$6-$AC$11)-Q5</f>
        <v/>
      </c>
      <c r="R77" s="546">
        <f>$C$57-R5</f>
        <v/>
      </c>
      <c r="S77" s="547">
        <f>R77-T77-U77</f>
        <v/>
      </c>
      <c r="T77" s="550">
        <f>($C$11/$C$7-$AC$5-$AC$10-$AC$15-$AC$20)-T5</f>
        <v/>
      </c>
      <c r="U77" s="551">
        <f>($C$12/$C$7-$AC$6-$AC$11-$AC$16-$AC$21)-U5</f>
        <v/>
      </c>
      <c r="V77" s="546">
        <f>$C$57-V5</f>
        <v/>
      </c>
      <c r="W77" s="547">
        <f>V77-X77-Y77</f>
        <v/>
      </c>
      <c r="X77" s="550">
        <f>($C$11/$C$7-$AC$5-$AC$10-$AC$15-$AC$20)-X5</f>
        <v/>
      </c>
      <c r="Y77" s="551">
        <f>($C$12/$C$7-$AC$6-$AC$11-$AC$16-$AC$21)-Y5</f>
        <v/>
      </c>
    </row>
    <row r="78">
      <c r="O78" s="500" t="n"/>
      <c r="S78" s="500" t="n"/>
      <c r="W78" s="500" t="n"/>
    </row>
  </sheetData>
  <mergeCells count="3">
    <mergeCell ref="D47:D50"/>
    <mergeCell ref="D27:D30"/>
    <mergeCell ref="D37:D40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/>
  </sheetPr>
  <dimension ref="A1:AP79"/>
  <sheetViews>
    <sheetView showGridLines="0" topLeftCell="A25" zoomScale="70" zoomScaleNormal="70" workbookViewId="0">
      <selection activeCell="A9" sqref="A9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hidden="1" width="13.375" customWidth="1" style="224" min="10" max="11"/>
    <col hidden="1" width="12.125" customWidth="1" style="224" min="12" max="12"/>
    <col hidden="1" width="10.5" customWidth="1" style="224" min="13" max="14"/>
    <col hidden="1" width="12.125" customWidth="1" style="224" min="15" max="15"/>
    <col width="20" bestFit="1" customWidth="1" style="497" min="16" max="16"/>
    <col width="13.375" bestFit="1" customWidth="1" style="497" min="17" max="17"/>
    <col width="12.125" bestFit="1" customWidth="1" style="497" min="18" max="18"/>
    <col width="10.5" bestFit="1" customWidth="1" style="497" min="19" max="19"/>
    <col width="10.5" customWidth="1" style="497" min="20" max="20"/>
    <col width="12.125" bestFit="1" customWidth="1" style="497" min="21" max="21"/>
    <col width="20" bestFit="1" customWidth="1" style="497" min="22" max="22"/>
    <col width="12.125" customWidth="1" style="497" min="23" max="24"/>
    <col width="10.5" customWidth="1" style="497" min="25" max="26"/>
    <col width="13.125" customWidth="1" style="497" min="27" max="27"/>
    <col width="20" bestFit="1" customWidth="1" style="497" min="28" max="28"/>
    <col width="12.125" customWidth="1" style="497" min="29" max="30"/>
    <col width="10.5" customWidth="1" style="497" min="31" max="32"/>
    <col width="13.125" customWidth="1" style="497" min="33" max="33"/>
    <col width="13.125" bestFit="1" customWidth="1" style="497" min="35" max="35"/>
    <col width="9.1875" bestFit="1" customWidth="1" style="497" min="36" max="36"/>
    <col width="13" bestFit="1" customWidth="1" style="497" min="37" max="37"/>
    <col width="13.125" bestFit="1" customWidth="1" style="497" min="39" max="39"/>
    <col width="7.125" bestFit="1" customWidth="1" style="497" min="40" max="40"/>
    <col width="13" bestFit="1" customWidth="1" style="497" min="41" max="41"/>
    <col width="10.625" bestFit="1" customWidth="1" style="497" min="42" max="42"/>
  </cols>
  <sheetData>
    <row r="1">
      <c r="I1" s="552" t="n"/>
      <c r="J1" s="244" t="n"/>
      <c r="K1" s="245" t="n"/>
      <c r="L1" s="245" t="n"/>
      <c r="M1" s="245" t="n"/>
      <c r="N1" s="245" t="n"/>
      <c r="O1" s="553" t="n"/>
      <c r="P1" s="505">
        <f>P2=C20/1.1</f>
        <v/>
      </c>
      <c r="Q1" s="505" t="n"/>
      <c r="R1" s="505" t="n"/>
      <c r="S1" s="505" t="n"/>
      <c r="T1" s="500" t="n"/>
      <c r="U1" s="505" t="n"/>
      <c r="V1" s="206">
        <f>V2=C68/1.1</f>
        <v/>
      </c>
      <c r="W1" s="500">
        <f>Q2-(AK4+AK9+AK14+AK19)*C8</f>
        <v/>
      </c>
      <c r="Y1" s="500">
        <f>S2-(AK6+AK11+AK16+AK21)*C8</f>
        <v/>
      </c>
      <c r="AB1" s="206">
        <f>AB2=I68/1.1</f>
        <v/>
      </c>
      <c r="AC1" s="500">
        <f>W2-(AQ4+AQ9+AQ14+AQ19)*I8</f>
        <v/>
      </c>
      <c r="AE1" s="500">
        <f>Y2-(AQ6+AQ11+AQ16+AQ21)*I8</f>
        <v/>
      </c>
    </row>
    <row r="2">
      <c r="I2" s="8" t="inlineStr">
        <is>
          <t>SUM =</t>
        </is>
      </c>
      <c r="J2" s="554">
        <f>SUM(J6:J78)</f>
        <v/>
      </c>
      <c r="K2" s="554">
        <f>SUM(K6:K78)</f>
        <v/>
      </c>
      <c r="L2" s="554">
        <f>SUM(L6:L78)</f>
        <v/>
      </c>
      <c r="M2" s="554">
        <f>SUM(M6:M78)</f>
        <v/>
      </c>
      <c r="N2" s="554">
        <f>SUM(N6:N78)</f>
        <v/>
      </c>
      <c r="O2" s="554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V2" s="500">
        <f>SUM(V6:V78)</f>
        <v/>
      </c>
      <c r="W2" s="500">
        <f>SUM(W6:W78)</f>
        <v/>
      </c>
      <c r="X2" s="500">
        <f>SUM(X6:X78)</f>
        <v/>
      </c>
      <c r="Y2" s="500">
        <f>SUM(Y6:Y78)</f>
        <v/>
      </c>
      <c r="Z2" s="500">
        <f>SUM(Z6:Z78)</f>
        <v/>
      </c>
      <c r="AA2" s="500">
        <f>SUM(AA6:AA78)</f>
        <v/>
      </c>
      <c r="AB2" s="500">
        <f>SUM(AB6:AB78)</f>
        <v/>
      </c>
      <c r="AC2" s="500">
        <f>SUM(AC6:AC78)</f>
        <v/>
      </c>
      <c r="AD2" s="500">
        <f>SUM(AD6:AD78)</f>
        <v/>
      </c>
      <c r="AE2" s="500">
        <f>SUM(AE6:AE78)</f>
        <v/>
      </c>
      <c r="AF2" s="500">
        <f>SUM(AF6:AF78)</f>
        <v/>
      </c>
      <c r="AG2" s="500">
        <f>SUM(AG6:AG78)</f>
        <v/>
      </c>
      <c r="AI2" s="206" t="inlineStr">
        <is>
          <t>v- 100단위 조정</t>
        </is>
      </c>
      <c r="AM2" s="206" t="inlineStr">
        <is>
          <t>v- 소수점만 제거</t>
        </is>
      </c>
      <c r="AP2" s="206" t="inlineStr">
        <is>
          <t>V+</t>
        </is>
      </c>
    </row>
    <row r="3">
      <c r="I3" s="8" t="n"/>
      <c r="J3" s="555" t="inlineStr">
        <is>
          <t>기본 (v-)</t>
        </is>
      </c>
      <c r="K3" s="556" t="n"/>
      <c r="L3" s="556" t="n"/>
      <c r="M3" s="557" t="n"/>
      <c r="N3" s="556" t="n"/>
      <c r="O3" s="556" t="n"/>
      <c r="P3" s="501" t="inlineStr">
        <is>
          <t>기본 (v-)</t>
        </is>
      </c>
      <c r="Q3" s="502" t="n"/>
      <c r="R3" s="502" t="n"/>
      <c r="S3" s="503" t="n"/>
      <c r="T3" s="502" t="n"/>
      <c r="U3" s="558" t="inlineStr">
        <is>
          <t>부가세포함</t>
        </is>
      </c>
      <c r="V3" s="75" t="inlineStr">
        <is>
          <t>선납+선납할인+단품+결합할인 시 (v-)</t>
        </is>
      </c>
      <c r="W3" s="76" t="n"/>
      <c r="X3" s="76" t="n"/>
      <c r="Y3" s="76" t="n"/>
      <c r="Z3" s="137" t="n"/>
      <c r="AA3" s="558" t="inlineStr">
        <is>
          <t>부가세포함</t>
        </is>
      </c>
      <c r="AB3" s="402" t="inlineStr">
        <is>
          <t>선납+선납할인+단품+결합할인+6개월면제 시 (v-)</t>
        </is>
      </c>
      <c r="AC3" s="403" t="n"/>
      <c r="AD3" s="403" t="n"/>
      <c r="AE3" s="403" t="n"/>
      <c r="AF3" s="408" t="n"/>
      <c r="AG3" s="559" t="inlineStr">
        <is>
          <t>부가세포함</t>
        </is>
      </c>
      <c r="AI3" s="378" t="inlineStr">
        <is>
          <t>월 선납금(v-)</t>
        </is>
      </c>
      <c r="AJ3" s="251" t="n"/>
      <c r="AK3" s="504">
        <f>$C27</f>
        <v/>
      </c>
      <c r="AM3" s="378" t="inlineStr">
        <is>
          <t>월 선납금(v-)</t>
        </is>
      </c>
      <c r="AN3" s="251" t="n"/>
      <c r="AO3" s="504">
        <f>$C27</f>
        <v/>
      </c>
      <c r="AP3" s="505">
        <f>AO3*1.1</f>
        <v/>
      </c>
    </row>
    <row r="4">
      <c r="I4" s="8" t="n"/>
      <c r="J4" s="555" t="n"/>
      <c r="K4" s="556" t="n"/>
      <c r="L4" s="556" t="n"/>
      <c r="M4" s="556" t="n"/>
      <c r="N4" s="556" t="n"/>
      <c r="O4" s="556" t="n"/>
      <c r="P4" s="261" t="inlineStr">
        <is>
          <t>파손제외 구독료청구</t>
        </is>
      </c>
      <c r="Q4" s="560" t="n"/>
      <c r="R4" s="560" t="n"/>
      <c r="S4" s="561" t="n"/>
      <c r="T4" s="264" t="inlineStr">
        <is>
          <t>파손</t>
        </is>
      </c>
      <c r="U4" s="264" t="inlineStr">
        <is>
          <t>월청구(v+)</t>
        </is>
      </c>
      <c r="V4" s="261" t="inlineStr">
        <is>
          <t>파손제외 구독료청구</t>
        </is>
      </c>
      <c r="W4" s="560" t="n"/>
      <c r="X4" s="560" t="n"/>
      <c r="Y4" s="561" t="n"/>
      <c r="Z4" s="264" t="inlineStr">
        <is>
          <t>파손</t>
        </is>
      </c>
      <c r="AA4" s="264" t="inlineStr">
        <is>
          <t>월청구(v+)</t>
        </is>
      </c>
      <c r="AB4" s="261" t="inlineStr">
        <is>
          <t>파손제외 구독료청구</t>
        </is>
      </c>
      <c r="AC4" s="560" t="n"/>
      <c r="AD4" s="560" t="n"/>
      <c r="AE4" s="561" t="n"/>
      <c r="AF4" s="264" t="inlineStr">
        <is>
          <t>파손</t>
        </is>
      </c>
      <c r="AG4" s="264" t="inlineStr">
        <is>
          <t>월청구(v+)</t>
        </is>
      </c>
      <c r="AI4" s="375" t="n"/>
      <c r="AJ4" s="506" t="inlineStr">
        <is>
          <t>제품</t>
        </is>
      </c>
      <c r="AK4" s="507">
        <f>AK3-AK5-AK6</f>
        <v/>
      </c>
      <c r="AM4" s="375" t="n"/>
      <c r="AN4" s="506" t="inlineStr">
        <is>
          <t>제품</t>
        </is>
      </c>
      <c r="AO4" s="507">
        <f>AO3-AO5-AO6</f>
        <v/>
      </c>
      <c r="AP4" s="505">
        <f>ROUND(AO4*1.1,)</f>
        <v/>
      </c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29" t="inlineStr">
        <is>
          <t>구독료청구</t>
        </is>
      </c>
      <c r="K5" s="230" t="inlineStr">
        <is>
          <t>제품</t>
        </is>
      </c>
      <c r="L5" s="231" t="inlineStr">
        <is>
          <t>케어</t>
        </is>
      </c>
      <c r="M5" s="231" t="inlineStr">
        <is>
          <t>보증</t>
        </is>
      </c>
      <c r="N5" s="232" t="inlineStr">
        <is>
          <t>파손</t>
        </is>
      </c>
      <c r="O5" s="232" t="inlineStr">
        <is>
          <t>월청구(v+)</t>
        </is>
      </c>
      <c r="P5" s="265" t="n"/>
      <c r="Q5" s="26" t="inlineStr">
        <is>
          <t>제품</t>
        </is>
      </c>
      <c r="R5" s="15" t="inlineStr">
        <is>
          <t>케어</t>
        </is>
      </c>
      <c r="S5" s="15" t="inlineStr">
        <is>
          <t>보증</t>
        </is>
      </c>
      <c r="T5" s="265" t="n"/>
      <c r="U5" s="265" t="n"/>
      <c r="V5" s="265" t="n"/>
      <c r="W5" s="26" t="inlineStr">
        <is>
          <t>제품</t>
        </is>
      </c>
      <c r="X5" s="15" t="inlineStr">
        <is>
          <t>케어</t>
        </is>
      </c>
      <c r="Y5" s="15" t="inlineStr">
        <is>
          <t>보증</t>
        </is>
      </c>
      <c r="Z5" s="265" t="n"/>
      <c r="AA5" s="265" t="n"/>
      <c r="AB5" s="265" t="n"/>
      <c r="AC5" s="26" t="inlineStr">
        <is>
          <t>제품</t>
        </is>
      </c>
      <c r="AD5" s="15" t="inlineStr">
        <is>
          <t>케어</t>
        </is>
      </c>
      <c r="AE5" s="15" t="inlineStr">
        <is>
          <t>보증</t>
        </is>
      </c>
      <c r="AF5" s="265" t="n"/>
      <c r="AG5" s="265" t="n"/>
      <c r="AI5" s="375" t="n"/>
      <c r="AJ5" s="506" t="inlineStr">
        <is>
          <t>케어</t>
        </is>
      </c>
      <c r="AK5" s="507">
        <f>ROUND(AK3*$C$12/($C$16-$C$14),-2)</f>
        <v/>
      </c>
      <c r="AM5" s="375" t="n"/>
      <c r="AN5" s="506" t="inlineStr">
        <is>
          <t>케어</t>
        </is>
      </c>
      <c r="AO5" s="507">
        <f>ROUND(AO3*$C$12/($C$16-$C$14),0)</f>
        <v/>
      </c>
      <c r="AP5" s="505">
        <f>ROUND(AO5*1.1,)</f>
        <v/>
      </c>
    </row>
    <row r="6">
      <c r="B6" s="9" t="inlineStr">
        <is>
          <t>모델코드</t>
        </is>
      </c>
      <c r="C6" s="6" t="inlineStr">
        <is>
          <t>SM-X920NZAAKOO</t>
        </is>
      </c>
      <c r="F6" s="28" t="inlineStr">
        <is>
          <t>1회차</t>
        </is>
      </c>
      <c r="G6" s="29" t="n">
        <v>45912</v>
      </c>
      <c r="H6" s="29" t="n">
        <v>45930</v>
      </c>
      <c r="I6" s="30">
        <f>EOMONTH(G6,0)+15</f>
        <v/>
      </c>
      <c r="J6" s="562">
        <f>ROUNDDOWN(($C$16/$C$8)*(H6-G6+1)/DAY(H6),-2)</f>
        <v/>
      </c>
      <c r="K6" s="563">
        <f>J6-L6-M6-N6</f>
        <v/>
      </c>
      <c r="L6" s="564">
        <f>ROUNDDOWN(($C$12/$C$8)*(H6-G6+1)/DAY(H6),-2)</f>
        <v/>
      </c>
      <c r="M6" s="564">
        <f>ROUNDDOWN(($C$13/$C$8)*(H6-G6+1)/DAY(H6),-2)</f>
        <v/>
      </c>
      <c r="N6" s="565">
        <f>ROUNDDOWN(($C$14/$C$8)*(H6-G6+1)/DAY(H6),-2)</f>
        <v/>
      </c>
      <c r="O6" s="566">
        <f>SUM(K6:M6)*1.1+N6</f>
        <v/>
      </c>
      <c r="P6" s="508">
        <f>ROUNDDOWN((($C$20/1.1)/$C$8)*(H6-G6+1)/DAY(H6),-2)</f>
        <v/>
      </c>
      <c r="Q6" s="567">
        <f>P6-R6-S6</f>
        <v/>
      </c>
      <c r="R6" s="568">
        <f>ROUNDDOWN(($C$12/$C$8)*(H6-G6+1)/DAY(H6),-2)</f>
        <v/>
      </c>
      <c r="S6" s="568">
        <f>ROUNDDOWN(($C$13/$C$8)*(H6-G6+1)/DAY(H6),-2)</f>
        <v/>
      </c>
      <c r="T6" s="569">
        <f>ROUNDDOWN(($C$14/$C$8)*(H6-G6+1)/DAY(H6),-2)</f>
        <v/>
      </c>
      <c r="U6" s="511">
        <f>P6*1.1+T6</f>
        <v/>
      </c>
      <c r="V6" s="508">
        <f>ROUNDDOWN(((C68/1.1)/$C$8)*(H6-G6+1)/DAY(H6),-2)</f>
        <v/>
      </c>
      <c r="W6" s="567">
        <f>V6-X6-Y6</f>
        <v/>
      </c>
      <c r="X6" s="568">
        <f>ROUNDDOWN(($C$12/$C$8-AK5-AK10-AK15-AK20)*(H6-G6+1)/DAY(H6),-2)</f>
        <v/>
      </c>
      <c r="Y6" s="568">
        <f>ROUNDDOWN(($C$13/$C$8-AK6-AK11-AK16-AK21)*(H6-G6+1)/DAY(H6),-2)</f>
        <v/>
      </c>
      <c r="Z6" s="570">
        <f>T6</f>
        <v/>
      </c>
      <c r="AA6" s="511">
        <f>V6*1.1+Z6</f>
        <v/>
      </c>
      <c r="AB6" s="508">
        <f>ROUNDDOWN(((C68/1.1)/$C$8)*(H6-G6+1)/DAY(H6),-2)</f>
        <v/>
      </c>
      <c r="AC6" s="567">
        <f>AB6-AD6-AE6</f>
        <v/>
      </c>
      <c r="AD6" s="568">
        <f>ROUNDDOWN(($C$12/$C$8-AQ5-AQ10-AQ15-AQ20)*(N6-M6+1)/DAY(N6),-2)</f>
        <v/>
      </c>
      <c r="AE6" s="568">
        <f>ROUNDDOWN(($C$13/$C$8-AK6-AK11-AK16-AK21)*(H6-G6+1)/DAY(H6),-2)</f>
        <v/>
      </c>
      <c r="AF6" s="570">
        <f>Z6</f>
        <v/>
      </c>
      <c r="AG6" s="511">
        <f>AB6*1.1+AF6</f>
        <v/>
      </c>
      <c r="AI6" s="376" t="n"/>
      <c r="AJ6" s="524" t="inlineStr">
        <is>
          <t>보증</t>
        </is>
      </c>
      <c r="AK6" s="507">
        <f>ROUND(AK3*$C$13/($C$16-$C$14),-2)</f>
        <v/>
      </c>
      <c r="AM6" s="376" t="n"/>
      <c r="AN6" s="524" t="inlineStr">
        <is>
          <t>보증</t>
        </is>
      </c>
      <c r="AO6" s="507">
        <f>ROUND(AO3*$C$13/($C$16-$C$14),0)</f>
        <v/>
      </c>
      <c r="AP6" s="505">
        <f>ROUND(AO6*1.1,)</f>
        <v/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62">
        <f>$C$17</f>
        <v/>
      </c>
      <c r="K7" s="571">
        <f>J7-L7-M7-N7</f>
        <v/>
      </c>
      <c r="L7" s="572">
        <f>$C$12/$C$8</f>
        <v/>
      </c>
      <c r="M7" s="572">
        <f>$C$13/$C$8</f>
        <v/>
      </c>
      <c r="N7" s="566">
        <f>$C$14/$C$8</f>
        <v/>
      </c>
      <c r="O7" s="566">
        <f>SUM(K7:M7)*1.1+N7</f>
        <v/>
      </c>
      <c r="P7" s="515">
        <f>($C$20/1.1)/$C$8</f>
        <v/>
      </c>
      <c r="Q7" s="516">
        <f>P7-R7-S7</f>
        <v/>
      </c>
      <c r="R7" s="517">
        <f>$C$12/$C$8</f>
        <v/>
      </c>
      <c r="S7" s="517">
        <f>$C$13/$C$8</f>
        <v/>
      </c>
      <c r="T7" s="515">
        <f>$C$14/$C$8</f>
        <v/>
      </c>
      <c r="U7" s="518">
        <f>P7*1.1+T7</f>
        <v/>
      </c>
      <c r="V7" s="515">
        <f>($C$68/1.1)/$C$8</f>
        <v/>
      </c>
      <c r="W7" s="516">
        <f>V7-X7-Y7</f>
        <v/>
      </c>
      <c r="X7" s="517">
        <f>$C$12/$C$8-$AK$5-$AK$10-$AK$15-$AK$20</f>
        <v/>
      </c>
      <c r="Y7" s="517">
        <f>$C$13/$C$8-$AK$6-$AK$11-$AK$16-$AK$21</f>
        <v/>
      </c>
      <c r="Z7" s="573">
        <f>T7</f>
        <v/>
      </c>
      <c r="AA7" s="518">
        <f>V7*1.1+Z7</f>
        <v/>
      </c>
      <c r="AB7" s="515">
        <f>($C$68/1.1)/$C$8</f>
        <v/>
      </c>
      <c r="AC7" s="516">
        <f>AB7-AD7-AE7</f>
        <v/>
      </c>
      <c r="AD7" s="517">
        <f>$C$12/$C$8-$AK$5-$AK$10-$AK$15-$AK$20</f>
        <v/>
      </c>
      <c r="AE7" s="517">
        <f>$C$13/$C$8-$AK$6-$AK$11-$AK$16-$AK$21</f>
        <v/>
      </c>
      <c r="AF7" s="573">
        <f>Z7</f>
        <v/>
      </c>
      <c r="AG7" s="518">
        <f>AB7*1.1+AF7</f>
        <v/>
      </c>
      <c r="AI7" s="399" t="n"/>
      <c r="AJ7" s="500" t="n"/>
      <c r="AK7" s="206" t="n"/>
      <c r="AM7" s="399" t="n"/>
      <c r="AN7" s="500" t="n"/>
      <c r="AO7" s="206" t="n"/>
      <c r="AP7" s="505" t="n"/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62">
        <f>$C$17</f>
        <v/>
      </c>
      <c r="K8" s="571">
        <f>$C$15/$C$8</f>
        <v/>
      </c>
      <c r="L8" s="572">
        <f>$C$12/$C$8</f>
        <v/>
      </c>
      <c r="M8" s="572">
        <f>$C$13/$C$8</f>
        <v/>
      </c>
      <c r="N8" s="566">
        <f>$C$14/$C$8</f>
        <v/>
      </c>
      <c r="O8" s="566">
        <f>SUM(K8:M8)*1.1+N8</f>
        <v/>
      </c>
      <c r="P8" s="515">
        <f>($C$20/1.1)/$C$8</f>
        <v/>
      </c>
      <c r="Q8" s="516">
        <f>P8-R8-S8</f>
        <v/>
      </c>
      <c r="R8" s="517">
        <f>$C$12/$C$8</f>
        <v/>
      </c>
      <c r="S8" s="517">
        <f>$C$13/$C$8</f>
        <v/>
      </c>
      <c r="T8" s="515">
        <f>$C$14/$C$8</f>
        <v/>
      </c>
      <c r="U8" s="518">
        <f>P8*1.1+T8</f>
        <v/>
      </c>
      <c r="V8" s="515">
        <f>($C$68/1.1)/$C$8</f>
        <v/>
      </c>
      <c r="W8" s="516">
        <f>V8-X8-Y8</f>
        <v/>
      </c>
      <c r="X8" s="517">
        <f>$C$12/$C$8-$AK$5-$AK$10-$AK$15-$AK$20</f>
        <v/>
      </c>
      <c r="Y8" s="517">
        <f>$C$13/$C$8-$AK$6-$AK$11-$AK$16-$AK$21</f>
        <v/>
      </c>
      <c r="Z8" s="573">
        <f>T8</f>
        <v/>
      </c>
      <c r="AA8" s="518">
        <f>V8*1.1+Z8</f>
        <v/>
      </c>
      <c r="AB8" s="515">
        <f>($C$68/1.1)/$C$8</f>
        <v/>
      </c>
      <c r="AC8" s="516">
        <f>AB8-AD8-AE8</f>
        <v/>
      </c>
      <c r="AD8" s="517">
        <f>$C$12/$C$8-$AK$5-$AK$10-$AK$15-$AK$20</f>
        <v/>
      </c>
      <c r="AE8" s="517">
        <f>$C$13/$C$8-$AK$6-$AK$11-$AK$16-$AK$21</f>
        <v/>
      </c>
      <c r="AF8" s="573">
        <f>Z8</f>
        <v/>
      </c>
      <c r="AG8" s="518">
        <f>AB8*1.1+AF8</f>
        <v/>
      </c>
      <c r="AI8" s="378" t="inlineStr">
        <is>
          <t>월 선납할인(V-)</t>
        </is>
      </c>
      <c r="AJ8" s="251" t="n"/>
      <c r="AK8" s="525">
        <f>$C35/$C8</f>
        <v/>
      </c>
      <c r="AM8" s="378" t="inlineStr">
        <is>
          <t>월 선납할인(V-)</t>
        </is>
      </c>
      <c r="AN8" s="251" t="n"/>
      <c r="AO8" s="525">
        <f>$C35/$C8</f>
        <v/>
      </c>
      <c r="AP8" s="505">
        <f>AO8*1.1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62">
        <f>$C$17</f>
        <v/>
      </c>
      <c r="K9" s="571">
        <f>$C$15/$C$8</f>
        <v/>
      </c>
      <c r="L9" s="572">
        <f>$C$12/$C$8</f>
        <v/>
      </c>
      <c r="M9" s="572">
        <f>$C$13/$C$8</f>
        <v/>
      </c>
      <c r="N9" s="566">
        <f>$C$14/$C$8</f>
        <v/>
      </c>
      <c r="O9" s="566">
        <f>SUM(K9:M9)*1.1+N9</f>
        <v/>
      </c>
      <c r="P9" s="515">
        <f>($C$20/1.1)/$C$8</f>
        <v/>
      </c>
      <c r="Q9" s="516">
        <f>P9-R9-S9</f>
        <v/>
      </c>
      <c r="R9" s="517">
        <f>$C$12/$C$8</f>
        <v/>
      </c>
      <c r="S9" s="517">
        <f>$C$13/$C$8</f>
        <v/>
      </c>
      <c r="T9" s="515">
        <f>$C$14/$C$8</f>
        <v/>
      </c>
      <c r="U9" s="518">
        <f>P9*1.1+T9</f>
        <v/>
      </c>
      <c r="V9" s="515">
        <f>($C$68/1.1)/$C$8</f>
        <v/>
      </c>
      <c r="W9" s="516">
        <f>V9-X9-Y9</f>
        <v/>
      </c>
      <c r="X9" s="517">
        <f>$C$12/$C$8-$AK$5-$AK$10-$AK$15-$AK$20</f>
        <v/>
      </c>
      <c r="Y9" s="517">
        <f>$C$13/$C$8-$AK$6-$AK$11-$AK$16-$AK$21</f>
        <v/>
      </c>
      <c r="Z9" s="573">
        <f>T9</f>
        <v/>
      </c>
      <c r="AA9" s="518">
        <f>V9*1.1+Z9</f>
        <v/>
      </c>
      <c r="AB9" s="515">
        <f>($C$68/1.1)/$C$8</f>
        <v/>
      </c>
      <c r="AC9" s="516">
        <f>AB9-AD9-AE9</f>
        <v/>
      </c>
      <c r="AD9" s="517">
        <f>$C$12/$C$8-$AK$5-$AK$10-$AK$15-$AK$20</f>
        <v/>
      </c>
      <c r="AE9" s="517">
        <f>$C$13/$C$8-$AK$6-$AK$11-$AK$16-$AK$21</f>
        <v/>
      </c>
      <c r="AF9" s="573">
        <f>Z9</f>
        <v/>
      </c>
      <c r="AG9" s="518">
        <f>AB9*1.1+AF9</f>
        <v/>
      </c>
      <c r="AI9" s="375" t="n"/>
      <c r="AJ9" s="506" t="inlineStr">
        <is>
          <t>제품</t>
        </is>
      </c>
      <c r="AK9" s="507">
        <f>AK8-AK10-AK11</f>
        <v/>
      </c>
      <c r="AM9" s="375" t="n"/>
      <c r="AN9" s="506" t="inlineStr">
        <is>
          <t>제품</t>
        </is>
      </c>
      <c r="AO9" s="507">
        <f>AO8-AO10-AO11</f>
        <v/>
      </c>
      <c r="AP9" s="505">
        <f>ROUND(AO9*1.1,)</f>
        <v/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62">
        <f>$C$17</f>
        <v/>
      </c>
      <c r="K10" s="571">
        <f>$C$15/$C$8</f>
        <v/>
      </c>
      <c r="L10" s="572">
        <f>$C$12/$C$8</f>
        <v/>
      </c>
      <c r="M10" s="572">
        <f>$C$13/$C$8</f>
        <v/>
      </c>
      <c r="N10" s="566">
        <f>$C$14/$C$8</f>
        <v/>
      </c>
      <c r="O10" s="566">
        <f>SUM(K10:M10)*1.1+N10</f>
        <v/>
      </c>
      <c r="P10" s="515">
        <f>($C$20/1.1)/$C$8</f>
        <v/>
      </c>
      <c r="Q10" s="516">
        <f>P10-R10-S10</f>
        <v/>
      </c>
      <c r="R10" s="517">
        <f>$C$12/$C$8</f>
        <v/>
      </c>
      <c r="S10" s="517">
        <f>$C$13/$C$8</f>
        <v/>
      </c>
      <c r="T10" s="515">
        <f>$C$14/$C$8</f>
        <v/>
      </c>
      <c r="U10" s="518">
        <f>P10*1.1+T10</f>
        <v/>
      </c>
      <c r="V10" s="515">
        <f>($C$68/1.1)/$C$8</f>
        <v/>
      </c>
      <c r="W10" s="516">
        <f>V10-X10-Y10</f>
        <v/>
      </c>
      <c r="X10" s="517">
        <f>$C$12/$C$8-$AK$5-$AK$10-$AK$15-$AK$20</f>
        <v/>
      </c>
      <c r="Y10" s="517">
        <f>$C$13/$C$8-$AK$6-$AK$11-$AK$16-$AK$21</f>
        <v/>
      </c>
      <c r="Z10" s="573">
        <f>T10</f>
        <v/>
      </c>
      <c r="AA10" s="518">
        <f>V10*1.1+Z10</f>
        <v/>
      </c>
      <c r="AB10" s="515">
        <f>($C$68/1.1)/$C$8</f>
        <v/>
      </c>
      <c r="AC10" s="516">
        <f>AB10-AD10-AE10</f>
        <v/>
      </c>
      <c r="AD10" s="517">
        <f>$C$12/$C$8-$AK$5-$AK$10-$AK$15-$AK$20</f>
        <v/>
      </c>
      <c r="AE10" s="517">
        <f>$C$13/$C$8-$AK$6-$AK$11-$AK$16-$AK$21</f>
        <v/>
      </c>
      <c r="AF10" s="573">
        <f>Z10</f>
        <v/>
      </c>
      <c r="AG10" s="518">
        <f>AB10*1.1+AF10</f>
        <v/>
      </c>
      <c r="AI10" s="375" t="n"/>
      <c r="AJ10" s="506" t="inlineStr">
        <is>
          <t>케어</t>
        </is>
      </c>
      <c r="AK10" s="507">
        <f>ROUND(AK8*$C$12/($C$16-$C$14),-2)</f>
        <v/>
      </c>
      <c r="AM10" s="375" t="n"/>
      <c r="AN10" s="506" t="inlineStr">
        <is>
          <t>케어</t>
        </is>
      </c>
      <c r="AO10" s="507">
        <f>ROUND(AO8*$C$12/($C$16-$C$14),0)</f>
        <v/>
      </c>
      <c r="AP10" s="505">
        <f>ROUND(AO10*1.1,)</f>
        <v/>
      </c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62">
        <f>$C$17</f>
        <v/>
      </c>
      <c r="K11" s="571">
        <f>$C$15/$C$8</f>
        <v/>
      </c>
      <c r="L11" s="572">
        <f>$C$12/$C$8</f>
        <v/>
      </c>
      <c r="M11" s="572">
        <f>$C$13/$C$8</f>
        <v/>
      </c>
      <c r="N11" s="566">
        <f>$C$14/$C$8</f>
        <v/>
      </c>
      <c r="O11" s="566">
        <f>SUM(K11:M11)*1.1+N11</f>
        <v/>
      </c>
      <c r="P11" s="515">
        <f>($C$20/1.1)/$C$8</f>
        <v/>
      </c>
      <c r="Q11" s="516">
        <f>P11-R11-S11</f>
        <v/>
      </c>
      <c r="R11" s="517">
        <f>$C$12/$C$8</f>
        <v/>
      </c>
      <c r="S11" s="517">
        <f>$C$13/$C$8</f>
        <v/>
      </c>
      <c r="T11" s="515">
        <f>$C$14/$C$8</f>
        <v/>
      </c>
      <c r="U11" s="518">
        <f>P11*1.1+T11</f>
        <v/>
      </c>
      <c r="V11" s="515">
        <f>($C$68/1.1)/$C$8</f>
        <v/>
      </c>
      <c r="W11" s="516">
        <f>V11-X11-Y11</f>
        <v/>
      </c>
      <c r="X11" s="517">
        <f>$C$12/$C$8-$AK$5-$AK$10-$AK$15-$AK$20</f>
        <v/>
      </c>
      <c r="Y11" s="517">
        <f>$C$13/$C$8-$AK$6-$AK$11-$AK$16-$AK$21</f>
        <v/>
      </c>
      <c r="Z11" s="573">
        <f>T11</f>
        <v/>
      </c>
      <c r="AA11" s="518">
        <f>V11*1.1+Z11</f>
        <v/>
      </c>
      <c r="AB11" s="515">
        <f>($C$68/1.1)/$C$8</f>
        <v/>
      </c>
      <c r="AC11" s="516">
        <f>AB11-AD11-AE11</f>
        <v/>
      </c>
      <c r="AD11" s="517">
        <f>$C$12/$C$8-$AK$5-$AK$10-$AK$15-$AK$20</f>
        <v/>
      </c>
      <c r="AE11" s="517">
        <f>$C$13/$C$8-$AK$6-$AK$11-$AK$16-$AK$21</f>
        <v/>
      </c>
      <c r="AF11" s="573">
        <f>Z11</f>
        <v/>
      </c>
      <c r="AG11" s="518">
        <f>AB11*1.1+AF11</f>
        <v/>
      </c>
      <c r="AI11" s="376" t="n"/>
      <c r="AJ11" s="524" t="inlineStr">
        <is>
          <t>보증</t>
        </is>
      </c>
      <c r="AK11" s="507">
        <f>ROUND(AK8*$C$13/($C$16-$C$14),-2)</f>
        <v/>
      </c>
      <c r="AM11" s="376" t="n"/>
      <c r="AN11" s="524" t="inlineStr">
        <is>
          <t>보증</t>
        </is>
      </c>
      <c r="AO11" s="507">
        <f>ROUND(AO8*$C$13/($C$16-$C$14),0)</f>
        <v/>
      </c>
      <c r="AP11" s="505">
        <f>ROUND(AO11*1.1,)</f>
        <v/>
      </c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62">
        <f>$C$17</f>
        <v/>
      </c>
      <c r="K12" s="571">
        <f>$C$15/$C$8</f>
        <v/>
      </c>
      <c r="L12" s="572">
        <f>$C$12/$C$8</f>
        <v/>
      </c>
      <c r="M12" s="572">
        <f>$C$13/$C$8</f>
        <v/>
      </c>
      <c r="N12" s="566">
        <f>$C$14/$C$8</f>
        <v/>
      </c>
      <c r="O12" s="566">
        <f>SUM(K12:M12)*1.1+N12</f>
        <v/>
      </c>
      <c r="P12" s="515">
        <f>($C$20/1.1)/$C$8</f>
        <v/>
      </c>
      <c r="Q12" s="516">
        <f>P12-R12-S12</f>
        <v/>
      </c>
      <c r="R12" s="517">
        <f>$C$12/$C$8</f>
        <v/>
      </c>
      <c r="S12" s="517">
        <f>$C$13/$C$8</f>
        <v/>
      </c>
      <c r="T12" s="515">
        <f>$C$14/$C$8</f>
        <v/>
      </c>
      <c r="U12" s="518">
        <f>P12*1.1+T12</f>
        <v/>
      </c>
      <c r="V12" s="515">
        <f>($C$68/1.1)/$C$8</f>
        <v/>
      </c>
      <c r="W12" s="516">
        <f>V12-X12-Y12</f>
        <v/>
      </c>
      <c r="X12" s="517">
        <f>$C$12/$C$8-$AK$5-$AK$10-$AK$15-$AK$20</f>
        <v/>
      </c>
      <c r="Y12" s="517">
        <f>$C$13/$C$8-$AK$6-$AK$11-$AK$16-$AK$21</f>
        <v/>
      </c>
      <c r="Z12" s="573">
        <f>T12</f>
        <v/>
      </c>
      <c r="AA12" s="518">
        <f>V12*1.1+Z12</f>
        <v/>
      </c>
      <c r="AB12" s="515">
        <f>($C$68/1.1)/$C$8</f>
        <v/>
      </c>
      <c r="AC12" s="516">
        <f>AB12-AD12-AE12</f>
        <v/>
      </c>
      <c r="AD12" s="517">
        <f>$C$12/$C$8-$AK$5-$AK$10-$AK$15-$AK$20</f>
        <v/>
      </c>
      <c r="AE12" s="517">
        <f>$C$13/$C$8-$AK$6-$AK$11-$AK$16-$AK$21</f>
        <v/>
      </c>
      <c r="AF12" s="573">
        <f>Z12</f>
        <v/>
      </c>
      <c r="AG12" s="518">
        <f>AB12*1.1+AF12</f>
        <v/>
      </c>
      <c r="AI12" s="399" t="n"/>
      <c r="AM12" s="399" t="n"/>
      <c r="AP12" s="505" t="n"/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62">
        <f>$C$17</f>
        <v/>
      </c>
      <c r="K13" s="571">
        <f>$C$15/$C$8</f>
        <v/>
      </c>
      <c r="L13" s="572">
        <f>$C$12/$C$8</f>
        <v/>
      </c>
      <c r="M13" s="572">
        <f>$C$13/$C$8</f>
        <v/>
      </c>
      <c r="N13" s="566">
        <f>$C$14/$C$8</f>
        <v/>
      </c>
      <c r="O13" s="566">
        <f>SUM(K13:M13)*1.1+N13</f>
        <v/>
      </c>
      <c r="P13" s="515">
        <f>($C$20/1.1)/$C$8</f>
        <v/>
      </c>
      <c r="Q13" s="516">
        <f>P13-R13-S13</f>
        <v/>
      </c>
      <c r="R13" s="517">
        <f>$C$12/$C$8</f>
        <v/>
      </c>
      <c r="S13" s="517">
        <f>$C$13/$C$8</f>
        <v/>
      </c>
      <c r="T13" s="515">
        <f>$C$14/$C$8</f>
        <v/>
      </c>
      <c r="U13" s="518">
        <f>P13*1.1+T13</f>
        <v/>
      </c>
      <c r="V13" s="515">
        <f>($C$68/1.1)/$C$8</f>
        <v/>
      </c>
      <c r="W13" s="516">
        <f>V13-X13-Y13</f>
        <v/>
      </c>
      <c r="X13" s="517">
        <f>$C$12/$C$8-$AK$5-$AK$10-$AK$15-$AK$20</f>
        <v/>
      </c>
      <c r="Y13" s="517">
        <f>$C$13/$C$8-$AK$6-$AK$11-$AK$16-$AK$21</f>
        <v/>
      </c>
      <c r="Z13" s="573">
        <f>T13</f>
        <v/>
      </c>
      <c r="AA13" s="518">
        <f>V13*1.1+Z13</f>
        <v/>
      </c>
      <c r="AB13" s="515">
        <f>($C$68/1.1)/$C$8</f>
        <v/>
      </c>
      <c r="AC13" s="516">
        <f>AB13-AD13-AE13</f>
        <v/>
      </c>
      <c r="AD13" s="517">
        <f>$C$12/$C$8-$AK$5-$AK$10-$AK$15-$AK$20</f>
        <v/>
      </c>
      <c r="AE13" s="517">
        <f>$C$13/$C$8-$AK$6-$AK$11-$AK$16-$AK$21</f>
        <v/>
      </c>
      <c r="AF13" s="573">
        <f>Z13</f>
        <v/>
      </c>
      <c r="AG13" s="518">
        <f>AB13*1.1+AF13</f>
        <v/>
      </c>
      <c r="AI13" s="378" t="inlineStr">
        <is>
          <t>월 단품할인(V-)</t>
        </is>
      </c>
      <c r="AJ13" s="251" t="n"/>
      <c r="AK13" s="525">
        <f>$C43</f>
        <v/>
      </c>
      <c r="AM13" s="378" t="inlineStr">
        <is>
          <t>월 단품할인(V-)</t>
        </is>
      </c>
      <c r="AN13" s="251" t="n"/>
      <c r="AO13" s="525">
        <f>$C43</f>
        <v/>
      </c>
      <c r="AP13" s="505">
        <f>AO13*1.1</f>
        <v/>
      </c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62">
        <f>$C$17</f>
        <v/>
      </c>
      <c r="K14" s="571">
        <f>$C$15/$C$8</f>
        <v/>
      </c>
      <c r="L14" s="572">
        <f>$C$12/$C$8</f>
        <v/>
      </c>
      <c r="M14" s="572">
        <f>$C$13/$C$8</f>
        <v/>
      </c>
      <c r="N14" s="566">
        <f>$C$14/$C$8</f>
        <v/>
      </c>
      <c r="O14" s="566">
        <f>SUM(K14:M14)*1.1+N14</f>
        <v/>
      </c>
      <c r="P14" s="515">
        <f>($C$20/1.1)/$C$8</f>
        <v/>
      </c>
      <c r="Q14" s="516">
        <f>P14-R14-S14</f>
        <v/>
      </c>
      <c r="R14" s="517">
        <f>$C$12/$C$8</f>
        <v/>
      </c>
      <c r="S14" s="517">
        <f>$C$13/$C$8</f>
        <v/>
      </c>
      <c r="T14" s="515">
        <f>$C$14/$C$8</f>
        <v/>
      </c>
      <c r="U14" s="518">
        <f>P14*1.1+T14</f>
        <v/>
      </c>
      <c r="V14" s="515">
        <f>($C$68/1.1)/$C$8</f>
        <v/>
      </c>
      <c r="W14" s="516">
        <f>V14-X14-Y14</f>
        <v/>
      </c>
      <c r="X14" s="517">
        <f>$C$12/$C$8-$AK$5-$AK$10-$AK$15-$AK$20</f>
        <v/>
      </c>
      <c r="Y14" s="517">
        <f>$C$13/$C$8-$AK$6-$AK$11-$AK$16-$AK$21</f>
        <v/>
      </c>
      <c r="Z14" s="573">
        <f>T14</f>
        <v/>
      </c>
      <c r="AA14" s="518">
        <f>V14*1.1+Z14</f>
        <v/>
      </c>
      <c r="AB14" s="515">
        <f>($C$68/1.1)/$C$8</f>
        <v/>
      </c>
      <c r="AC14" s="516">
        <f>AB14-AD14-AE14</f>
        <v/>
      </c>
      <c r="AD14" s="517">
        <f>$C$12/$C$8-$AK$5-$AK$10-$AK$15-$AK$20</f>
        <v/>
      </c>
      <c r="AE14" s="517">
        <f>$C$13/$C$8-$AK$6-$AK$11-$AK$16-$AK$21</f>
        <v/>
      </c>
      <c r="AF14" s="573">
        <f>Z14</f>
        <v/>
      </c>
      <c r="AG14" s="518">
        <f>AB14*1.1+AF14</f>
        <v/>
      </c>
      <c r="AI14" s="375" t="n"/>
      <c r="AJ14" s="506" t="inlineStr">
        <is>
          <t>제품</t>
        </is>
      </c>
      <c r="AK14" s="507">
        <f>AK13-AK15-AK16</f>
        <v/>
      </c>
      <c r="AM14" s="375" t="n"/>
      <c r="AN14" s="506" t="inlineStr">
        <is>
          <t>제품</t>
        </is>
      </c>
      <c r="AO14" s="507">
        <f>AO13-AO15-AO16</f>
        <v/>
      </c>
      <c r="AP14" s="505">
        <f>ROUND(AO14*1.1,)</f>
        <v/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62">
        <f>$C$17</f>
        <v/>
      </c>
      <c r="K15" s="571">
        <f>$C$15/$C$8</f>
        <v/>
      </c>
      <c r="L15" s="572">
        <f>$C$12/$C$8</f>
        <v/>
      </c>
      <c r="M15" s="572">
        <f>$C$13/$C$8</f>
        <v/>
      </c>
      <c r="N15" s="566">
        <f>$C$14/$C$8</f>
        <v/>
      </c>
      <c r="O15" s="566">
        <f>SUM(K15:M15)*1.1+N15</f>
        <v/>
      </c>
      <c r="P15" s="515">
        <f>($C$20/1.1)/$C$8</f>
        <v/>
      </c>
      <c r="Q15" s="516">
        <f>P15-R15-S15</f>
        <v/>
      </c>
      <c r="R15" s="517">
        <f>$C$12/$C$8</f>
        <v/>
      </c>
      <c r="S15" s="517">
        <f>$C$13/$C$8</f>
        <v/>
      </c>
      <c r="T15" s="515">
        <f>$C$14/$C$8</f>
        <v/>
      </c>
      <c r="U15" s="518">
        <f>P15*1.1+T15</f>
        <v/>
      </c>
      <c r="V15" s="515">
        <f>($C$68/1.1)/$C$8</f>
        <v/>
      </c>
      <c r="W15" s="516">
        <f>V15-X15-Y15</f>
        <v/>
      </c>
      <c r="X15" s="517">
        <f>$C$12/$C$8-$AK$5-$AK$10-$AK$15-$AK$20</f>
        <v/>
      </c>
      <c r="Y15" s="517">
        <f>$C$13/$C$8-$AK$6-$AK$11-$AK$16-$AK$21</f>
        <v/>
      </c>
      <c r="Z15" s="573">
        <f>T15</f>
        <v/>
      </c>
      <c r="AA15" s="518">
        <f>V15*1.1+Z15</f>
        <v/>
      </c>
      <c r="AB15" s="515">
        <f>($C$68/1.1)/$C$8</f>
        <v/>
      </c>
      <c r="AC15" s="516">
        <f>AB15-AD15-AE15</f>
        <v/>
      </c>
      <c r="AD15" s="517">
        <f>$C$12/$C$8-$AK$5-$AK$10-$AK$15-$AK$20</f>
        <v/>
      </c>
      <c r="AE15" s="517">
        <f>$C$13/$C$8-$AK$6-$AK$11-$AK$16-$AK$21</f>
        <v/>
      </c>
      <c r="AF15" s="573">
        <f>Z15</f>
        <v/>
      </c>
      <c r="AG15" s="518">
        <f>AB15*1.1+AF15</f>
        <v/>
      </c>
      <c r="AI15" s="375" t="n"/>
      <c r="AJ15" s="506" t="inlineStr">
        <is>
          <t>케어</t>
        </is>
      </c>
      <c r="AK15" s="507">
        <f>ROUND(AK13*$C$12/($C$16-$C$14),-2)</f>
        <v/>
      </c>
      <c r="AM15" s="375" t="n"/>
      <c r="AN15" s="506" t="inlineStr">
        <is>
          <t>케어</t>
        </is>
      </c>
      <c r="AO15" s="507">
        <f>ROUND(AO13*$C$12/($C$16-$C$14),0)</f>
        <v/>
      </c>
      <c r="AP15" s="505">
        <f>ROUND(AO15*1.1,)</f>
        <v/>
      </c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62">
        <f>$C$17</f>
        <v/>
      </c>
      <c r="K16" s="571">
        <f>$C$15/$C$8</f>
        <v/>
      </c>
      <c r="L16" s="572">
        <f>$C$12/$C$8</f>
        <v/>
      </c>
      <c r="M16" s="572">
        <f>$C$13/$C$8</f>
        <v/>
      </c>
      <c r="N16" s="566">
        <f>$C$14/$C$8</f>
        <v/>
      </c>
      <c r="O16" s="566">
        <f>SUM(K16:M16)*1.1+N16</f>
        <v/>
      </c>
      <c r="P16" s="515">
        <f>($C$20/1.1)/$C$8</f>
        <v/>
      </c>
      <c r="Q16" s="516">
        <f>P16-R16-S16</f>
        <v/>
      </c>
      <c r="R16" s="517">
        <f>$C$12/$C$8</f>
        <v/>
      </c>
      <c r="S16" s="517">
        <f>$C$13/$C$8</f>
        <v/>
      </c>
      <c r="T16" s="515">
        <f>$C$14/$C$8</f>
        <v/>
      </c>
      <c r="U16" s="518">
        <f>P16*1.1+T16</f>
        <v/>
      </c>
      <c r="V16" s="515">
        <f>($C$68/1.1)/$C$8</f>
        <v/>
      </c>
      <c r="W16" s="516">
        <f>V16-X16-Y16</f>
        <v/>
      </c>
      <c r="X16" s="517">
        <f>$C$12/$C$8-$AK$5-$AK$10-$AK$15-$AK$20</f>
        <v/>
      </c>
      <c r="Y16" s="517">
        <f>$C$13/$C$8-$AK$6-$AK$11-$AK$16-$AK$21</f>
        <v/>
      </c>
      <c r="Z16" s="573">
        <f>T16</f>
        <v/>
      </c>
      <c r="AA16" s="518">
        <f>V16*1.1+Z16</f>
        <v/>
      </c>
      <c r="AB16" s="515">
        <f>($C$68/1.1)/$C$8</f>
        <v/>
      </c>
      <c r="AC16" s="516">
        <f>AB16-AD16-AE16</f>
        <v/>
      </c>
      <c r="AD16" s="517">
        <f>$C$12/$C$8-$AK$5-$AK$10-$AK$15-$AK$20</f>
        <v/>
      </c>
      <c r="AE16" s="517">
        <f>$C$13/$C$8-$AK$6-$AK$11-$AK$16-$AK$21</f>
        <v/>
      </c>
      <c r="AF16" s="573">
        <f>Z16</f>
        <v/>
      </c>
      <c r="AG16" s="518">
        <f>AB16*1.1+AF16</f>
        <v/>
      </c>
      <c r="AI16" s="376" t="n"/>
      <c r="AJ16" s="524" t="inlineStr">
        <is>
          <t>보증</t>
        </is>
      </c>
      <c r="AK16" s="507">
        <f>ROUND(AK13*$C$13/($C$16-$C$14),-2)</f>
        <v/>
      </c>
      <c r="AM16" s="376" t="n"/>
      <c r="AN16" s="524" t="inlineStr">
        <is>
          <t>보증</t>
        </is>
      </c>
      <c r="AO16" s="507">
        <f>ROUND(AO13*$C$13/($C$16-$C$14),0)</f>
        <v/>
      </c>
      <c r="AP16" s="505">
        <f>ROUND(AO16*1.1,)</f>
        <v/>
      </c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62">
        <f>$C$17</f>
        <v/>
      </c>
      <c r="K17" s="571">
        <f>$C$15/$C$8</f>
        <v/>
      </c>
      <c r="L17" s="572">
        <f>$C$12/$C$8</f>
        <v/>
      </c>
      <c r="M17" s="572">
        <f>$C$13/$C$8</f>
        <v/>
      </c>
      <c r="N17" s="566">
        <f>$C$14/$C$8</f>
        <v/>
      </c>
      <c r="O17" s="566">
        <f>SUM(K17:M17)*1.1+N17</f>
        <v/>
      </c>
      <c r="P17" s="515">
        <f>($C$20/1.1)/$C$8</f>
        <v/>
      </c>
      <c r="Q17" s="516">
        <f>P17-R17-S17</f>
        <v/>
      </c>
      <c r="R17" s="517">
        <f>$C$12/$C$8</f>
        <v/>
      </c>
      <c r="S17" s="517">
        <f>$C$13/$C$8</f>
        <v/>
      </c>
      <c r="T17" s="515">
        <f>$C$14/$C$8</f>
        <v/>
      </c>
      <c r="U17" s="518">
        <f>P17*1.1+T17</f>
        <v/>
      </c>
      <c r="V17" s="515">
        <f>($C$68/1.1)/$C$8</f>
        <v/>
      </c>
      <c r="W17" s="516">
        <f>V17-X17-Y17</f>
        <v/>
      </c>
      <c r="X17" s="517">
        <f>$C$12/$C$8-$AK$5-$AK$10-$AK$15-$AK$20</f>
        <v/>
      </c>
      <c r="Y17" s="517">
        <f>$C$13/$C$8-$AK$6-$AK$11-$AK$16-$AK$21</f>
        <v/>
      </c>
      <c r="Z17" s="573">
        <f>T17</f>
        <v/>
      </c>
      <c r="AA17" s="518">
        <f>V17*1.1+Z17</f>
        <v/>
      </c>
      <c r="AB17" s="515">
        <f>($C$68/1.1)/$C$8</f>
        <v/>
      </c>
      <c r="AC17" s="516">
        <f>AB17-AD17-AE17</f>
        <v/>
      </c>
      <c r="AD17" s="517">
        <f>$C$12/$C$8-$AK$5-$AK$10-$AK$15-$AK$20</f>
        <v/>
      </c>
      <c r="AE17" s="517">
        <f>$C$13/$C$8-$AK$6-$AK$11-$AK$16-$AK$21</f>
        <v/>
      </c>
      <c r="AF17" s="573">
        <f>Z17</f>
        <v/>
      </c>
      <c r="AG17" s="518">
        <f>AB17*1.1+AF17</f>
        <v/>
      </c>
      <c r="AI17" s="399" t="n"/>
      <c r="AM17" s="399" t="n"/>
      <c r="AP17" s="505" t="n"/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62">
        <f>$C$17</f>
        <v/>
      </c>
      <c r="K18" s="571">
        <f>$C$15/$C$8</f>
        <v/>
      </c>
      <c r="L18" s="572">
        <f>$C$12/$C$8</f>
        <v/>
      </c>
      <c r="M18" s="572">
        <f>$C$13/$C$8</f>
        <v/>
      </c>
      <c r="N18" s="566">
        <f>$C$14/$C$8</f>
        <v/>
      </c>
      <c r="O18" s="566">
        <f>SUM(K18:M18)*1.1+N18</f>
        <v/>
      </c>
      <c r="P18" s="515">
        <f>($C$20/1.1)/$C$8</f>
        <v/>
      </c>
      <c r="Q18" s="516">
        <f>P18-R18-S18</f>
        <v/>
      </c>
      <c r="R18" s="517">
        <f>$C$12/$C$8</f>
        <v/>
      </c>
      <c r="S18" s="517">
        <f>$C$13/$C$8</f>
        <v/>
      </c>
      <c r="T18" s="515">
        <f>$C$14/$C$8</f>
        <v/>
      </c>
      <c r="U18" s="518">
        <f>P18*1.1+T18</f>
        <v/>
      </c>
      <c r="V18" s="515">
        <f>($C$68/1.1)/$C$8</f>
        <v/>
      </c>
      <c r="W18" s="516">
        <f>V18-X18-Y18</f>
        <v/>
      </c>
      <c r="X18" s="517">
        <f>$C$12/$C$8-$AK$5-$AK$10-$AK$15-$AK$20</f>
        <v/>
      </c>
      <c r="Y18" s="517">
        <f>$C$13/$C$8-$AK$6-$AK$11-$AK$16-$AK$21</f>
        <v/>
      </c>
      <c r="Z18" s="573">
        <f>T18</f>
        <v/>
      </c>
      <c r="AA18" s="518">
        <f>V18*1.1+Z18</f>
        <v/>
      </c>
      <c r="AB18" s="515">
        <f>($C$68/1.1)/$C$8</f>
        <v/>
      </c>
      <c r="AC18" s="516">
        <f>AB18-AD18-AE18</f>
        <v/>
      </c>
      <c r="AD18" s="517">
        <f>$C$12/$C$8-$AK$5-$AK$10-$AK$15-$AK$20</f>
        <v/>
      </c>
      <c r="AE18" s="517">
        <f>$C$13/$C$8-$AK$6-$AK$11-$AK$16-$AK$21</f>
        <v/>
      </c>
      <c r="AF18" s="573">
        <f>Z18</f>
        <v/>
      </c>
      <c r="AG18" s="518">
        <f>AB18*1.1+AF18</f>
        <v/>
      </c>
      <c r="AI18" s="378" t="inlineStr">
        <is>
          <t>월 결합할인(V-)</t>
        </is>
      </c>
      <c r="AJ18" s="251" t="n"/>
      <c r="AK18" s="525">
        <f>$C53</f>
        <v/>
      </c>
      <c r="AM18" s="378" t="inlineStr">
        <is>
          <t>월 결합할인(V-)</t>
        </is>
      </c>
      <c r="AN18" s="251" t="n"/>
      <c r="AO18" s="525">
        <f>$C53</f>
        <v/>
      </c>
      <c r="AP18" s="505">
        <f>AO18*1.1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62">
        <f>$C$17</f>
        <v/>
      </c>
      <c r="K19" s="571">
        <f>$C$15/$C$8</f>
        <v/>
      </c>
      <c r="L19" s="572">
        <f>$C$12/$C$8</f>
        <v/>
      </c>
      <c r="M19" s="572">
        <f>$C$13/$C$8</f>
        <v/>
      </c>
      <c r="N19" s="566">
        <f>$C$14/$C$8</f>
        <v/>
      </c>
      <c r="O19" s="566">
        <f>SUM(K19:M19)*1.1+N19</f>
        <v/>
      </c>
      <c r="P19" s="515">
        <f>($C$20/1.1)/$C$8</f>
        <v/>
      </c>
      <c r="Q19" s="516">
        <f>P19-R19-S19</f>
        <v/>
      </c>
      <c r="R19" s="517">
        <f>$C$12/$C$8</f>
        <v/>
      </c>
      <c r="S19" s="517">
        <f>$C$13/$C$8</f>
        <v/>
      </c>
      <c r="T19" s="515">
        <f>$C$14/$C$8</f>
        <v/>
      </c>
      <c r="U19" s="518">
        <f>P19*1.1+T19</f>
        <v/>
      </c>
      <c r="V19" s="515">
        <f>($C$68/1.1)/$C$8</f>
        <v/>
      </c>
      <c r="W19" s="516">
        <f>V19-X19-Y19</f>
        <v/>
      </c>
      <c r="X19" s="517">
        <f>$C$12/$C$8-$AK$5-$AK$10-$AK$15-$AK$20</f>
        <v/>
      </c>
      <c r="Y19" s="517">
        <f>$C$13/$C$8-$AK$6-$AK$11-$AK$16-$AK$21</f>
        <v/>
      </c>
      <c r="Z19" s="573">
        <f>T19</f>
        <v/>
      </c>
      <c r="AA19" s="518">
        <f>V19*1.1+Z19</f>
        <v/>
      </c>
      <c r="AB19" s="515">
        <f>($C$68/1.1)/$C$8</f>
        <v/>
      </c>
      <c r="AC19" s="516">
        <f>AB19-AD19-AE19</f>
        <v/>
      </c>
      <c r="AD19" s="517">
        <f>$C$12/$C$8-$AK$5-$AK$10-$AK$15-$AK$20</f>
        <v/>
      </c>
      <c r="AE19" s="517">
        <f>$C$13/$C$8-$AK$6-$AK$11-$AK$16-$AK$21</f>
        <v/>
      </c>
      <c r="AF19" s="573">
        <f>Z19</f>
        <v/>
      </c>
      <c r="AG19" s="518">
        <f>AB19*1.1+AF19</f>
        <v/>
      </c>
      <c r="AI19" s="375" t="n"/>
      <c r="AJ19" s="506" t="inlineStr">
        <is>
          <t>제품</t>
        </is>
      </c>
      <c r="AK19" s="507">
        <f>AK18-AK20-AK21</f>
        <v/>
      </c>
      <c r="AM19" s="375" t="n"/>
      <c r="AN19" s="506" t="inlineStr">
        <is>
          <t>제품</t>
        </is>
      </c>
      <c r="AO19" s="507">
        <f>AO18-AO20-AO21</f>
        <v/>
      </c>
      <c r="AP19" s="505">
        <f>ROUND(AO19*1.1,)</f>
        <v/>
      </c>
    </row>
    <row r="20">
      <c r="B20" s="9" t="inlineStr">
        <is>
          <t>비과세 파손보험 제외 총 구독료 (v+)</t>
        </is>
      </c>
      <c r="C20" s="526">
        <f>C18-C14</f>
        <v/>
      </c>
      <c r="D20" s="343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62">
        <f>$C$17</f>
        <v/>
      </c>
      <c r="K20" s="571">
        <f>$C$15/$C$8</f>
        <v/>
      </c>
      <c r="L20" s="572">
        <f>$C$12/$C$8</f>
        <v/>
      </c>
      <c r="M20" s="572">
        <f>$C$13/$C$8</f>
        <v/>
      </c>
      <c r="N20" s="566">
        <f>$C$14/$C$8</f>
        <v/>
      </c>
      <c r="O20" s="566">
        <f>SUM(K20:M20)*1.1+N20</f>
        <v/>
      </c>
      <c r="P20" s="515">
        <f>($C$20/1.1)/$C$8</f>
        <v/>
      </c>
      <c r="Q20" s="516">
        <f>P20-R20-S20</f>
        <v/>
      </c>
      <c r="R20" s="517">
        <f>$C$12/$C$8</f>
        <v/>
      </c>
      <c r="S20" s="517">
        <f>$C$13/$C$8</f>
        <v/>
      </c>
      <c r="T20" s="515">
        <f>$C$14/$C$8</f>
        <v/>
      </c>
      <c r="U20" s="518">
        <f>P20*1.1+T20</f>
        <v/>
      </c>
      <c r="V20" s="515">
        <f>($C$68/1.1)/$C$8</f>
        <v/>
      </c>
      <c r="W20" s="516">
        <f>V20-X20-Y20</f>
        <v/>
      </c>
      <c r="X20" s="517">
        <f>$C$12/$C$8-$AK$5-$AK$10-$AK$15-$AK$20</f>
        <v/>
      </c>
      <c r="Y20" s="517">
        <f>$C$13/$C$8-$AK$6-$AK$11-$AK$16-$AK$21</f>
        <v/>
      </c>
      <c r="Z20" s="573">
        <f>T20</f>
        <v/>
      </c>
      <c r="AA20" s="518">
        <f>V20*1.1+Z20</f>
        <v/>
      </c>
      <c r="AB20" s="515">
        <f>($C$68/1.1)/$C$8</f>
        <v/>
      </c>
      <c r="AC20" s="516">
        <f>AB20-AD20-AE20</f>
        <v/>
      </c>
      <c r="AD20" s="517">
        <f>$C$12/$C$8-$AK$5-$AK$10-$AK$15-$AK$20</f>
        <v/>
      </c>
      <c r="AE20" s="517">
        <f>$C$13/$C$8-$AK$6-$AK$11-$AK$16-$AK$21</f>
        <v/>
      </c>
      <c r="AF20" s="573">
        <f>Z20</f>
        <v/>
      </c>
      <c r="AG20" s="518">
        <f>AB20*1.1+AF20</f>
        <v/>
      </c>
      <c r="AI20" s="375" t="n"/>
      <c r="AJ20" s="506" t="inlineStr">
        <is>
          <t>케어</t>
        </is>
      </c>
      <c r="AK20" s="507">
        <f>ROUND(AK18*$C$12/($C$16-$C$14),-2)</f>
        <v/>
      </c>
      <c r="AM20" s="375" t="n"/>
      <c r="AN20" s="506" t="inlineStr">
        <is>
          <t>케어</t>
        </is>
      </c>
      <c r="AO20" s="507">
        <f>ROUND(AO18*$C$12/($C$16-$C$14),0)</f>
        <v/>
      </c>
      <c r="AP20" s="505">
        <f>ROUND(AO20*1.1,)</f>
        <v/>
      </c>
    </row>
    <row r="21">
      <c r="D21" s="343" t="n"/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62">
        <f>$C$17</f>
        <v/>
      </c>
      <c r="K21" s="571">
        <f>$C$15/$C$8</f>
        <v/>
      </c>
      <c r="L21" s="572">
        <f>$C$12/$C$8</f>
        <v/>
      </c>
      <c r="M21" s="572">
        <f>$C$13/$C$8</f>
        <v/>
      </c>
      <c r="N21" s="566">
        <f>$C$14/$C$8</f>
        <v/>
      </c>
      <c r="O21" s="566">
        <f>SUM(K21:M21)*1.1+N21</f>
        <v/>
      </c>
      <c r="P21" s="515">
        <f>($C$20/1.1)/$C$8</f>
        <v/>
      </c>
      <c r="Q21" s="516">
        <f>P21-R21-S21</f>
        <v/>
      </c>
      <c r="R21" s="517">
        <f>$C$12/$C$8</f>
        <v/>
      </c>
      <c r="S21" s="517">
        <f>$C$13/$C$8</f>
        <v/>
      </c>
      <c r="T21" s="515">
        <f>$C$14/$C$8</f>
        <v/>
      </c>
      <c r="U21" s="518">
        <f>P21*1.1+T21</f>
        <v/>
      </c>
      <c r="V21" s="515">
        <f>($C$68/1.1)/$C$8</f>
        <v/>
      </c>
      <c r="W21" s="516">
        <f>V21-X21-Y21</f>
        <v/>
      </c>
      <c r="X21" s="517">
        <f>$C$12/$C$8-$AK$5-$AK$10-$AK$15-$AK$20</f>
        <v/>
      </c>
      <c r="Y21" s="517">
        <f>$C$13/$C$8-$AK$6-$AK$11-$AK$16-$AK$21</f>
        <v/>
      </c>
      <c r="Z21" s="573">
        <f>T21</f>
        <v/>
      </c>
      <c r="AA21" s="518">
        <f>V21*1.1+Z21</f>
        <v/>
      </c>
      <c r="AB21" s="515">
        <f>($C$68/1.1)/$C$8</f>
        <v/>
      </c>
      <c r="AC21" s="516">
        <f>AB21-AD21-AE21</f>
        <v/>
      </c>
      <c r="AD21" s="517">
        <f>$C$12/$C$8-$AK$5-$AK$10-$AK$15-$AK$20</f>
        <v/>
      </c>
      <c r="AE21" s="517">
        <f>$C$13/$C$8-$AK$6-$AK$11-$AK$16-$AK$21</f>
        <v/>
      </c>
      <c r="AF21" s="573">
        <f>Z21</f>
        <v/>
      </c>
      <c r="AG21" s="518">
        <f>AB21*1.1+AF21</f>
        <v/>
      </c>
      <c r="AI21" s="376" t="n"/>
      <c r="AJ21" s="524" t="inlineStr">
        <is>
          <t>보증</t>
        </is>
      </c>
      <c r="AK21" s="507">
        <f>ROUND(AK18*$C$13/($C$16-$C$14),-2)</f>
        <v/>
      </c>
      <c r="AM21" s="376" t="n"/>
      <c r="AN21" s="524" t="inlineStr">
        <is>
          <t>보증</t>
        </is>
      </c>
      <c r="AO21" s="507">
        <f>ROUND(AO18*$C$13/($C$16-$C$14),0)</f>
        <v/>
      </c>
      <c r="AP21" s="505">
        <f>ROUND(AO21*1.1,)</f>
        <v/>
      </c>
    </row>
    <row r="22" ht="17.45" customHeight="1" s="497">
      <c r="A22" s="303" t="n"/>
      <c r="B22" s="314" t="inlineStr">
        <is>
          <t>선납금 %</t>
        </is>
      </c>
      <c r="C22" s="349" t="n">
        <v>0.3</v>
      </c>
      <c r="D22" s="343" t="n"/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62">
        <f>$C$17</f>
        <v/>
      </c>
      <c r="K22" s="571">
        <f>$C$15/$C$8</f>
        <v/>
      </c>
      <c r="L22" s="572">
        <f>$C$12/$C$8</f>
        <v/>
      </c>
      <c r="M22" s="572">
        <f>$C$13/$C$8</f>
        <v/>
      </c>
      <c r="N22" s="566">
        <f>$C$14/$C$8</f>
        <v/>
      </c>
      <c r="O22" s="566">
        <f>SUM(K22:M22)*1.1+N22</f>
        <v/>
      </c>
      <c r="P22" s="515">
        <f>($C$20/1.1)/$C$8</f>
        <v/>
      </c>
      <c r="Q22" s="516">
        <f>P22-R22-S22</f>
        <v/>
      </c>
      <c r="R22" s="517">
        <f>$C$12/$C$8</f>
        <v/>
      </c>
      <c r="S22" s="517">
        <f>$C$13/$C$8</f>
        <v/>
      </c>
      <c r="T22" s="515">
        <f>$C$14/$C$8</f>
        <v/>
      </c>
      <c r="U22" s="518">
        <f>P22*1.1+T22</f>
        <v/>
      </c>
      <c r="V22" s="515">
        <f>($C$68/1.1)/$C$8</f>
        <v/>
      </c>
      <c r="W22" s="516">
        <f>V22-X22-Y22</f>
        <v/>
      </c>
      <c r="X22" s="517">
        <f>$C$12/$C$8-$AK$5-$AK$10-$AK$15-$AK$20</f>
        <v/>
      </c>
      <c r="Y22" s="517">
        <f>$C$13/$C$8-$AK$6-$AK$11-$AK$16-$AK$21</f>
        <v/>
      </c>
      <c r="Z22" s="573">
        <f>T22</f>
        <v/>
      </c>
      <c r="AA22" s="518">
        <f>V22*1.1+Z22</f>
        <v/>
      </c>
      <c r="AB22" s="515">
        <f>($C$68/1.1)/$C$8</f>
        <v/>
      </c>
      <c r="AC22" s="516">
        <f>AB22-AD22-AE22</f>
        <v/>
      </c>
      <c r="AD22" s="517">
        <f>$C$12/$C$8-$AK$5-$AK$10-$AK$15-$AK$20</f>
        <v/>
      </c>
      <c r="AE22" s="517">
        <f>$C$13/$C$8-$AK$6-$AK$11-$AK$16-$AK$21</f>
        <v/>
      </c>
      <c r="AF22" s="573">
        <f>Z22</f>
        <v/>
      </c>
      <c r="AG22" s="518">
        <f>AB22*1.1+AF22</f>
        <v/>
      </c>
    </row>
    <row r="23">
      <c r="A23" s="303" t="n"/>
      <c r="B23" s="9" t="inlineStr">
        <is>
          <t>(계산용) 선납금(V+)</t>
        </is>
      </c>
      <c r="C23" s="506">
        <f>+C18*C22</f>
        <v/>
      </c>
      <c r="D23" s="343" t="n"/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62">
        <f>$C$17</f>
        <v/>
      </c>
      <c r="K23" s="571">
        <f>$C$15/$C$8</f>
        <v/>
      </c>
      <c r="L23" s="572">
        <f>$C$12/$C$8</f>
        <v/>
      </c>
      <c r="M23" s="572">
        <f>$C$13/$C$8</f>
        <v/>
      </c>
      <c r="N23" s="566">
        <f>$C$14/$C$8</f>
        <v/>
      </c>
      <c r="O23" s="566">
        <f>SUM(K23:M23)*1.1+N23</f>
        <v/>
      </c>
      <c r="P23" s="515">
        <f>($C$20/1.1)/$C$8</f>
        <v/>
      </c>
      <c r="Q23" s="516">
        <f>P23-R23-S23</f>
        <v/>
      </c>
      <c r="R23" s="517">
        <f>$C$12/$C$8</f>
        <v/>
      </c>
      <c r="S23" s="517">
        <f>$C$13/$C$8</f>
        <v/>
      </c>
      <c r="T23" s="515">
        <f>$C$14/$C$8</f>
        <v/>
      </c>
      <c r="U23" s="518">
        <f>P23*1.1+T23</f>
        <v/>
      </c>
      <c r="V23" s="515">
        <f>($C$68/1.1)/$C$8</f>
        <v/>
      </c>
      <c r="W23" s="516">
        <f>V23-X23-Y23</f>
        <v/>
      </c>
      <c r="X23" s="517">
        <f>$C$12/$C$8-$AK$5-$AK$10-$AK$15-$AK$20</f>
        <v/>
      </c>
      <c r="Y23" s="517">
        <f>$C$13/$C$8-$AK$6-$AK$11-$AK$16-$AK$21</f>
        <v/>
      </c>
      <c r="Z23" s="573">
        <f>T23</f>
        <v/>
      </c>
      <c r="AA23" s="518">
        <f>V23*1.1+Z23</f>
        <v/>
      </c>
      <c r="AB23" s="515">
        <f>($C$68/1.1)/$C$8</f>
        <v/>
      </c>
      <c r="AC23" s="516">
        <f>AB23-AD23-AE23</f>
        <v/>
      </c>
      <c r="AD23" s="517">
        <f>$C$12/$C$8-$AK$5-$AK$10-$AK$15-$AK$20</f>
        <v/>
      </c>
      <c r="AE23" s="517">
        <f>$C$13/$C$8-$AK$6-$AK$11-$AK$16-$AK$21</f>
        <v/>
      </c>
      <c r="AF23" s="573">
        <f>Z23</f>
        <v/>
      </c>
      <c r="AG23" s="518">
        <f>AB23*1.1+AF23</f>
        <v/>
      </c>
      <c r="AI23" s="539">
        <f>SUM(AF7:AF12)</f>
        <v/>
      </c>
    </row>
    <row r="24">
      <c r="A24" s="303" t="n"/>
      <c r="B24" s="9" t="inlineStr">
        <is>
          <t>(계산용) 선납금(V-)</t>
        </is>
      </c>
      <c r="C24" s="506">
        <f>+C23/1.1</f>
        <v/>
      </c>
      <c r="D24" s="343" t="n"/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62">
        <f>$C$17</f>
        <v/>
      </c>
      <c r="K24" s="571">
        <f>$C$15/$C$8</f>
        <v/>
      </c>
      <c r="L24" s="572">
        <f>$C$12/$C$8</f>
        <v/>
      </c>
      <c r="M24" s="572">
        <f>$C$13/$C$8</f>
        <v/>
      </c>
      <c r="N24" s="566">
        <f>$C$14/$C$8</f>
        <v/>
      </c>
      <c r="O24" s="566">
        <f>SUM(K24:M24)*1.1+N24</f>
        <v/>
      </c>
      <c r="P24" s="515">
        <f>($C$20/1.1)/$C$8</f>
        <v/>
      </c>
      <c r="Q24" s="516">
        <f>P24-R24-S24</f>
        <v/>
      </c>
      <c r="R24" s="517">
        <f>$C$12/$C$8</f>
        <v/>
      </c>
      <c r="S24" s="517">
        <f>$C$13/$C$8</f>
        <v/>
      </c>
      <c r="T24" s="515">
        <f>$C$14/$C$8</f>
        <v/>
      </c>
      <c r="U24" s="518">
        <f>P24*1.1+T24</f>
        <v/>
      </c>
      <c r="V24" s="515">
        <f>($C$68/1.1)/$C$8</f>
        <v/>
      </c>
      <c r="W24" s="516">
        <f>V24-X24-Y24</f>
        <v/>
      </c>
      <c r="X24" s="517">
        <f>$C$12/$C$8-$AK$5-$AK$10-$AK$15-$AK$20</f>
        <v/>
      </c>
      <c r="Y24" s="517">
        <f>$C$13/$C$8-$AK$6-$AK$11-$AK$16-$AK$21</f>
        <v/>
      </c>
      <c r="Z24" s="573">
        <f>T24</f>
        <v/>
      </c>
      <c r="AA24" s="518">
        <f>V24*1.1+Z24</f>
        <v/>
      </c>
      <c r="AB24" s="515">
        <f>($C$68/1.1)/$C$8</f>
        <v/>
      </c>
      <c r="AC24" s="516">
        <f>AB24-AD24-AE24</f>
        <v/>
      </c>
      <c r="AD24" s="517">
        <f>$C$12/$C$8-$AK$5-$AK$10-$AK$15-$AK$20</f>
        <v/>
      </c>
      <c r="AE24" s="517">
        <f>$C$13/$C$8-$AK$6-$AK$11-$AK$16-$AK$21</f>
        <v/>
      </c>
      <c r="AF24" s="573">
        <f>Z24</f>
        <v/>
      </c>
      <c r="AG24" s="518">
        <f>AB24*1.1+AF24</f>
        <v/>
      </c>
      <c r="AI24" s="506" t="inlineStr">
        <is>
          <t>제품</t>
        </is>
      </c>
      <c r="AJ24" s="539">
        <f>(AI23/COUNTA(F13:F53))-AJ25-AJ26</f>
        <v/>
      </c>
    </row>
    <row r="25">
      <c r="A25" s="303" t="n"/>
      <c r="B25" s="9" t="inlineStr">
        <is>
          <t>(계산용) 월 선납금(V-)</t>
        </is>
      </c>
      <c r="C25" s="506">
        <f>+ROUND(C24/C8,-2)</f>
        <v/>
      </c>
      <c r="D25" s="343" t="n"/>
      <c r="F25" s="101" t="inlineStr">
        <is>
          <t>20회차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62">
        <f>$C$17</f>
        <v/>
      </c>
      <c r="K25" s="571">
        <f>$C$15/$C$8</f>
        <v/>
      </c>
      <c r="L25" s="572">
        <f>$C$12/$C$8</f>
        <v/>
      </c>
      <c r="M25" s="572">
        <f>$C$13/$C$8</f>
        <v/>
      </c>
      <c r="N25" s="566">
        <f>$C$14/$C$8</f>
        <v/>
      </c>
      <c r="O25" s="566">
        <f>SUM(K25:M25)*1.1+N25</f>
        <v/>
      </c>
      <c r="P25" s="515">
        <f>($C$20/1.1)/$C$8</f>
        <v/>
      </c>
      <c r="Q25" s="516">
        <f>P25-R25-S25</f>
        <v/>
      </c>
      <c r="R25" s="517">
        <f>$C$12/$C$8</f>
        <v/>
      </c>
      <c r="S25" s="517">
        <f>$C$13/$C$8</f>
        <v/>
      </c>
      <c r="T25" s="515">
        <f>$C$14/$C$8</f>
        <v/>
      </c>
      <c r="U25" s="518">
        <f>P25*1.1+T25</f>
        <v/>
      </c>
      <c r="V25" s="515">
        <f>($C$68/1.1)/$C$8</f>
        <v/>
      </c>
      <c r="W25" s="516">
        <f>V25-X25-Y25</f>
        <v/>
      </c>
      <c r="X25" s="517">
        <f>$C$12/$C$8-$AK$5-$AK$10-$AK$15-$AK$20</f>
        <v/>
      </c>
      <c r="Y25" s="517">
        <f>$C$13/$C$8-$AK$6-$AK$11-$AK$16-$AK$21</f>
        <v/>
      </c>
      <c r="Z25" s="573">
        <f>T25</f>
        <v/>
      </c>
      <c r="AA25" s="518">
        <f>V25*1.1+Z25</f>
        <v/>
      </c>
      <c r="AB25" s="515">
        <f>($C$68/1.1)/$C$8</f>
        <v/>
      </c>
      <c r="AC25" s="516">
        <f>AB25-AD25-AE25</f>
        <v/>
      </c>
      <c r="AD25" s="517">
        <f>$C$12/$C$8-$AK$5-$AK$10-$AK$15-$AK$20</f>
        <v/>
      </c>
      <c r="AE25" s="517">
        <f>$C$13/$C$8-$AK$6-$AK$11-$AK$16-$AK$21</f>
        <v/>
      </c>
      <c r="AF25" s="573">
        <f>Z25</f>
        <v/>
      </c>
      <c r="AG25" s="518">
        <f>AB25*1.1+AF25</f>
        <v/>
      </c>
      <c r="AI25" s="506" t="inlineStr">
        <is>
          <t>케어</t>
        </is>
      </c>
    </row>
    <row r="26">
      <c r="A26" s="303" t="n"/>
      <c r="B26" s="9" t="inlineStr">
        <is>
          <t>(최종) 선납금 (V-)</t>
        </is>
      </c>
      <c r="C26" s="506">
        <f>+C25*C8</f>
        <v/>
      </c>
      <c r="D26" s="343" t="n"/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62">
        <f>$C$17</f>
        <v/>
      </c>
      <c r="K26" s="571">
        <f>$C$15/$C$8</f>
        <v/>
      </c>
      <c r="L26" s="572">
        <f>$C$12/$C$8</f>
        <v/>
      </c>
      <c r="M26" s="572">
        <f>$C$13/$C$8</f>
        <v/>
      </c>
      <c r="N26" s="566">
        <f>$C$14/$C$8</f>
        <v/>
      </c>
      <c r="O26" s="566">
        <f>SUM(K26:M26)*1.1+N26</f>
        <v/>
      </c>
      <c r="P26" s="515">
        <f>($C$20/1.1)/$C$8</f>
        <v/>
      </c>
      <c r="Q26" s="516">
        <f>P26-R26-S26</f>
        <v/>
      </c>
      <c r="R26" s="517">
        <f>$C$12/$C$8</f>
        <v/>
      </c>
      <c r="S26" s="517">
        <f>$C$13/$C$8</f>
        <v/>
      </c>
      <c r="T26" s="515">
        <f>$C$14/$C$8</f>
        <v/>
      </c>
      <c r="U26" s="518">
        <f>P26*1.1+T26</f>
        <v/>
      </c>
      <c r="V26" s="515">
        <f>($C$68/1.1)/$C$8</f>
        <v/>
      </c>
      <c r="W26" s="516">
        <f>V26-X26-Y26</f>
        <v/>
      </c>
      <c r="X26" s="517">
        <f>$C$12/$C$8-$AK$5-$AK$10-$AK$15-$AK$20</f>
        <v/>
      </c>
      <c r="Y26" s="517">
        <f>$C$13/$C$8-$AK$6-$AK$11-$AK$16-$AK$21</f>
        <v/>
      </c>
      <c r="Z26" s="573">
        <f>T26</f>
        <v/>
      </c>
      <c r="AA26" s="518">
        <f>V26*1.1+Z26</f>
        <v/>
      </c>
      <c r="AB26" s="515">
        <f>($C$68/1.1)/$C$8</f>
        <v/>
      </c>
      <c r="AC26" s="516">
        <f>AB26-AD26-AE26</f>
        <v/>
      </c>
      <c r="AD26" s="517">
        <f>$C$12/$C$8-$AK$5-$AK$10-$AK$15-$AK$20</f>
        <v/>
      </c>
      <c r="AE26" s="517">
        <f>$C$13/$C$8-$AK$6-$AK$11-$AK$16-$AK$21</f>
        <v/>
      </c>
      <c r="AF26" s="573">
        <f>Z26</f>
        <v/>
      </c>
      <c r="AG26" s="518">
        <f>AB26*1.1+AF26</f>
        <v/>
      </c>
      <c r="AI26" s="524" t="inlineStr">
        <is>
          <t>보증</t>
        </is>
      </c>
      <c r="AJ26" s="539">
        <f>(AI23/COUNTA(F13:F53))*C13/(C16-C14)</f>
        <v/>
      </c>
    </row>
    <row r="27">
      <c r="A27" s="303" t="n"/>
      <c r="B27" s="264" t="inlineStr">
        <is>
          <t>(최종) 월 선납금 (V-)</t>
        </is>
      </c>
      <c r="C27" s="574">
        <f>+C26/C8</f>
        <v/>
      </c>
      <c r="D27" s="343" t="n"/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62">
        <f>$C$17</f>
        <v/>
      </c>
      <c r="K27" s="571">
        <f>$C$15/$C$8</f>
        <v/>
      </c>
      <c r="L27" s="572">
        <f>$C$12/$C$8</f>
        <v/>
      </c>
      <c r="M27" s="572">
        <f>$C$13/$C$8</f>
        <v/>
      </c>
      <c r="N27" s="566">
        <f>$C$14/$C$8</f>
        <v/>
      </c>
      <c r="O27" s="566">
        <f>SUM(K27:M27)*1.1+N27</f>
        <v/>
      </c>
      <c r="P27" s="515">
        <f>($C$20/1.1)/$C$8</f>
        <v/>
      </c>
      <c r="Q27" s="516">
        <f>P27-R27-S27</f>
        <v/>
      </c>
      <c r="R27" s="517">
        <f>$C$12/$C$8</f>
        <v/>
      </c>
      <c r="S27" s="517">
        <f>$C$13/$C$8</f>
        <v/>
      </c>
      <c r="T27" s="515">
        <f>$C$14/$C$8</f>
        <v/>
      </c>
      <c r="U27" s="518">
        <f>P27*1.1+T27</f>
        <v/>
      </c>
      <c r="V27" s="515">
        <f>($C$68/1.1)/$C$8</f>
        <v/>
      </c>
      <c r="W27" s="516">
        <f>V27-X27-Y27</f>
        <v/>
      </c>
      <c r="X27" s="517">
        <f>$C$12/$C$8-$AK$5-$AK$10-$AK$15-$AK$20</f>
        <v/>
      </c>
      <c r="Y27" s="517">
        <f>$C$13/$C$8-$AK$6-$AK$11-$AK$16-$AK$21</f>
        <v/>
      </c>
      <c r="Z27" s="573">
        <f>T27</f>
        <v/>
      </c>
      <c r="AA27" s="518">
        <f>V27*1.1+Z27</f>
        <v/>
      </c>
      <c r="AB27" s="515">
        <f>($C$68/1.1)/$C$8</f>
        <v/>
      </c>
      <c r="AC27" s="516">
        <f>AB27-AD27-AE27</f>
        <v/>
      </c>
      <c r="AD27" s="517">
        <f>$C$12/$C$8-$AK$5-$AK$10-$AK$15-$AK$20</f>
        <v/>
      </c>
      <c r="AE27" s="517">
        <f>$C$13/$C$8-$AK$6-$AK$11-$AK$16-$AK$21</f>
        <v/>
      </c>
      <c r="AF27" s="573">
        <f>Z27</f>
        <v/>
      </c>
      <c r="AG27" s="518">
        <f>AB27*1.1+AF27</f>
        <v/>
      </c>
    </row>
    <row r="28">
      <c r="B28" s="9" t="inlineStr">
        <is>
          <t>(최종) 선납금 반영 월 구독료 (V+)</t>
        </is>
      </c>
      <c r="C28" s="506">
        <f>+C19-C27*1.1</f>
        <v/>
      </c>
      <c r="D28" s="575">
        <f>C26*1.1=C30</f>
        <v/>
      </c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62">
        <f>$C$17</f>
        <v/>
      </c>
      <c r="K28" s="571">
        <f>$C$15/$C$8</f>
        <v/>
      </c>
      <c r="L28" s="572">
        <f>$C$12/$C$8</f>
        <v/>
      </c>
      <c r="M28" s="572">
        <f>$C$13/$C$8</f>
        <v/>
      </c>
      <c r="N28" s="566">
        <f>$C$14/$C$8</f>
        <v/>
      </c>
      <c r="O28" s="566">
        <f>SUM(K28:M28)*1.1+N28</f>
        <v/>
      </c>
      <c r="P28" s="515">
        <f>($C$20/1.1)/$C$8</f>
        <v/>
      </c>
      <c r="Q28" s="516">
        <f>P28-R28-S28</f>
        <v/>
      </c>
      <c r="R28" s="517">
        <f>$C$12/$C$8</f>
        <v/>
      </c>
      <c r="S28" s="517">
        <f>$C$13/$C$8</f>
        <v/>
      </c>
      <c r="T28" s="515">
        <f>$C$14/$C$8</f>
        <v/>
      </c>
      <c r="U28" s="518">
        <f>P28*1.1+T28</f>
        <v/>
      </c>
      <c r="V28" s="515">
        <f>($C$68/1.1)/$C$8</f>
        <v/>
      </c>
      <c r="W28" s="516">
        <f>V28-X28-Y28</f>
        <v/>
      </c>
      <c r="X28" s="517">
        <f>$C$12/$C$8-$AK$5-$AK$10-$AK$15-$AK$20</f>
        <v/>
      </c>
      <c r="Y28" s="517">
        <f>$C$13/$C$8-$AK$6-$AK$11-$AK$16-$AK$21</f>
        <v/>
      </c>
      <c r="Z28" s="573">
        <f>T28</f>
        <v/>
      </c>
      <c r="AA28" s="518">
        <f>V28*1.1+Z28</f>
        <v/>
      </c>
      <c r="AB28" s="515">
        <f>($C$68/1.1)/$C$8</f>
        <v/>
      </c>
      <c r="AC28" s="516">
        <f>AB28-AD28-AE28</f>
        <v/>
      </c>
      <c r="AD28" s="517">
        <f>$C$12/$C$8-$AK$5-$AK$10-$AK$15-$AK$20</f>
        <v/>
      </c>
      <c r="AE28" s="517">
        <f>$C$13/$C$8-$AK$6-$AK$11-$AK$16-$AK$21</f>
        <v/>
      </c>
      <c r="AF28" s="573">
        <f>Z28</f>
        <v/>
      </c>
      <c r="AG28" s="518">
        <f>AB28*1.1+AF28</f>
        <v/>
      </c>
    </row>
    <row r="29">
      <c r="B29" s="9" t="inlineStr">
        <is>
          <t>(최종) 선납금 반영 총 구독료 (V+)</t>
        </is>
      </c>
      <c r="C29" s="506">
        <f>+C28*C8</f>
        <v/>
      </c>
      <c r="D29" s="539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62">
        <f>$C$17</f>
        <v/>
      </c>
      <c r="K29" s="571">
        <f>$C$15/$C$8</f>
        <v/>
      </c>
      <c r="L29" s="572">
        <f>$C$12/$C$8</f>
        <v/>
      </c>
      <c r="M29" s="572">
        <f>$C$13/$C$8</f>
        <v/>
      </c>
      <c r="N29" s="566">
        <f>$C$14/$C$8</f>
        <v/>
      </c>
      <c r="O29" s="566">
        <f>SUM(K29:M29)*1.1+N29</f>
        <v/>
      </c>
      <c r="P29" s="515">
        <f>($C$20/1.1)/$C$8</f>
        <v/>
      </c>
      <c r="Q29" s="516">
        <f>P29-R29-S29</f>
        <v/>
      </c>
      <c r="R29" s="517">
        <f>$C$12/$C$8</f>
        <v/>
      </c>
      <c r="S29" s="517">
        <f>$C$13/$C$8</f>
        <v/>
      </c>
      <c r="T29" s="515">
        <f>$C$14/$C$8</f>
        <v/>
      </c>
      <c r="U29" s="518">
        <f>P29*1.1+T29</f>
        <v/>
      </c>
      <c r="V29" s="515">
        <f>($C$68/1.1)/$C$8</f>
        <v/>
      </c>
      <c r="W29" s="516">
        <f>V29-X29-Y29</f>
        <v/>
      </c>
      <c r="X29" s="517">
        <f>$C$12/$C$8-$AK$5-$AK$10-$AK$15-$AK$20</f>
        <v/>
      </c>
      <c r="Y29" s="517">
        <f>$C$13/$C$8-$AK$6-$AK$11-$AK$16-$AK$21</f>
        <v/>
      </c>
      <c r="Z29" s="573">
        <f>T29</f>
        <v/>
      </c>
      <c r="AA29" s="518">
        <f>V29*1.1+Z29</f>
        <v/>
      </c>
      <c r="AB29" s="515">
        <f>($C$68/1.1)/$C$8</f>
        <v/>
      </c>
      <c r="AC29" s="516">
        <f>AB29-AD29-AE29</f>
        <v/>
      </c>
      <c r="AD29" s="517">
        <f>$C$12/$C$8-$AK$5-$AK$10-$AK$15-$AK$20</f>
        <v/>
      </c>
      <c r="AE29" s="517">
        <f>$C$13/$C$8-$AK$6-$AK$11-$AK$16-$AK$21</f>
        <v/>
      </c>
      <c r="AF29" s="573">
        <f>Z29</f>
        <v/>
      </c>
      <c r="AG29" s="518">
        <f>AB29*1.1+AF29</f>
        <v/>
      </c>
    </row>
    <row r="30" ht="17.25" customHeight="1" s="497" thickBot="1">
      <c r="B30" s="264" t="inlineStr">
        <is>
          <t>(최종) 선납금 (V+)</t>
        </is>
      </c>
      <c r="C30" s="574">
        <f>+C18-C29</f>
        <v/>
      </c>
      <c r="D30" s="505" t="inlineStr">
        <is>
          <t>* 정책별 할인율</t>
        </is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62">
        <f>$C$17</f>
        <v/>
      </c>
      <c r="K30" s="571">
        <f>$C$15/$C$8</f>
        <v/>
      </c>
      <c r="L30" s="572">
        <f>$C$12/$C$8</f>
        <v/>
      </c>
      <c r="M30" s="572">
        <f>$C$13/$C$8</f>
        <v/>
      </c>
      <c r="N30" s="566">
        <f>$C$14/$C$8</f>
        <v/>
      </c>
      <c r="O30" s="566">
        <f>SUM(K30:M30)*1.1+N30</f>
        <v/>
      </c>
      <c r="P30" s="515">
        <f>($C$20/1.1)/$C$8</f>
        <v/>
      </c>
      <c r="Q30" s="516">
        <f>P30-R30-S30</f>
        <v/>
      </c>
      <c r="R30" s="517">
        <f>$C$12/$C$8</f>
        <v/>
      </c>
      <c r="S30" s="517">
        <f>$C$13/$C$8</f>
        <v/>
      </c>
      <c r="T30" s="515">
        <f>$C$14/$C$8</f>
        <v/>
      </c>
      <c r="U30" s="518">
        <f>P30*1.1+T30</f>
        <v/>
      </c>
      <c r="V30" s="515">
        <f>($C$68/1.1)/$C$8</f>
        <v/>
      </c>
      <c r="W30" s="516">
        <f>V30-X30-Y30</f>
        <v/>
      </c>
      <c r="X30" s="517">
        <f>$C$12/$C$8-$AK$5-$AK$10-$AK$15-$AK$20</f>
        <v/>
      </c>
      <c r="Y30" s="517">
        <f>$C$13/$C$8-$AK$6-$AK$11-$AK$16-$AK$21</f>
        <v/>
      </c>
      <c r="Z30" s="573">
        <f>T30</f>
        <v/>
      </c>
      <c r="AA30" s="518">
        <f>V30*1.1+Z30</f>
        <v/>
      </c>
      <c r="AB30" s="515">
        <f>($C$68/1.1)/$C$8</f>
        <v/>
      </c>
      <c r="AC30" s="516">
        <f>AB30-AD30-AE30</f>
        <v/>
      </c>
      <c r="AD30" s="517">
        <f>$C$12/$C$8-$AK$5-$AK$10-$AK$15-$AK$20</f>
        <v/>
      </c>
      <c r="AE30" s="517">
        <f>$C$13/$C$8-$AK$6-$AK$11-$AK$16-$AK$21</f>
        <v/>
      </c>
      <c r="AF30" s="573">
        <f>Z30</f>
        <v/>
      </c>
      <c r="AG30" s="518">
        <f>AB30*1.1+AF30</f>
        <v/>
      </c>
    </row>
    <row r="31">
      <c r="A31" s="303" t="n"/>
      <c r="B31" s="296" t="inlineStr">
        <is>
          <t>(계산용) 선납 할인금 (V+)</t>
        </is>
      </c>
      <c r="C31" s="576">
        <f>C18*$D$31</f>
        <v/>
      </c>
      <c r="D31" s="577" t="n">
        <v>0.04</v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62">
        <f>$C$17</f>
        <v/>
      </c>
      <c r="K31" s="571">
        <f>$C$15/$C$8</f>
        <v/>
      </c>
      <c r="L31" s="572">
        <f>$C$12/$C$8</f>
        <v/>
      </c>
      <c r="M31" s="572">
        <f>$C$13/$C$8</f>
        <v/>
      </c>
      <c r="N31" s="566">
        <f>$C$14/$C$8</f>
        <v/>
      </c>
      <c r="O31" s="566">
        <f>SUM(K31:M31)*1.1+N31</f>
        <v/>
      </c>
      <c r="P31" s="515">
        <f>($C$20/1.1)/$C$8</f>
        <v/>
      </c>
      <c r="Q31" s="516">
        <f>P31-R31-S31</f>
        <v/>
      </c>
      <c r="R31" s="517">
        <f>$C$12/$C$8</f>
        <v/>
      </c>
      <c r="S31" s="517">
        <f>$C$13/$C$8</f>
        <v/>
      </c>
      <c r="T31" s="515">
        <f>$C$14/$C$8</f>
        <v/>
      </c>
      <c r="U31" s="518">
        <f>P31*1.1+T31</f>
        <v/>
      </c>
      <c r="V31" s="515">
        <f>($C$68/1.1)/$C$8</f>
        <v/>
      </c>
      <c r="W31" s="516">
        <f>V31-X31-Y31</f>
        <v/>
      </c>
      <c r="X31" s="517">
        <f>$C$12/$C$8-$AK$5-$AK$10-$AK$15-$AK$20</f>
        <v/>
      </c>
      <c r="Y31" s="517">
        <f>$C$13/$C$8-$AK$6-$AK$11-$AK$16-$AK$21</f>
        <v/>
      </c>
      <c r="Z31" s="573">
        <f>T31</f>
        <v/>
      </c>
      <c r="AA31" s="518">
        <f>V31*1.1+Z31</f>
        <v/>
      </c>
      <c r="AB31" s="515">
        <f>($C$68/1.1)/$C$8</f>
        <v/>
      </c>
      <c r="AC31" s="516">
        <f>AB31-AD31-AE31</f>
        <v/>
      </c>
      <c r="AD31" s="517">
        <f>$C$12/$C$8-$AK$5-$AK$10-$AK$15-$AK$20</f>
        <v/>
      </c>
      <c r="AE31" s="517">
        <f>$C$13/$C$8-$AK$6-$AK$11-$AK$16-$AK$21</f>
        <v/>
      </c>
      <c r="AF31" s="573">
        <f>Z31</f>
        <v/>
      </c>
      <c r="AG31" s="518">
        <f>AB31*1.1+AF31</f>
        <v/>
      </c>
    </row>
    <row r="32">
      <c r="B32" s="298" t="inlineStr">
        <is>
          <t>(계산용) 선납 할인금 (V-)</t>
        </is>
      </c>
      <c r="C32" s="578">
        <f>+C31/1.1</f>
        <v/>
      </c>
      <c r="D32" s="531" t="n"/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62">
        <f>$C$17</f>
        <v/>
      </c>
      <c r="K32" s="571">
        <f>$C$15/$C$8</f>
        <v/>
      </c>
      <c r="L32" s="572">
        <f>$C$12/$C$8</f>
        <v/>
      </c>
      <c r="M32" s="572">
        <f>$C$13/$C$8</f>
        <v/>
      </c>
      <c r="N32" s="566">
        <f>$C$14/$C$8</f>
        <v/>
      </c>
      <c r="O32" s="566">
        <f>SUM(K32:M32)*1.1+N32</f>
        <v/>
      </c>
      <c r="P32" s="515">
        <f>($C$20/1.1)/$C$8</f>
        <v/>
      </c>
      <c r="Q32" s="516">
        <f>P32-R32-S32</f>
        <v/>
      </c>
      <c r="R32" s="517">
        <f>$C$12/$C$8</f>
        <v/>
      </c>
      <c r="S32" s="517">
        <f>$C$13/$C$8</f>
        <v/>
      </c>
      <c r="T32" s="515">
        <f>$C$14/$C$8</f>
        <v/>
      </c>
      <c r="U32" s="518">
        <f>P32*1.1+T32</f>
        <v/>
      </c>
      <c r="V32" s="515">
        <f>($C$68/1.1)/$C$8</f>
        <v/>
      </c>
      <c r="W32" s="516">
        <f>V32-X32-Y32</f>
        <v/>
      </c>
      <c r="X32" s="517">
        <f>$C$12/$C$8-$AK$5-$AK$10-$AK$15-$AK$20</f>
        <v/>
      </c>
      <c r="Y32" s="517">
        <f>$C$13/$C$8-$AK$6-$AK$11-$AK$16-$AK$21</f>
        <v/>
      </c>
      <c r="Z32" s="573">
        <f>T32</f>
        <v/>
      </c>
      <c r="AA32" s="518">
        <f>V32*1.1+Z32</f>
        <v/>
      </c>
      <c r="AB32" s="515">
        <f>($C$68/1.1)/$C$8</f>
        <v/>
      </c>
      <c r="AC32" s="516">
        <f>AB32-AD32-AE32</f>
        <v/>
      </c>
      <c r="AD32" s="517">
        <f>$C$12/$C$8-$AK$5-$AK$10-$AK$15-$AK$20</f>
        <v/>
      </c>
      <c r="AE32" s="517">
        <f>$C$13/$C$8-$AK$6-$AK$11-$AK$16-$AK$21</f>
        <v/>
      </c>
      <c r="AF32" s="573">
        <f>Z32</f>
        <v/>
      </c>
      <c r="AG32" s="518">
        <f>AB32*1.1+AF32</f>
        <v/>
      </c>
    </row>
    <row r="33">
      <c r="B33" s="298" t="inlineStr">
        <is>
          <t>(계산용) 선납 월할인금 (V-)</t>
        </is>
      </c>
      <c r="C33" s="579">
        <f>+ROUNDUP(C32/C8,-2)</f>
        <v/>
      </c>
      <c r="D33" s="531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62">
        <f>$C$17</f>
        <v/>
      </c>
      <c r="K33" s="571">
        <f>$C$15/$C$8</f>
        <v/>
      </c>
      <c r="L33" s="572">
        <f>$C$12/$C$8</f>
        <v/>
      </c>
      <c r="M33" s="572">
        <f>$C$13/$C$8</f>
        <v/>
      </c>
      <c r="N33" s="566">
        <f>$C$14/$C$8</f>
        <v/>
      </c>
      <c r="O33" s="566">
        <f>SUM(K33:M33)*1.1+N33</f>
        <v/>
      </c>
      <c r="P33" s="515">
        <f>($C$20/1.1)/$C$8</f>
        <v/>
      </c>
      <c r="Q33" s="516">
        <f>P33-R33-S33</f>
        <v/>
      </c>
      <c r="R33" s="517">
        <f>$C$12/$C$8</f>
        <v/>
      </c>
      <c r="S33" s="517">
        <f>$C$13/$C$8</f>
        <v/>
      </c>
      <c r="T33" s="515">
        <f>$C$14/$C$8</f>
        <v/>
      </c>
      <c r="U33" s="518">
        <f>P33*1.1+T33</f>
        <v/>
      </c>
      <c r="V33" s="515">
        <f>($C$68/1.1)/$C$8</f>
        <v/>
      </c>
      <c r="W33" s="516">
        <f>V33-X33-Y33</f>
        <v/>
      </c>
      <c r="X33" s="517">
        <f>$C$12/$C$8-$AK$5-$AK$10-$AK$15-$AK$20</f>
        <v/>
      </c>
      <c r="Y33" s="517">
        <f>$C$13/$C$8-$AK$6-$AK$11-$AK$16-$AK$21</f>
        <v/>
      </c>
      <c r="Z33" s="573">
        <f>T33</f>
        <v/>
      </c>
      <c r="AA33" s="518">
        <f>V33*1.1+Z33</f>
        <v/>
      </c>
      <c r="AB33" s="515">
        <f>($C$68/1.1)/$C$8</f>
        <v/>
      </c>
      <c r="AC33" s="516">
        <f>AB33-AD33-AE33</f>
        <v/>
      </c>
      <c r="AD33" s="517">
        <f>$C$12/$C$8-$AK$5-$AK$10-$AK$15-$AK$20</f>
        <v/>
      </c>
      <c r="AE33" s="517">
        <f>$C$13/$C$8-$AK$6-$AK$11-$AK$16-$AK$21</f>
        <v/>
      </c>
      <c r="AF33" s="573">
        <f>Z33</f>
        <v/>
      </c>
      <c r="AG33" s="518">
        <f>AB33*1.1+AF33</f>
        <v/>
      </c>
    </row>
    <row r="34" ht="17.25" customHeight="1" s="497" thickBot="1">
      <c r="B34" s="301" t="inlineStr">
        <is>
          <t>(계산용) 선납 월할인금 (V+)</t>
        </is>
      </c>
      <c r="C34" s="580">
        <f>+C33*1.1</f>
        <v/>
      </c>
      <c r="D34" s="541" t="n"/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62">
        <f>$C$17</f>
        <v/>
      </c>
      <c r="K34" s="571">
        <f>$C$15/$C$8</f>
        <v/>
      </c>
      <c r="L34" s="572">
        <f>$C$12/$C$8</f>
        <v/>
      </c>
      <c r="M34" s="572">
        <f>$C$13/$C$8</f>
        <v/>
      </c>
      <c r="N34" s="566">
        <f>$C$14/$C$8</f>
        <v/>
      </c>
      <c r="O34" s="566">
        <f>SUM(K34:M34)*1.1+N34</f>
        <v/>
      </c>
      <c r="P34" s="515">
        <f>($C$20/1.1)/$C$8</f>
        <v/>
      </c>
      <c r="Q34" s="516">
        <f>P34-R34-S34</f>
        <v/>
      </c>
      <c r="R34" s="517">
        <f>$C$12/$C$8</f>
        <v/>
      </c>
      <c r="S34" s="517">
        <f>$C$13/$C$8</f>
        <v/>
      </c>
      <c r="T34" s="515">
        <f>$C$14/$C$8</f>
        <v/>
      </c>
      <c r="U34" s="518">
        <f>P34*1.1+T34</f>
        <v/>
      </c>
      <c r="V34" s="515">
        <f>($C$68/1.1)/$C$8</f>
        <v/>
      </c>
      <c r="W34" s="516">
        <f>V34-X34-Y34</f>
        <v/>
      </c>
      <c r="X34" s="517">
        <f>$C$12/$C$8-$AK$5-$AK$10-$AK$15-$AK$20</f>
        <v/>
      </c>
      <c r="Y34" s="517">
        <f>$C$13/$C$8-$AK$6-$AK$11-$AK$16-$AK$21</f>
        <v/>
      </c>
      <c r="Z34" s="573">
        <f>T34</f>
        <v/>
      </c>
      <c r="AA34" s="518">
        <f>V34*1.1+Z34</f>
        <v/>
      </c>
      <c r="AB34" s="515">
        <f>($C$68/1.1)/$C$8</f>
        <v/>
      </c>
      <c r="AC34" s="516">
        <f>AB34-AD34-AE34</f>
        <v/>
      </c>
      <c r="AD34" s="517">
        <f>$C$12/$C$8-$AK$5-$AK$10-$AK$15-$AK$20</f>
        <v/>
      </c>
      <c r="AE34" s="517">
        <f>$C$13/$C$8-$AK$6-$AK$11-$AK$16-$AK$21</f>
        <v/>
      </c>
      <c r="AF34" s="573">
        <f>Z34</f>
        <v/>
      </c>
      <c r="AG34" s="518">
        <f>AB34*1.1+AF34</f>
        <v/>
      </c>
    </row>
    <row r="35">
      <c r="B35" s="265" t="inlineStr">
        <is>
          <t>(최종) 선납 할인금 (V-)</t>
        </is>
      </c>
      <c r="C35" s="581">
        <f>+C33*C8</f>
        <v/>
      </c>
      <c r="D35" s="505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62">
        <f>$C$17</f>
        <v/>
      </c>
      <c r="K35" s="571">
        <f>$C$15/$C$8</f>
        <v/>
      </c>
      <c r="L35" s="572">
        <f>$C$12/$C$8</f>
        <v/>
      </c>
      <c r="M35" s="572">
        <f>$C$13/$C$8</f>
        <v/>
      </c>
      <c r="N35" s="566">
        <f>$C$14/$C$8</f>
        <v/>
      </c>
      <c r="O35" s="566">
        <f>SUM(K35:M35)*1.1+N35</f>
        <v/>
      </c>
      <c r="P35" s="515">
        <f>($C$20/1.1)/$C$8</f>
        <v/>
      </c>
      <c r="Q35" s="516">
        <f>P35-R35-S35</f>
        <v/>
      </c>
      <c r="R35" s="517">
        <f>$C$12/$C$8</f>
        <v/>
      </c>
      <c r="S35" s="517">
        <f>$C$13/$C$8</f>
        <v/>
      </c>
      <c r="T35" s="515">
        <f>$C$14/$C$8</f>
        <v/>
      </c>
      <c r="U35" s="518">
        <f>P35*1.1+T35</f>
        <v/>
      </c>
      <c r="V35" s="515">
        <f>($C$68/1.1)/$C$8</f>
        <v/>
      </c>
      <c r="W35" s="516">
        <f>V35-X35-Y35</f>
        <v/>
      </c>
      <c r="X35" s="517">
        <f>$C$12/$C$8-$AK$5-$AK$10-$AK$15-$AK$20</f>
        <v/>
      </c>
      <c r="Y35" s="517">
        <f>$C$13/$C$8-$AK$6-$AK$11-$AK$16-$AK$21</f>
        <v/>
      </c>
      <c r="Z35" s="573">
        <f>T35</f>
        <v/>
      </c>
      <c r="AA35" s="518">
        <f>V35*1.1+Z35</f>
        <v/>
      </c>
      <c r="AB35" s="515">
        <f>($C$68/1.1)/$C$8</f>
        <v/>
      </c>
      <c r="AC35" s="516">
        <f>AB35-AD35-AE35</f>
        <v/>
      </c>
      <c r="AD35" s="517">
        <f>$C$12/$C$8-$AK$5-$AK$10-$AK$15-$AK$20</f>
        <v/>
      </c>
      <c r="AE35" s="517">
        <f>$C$13/$C$8-$AK$6-$AK$11-$AK$16-$AK$21</f>
        <v/>
      </c>
      <c r="AF35" s="573">
        <f>Z35</f>
        <v/>
      </c>
      <c r="AG35" s="518">
        <f>AB35*1.1+AF35</f>
        <v/>
      </c>
    </row>
    <row r="36" ht="17.25" customHeight="1" s="497" thickBot="1">
      <c r="B36" s="9" t="inlineStr">
        <is>
          <t>(최종) 선납 할인금 (V+)</t>
        </is>
      </c>
      <c r="C36" s="506">
        <f>+C34*C8</f>
        <v/>
      </c>
      <c r="D36" s="505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62">
        <f>$C$17</f>
        <v/>
      </c>
      <c r="K36" s="571">
        <f>$C$15/$C$8</f>
        <v/>
      </c>
      <c r="L36" s="572">
        <f>$C$12/$C$8</f>
        <v/>
      </c>
      <c r="M36" s="572">
        <f>$C$13/$C$8</f>
        <v/>
      </c>
      <c r="N36" s="566">
        <f>$C$14/$C$8</f>
        <v/>
      </c>
      <c r="O36" s="566">
        <f>SUM(K36:M36)*1.1+N36</f>
        <v/>
      </c>
      <c r="P36" s="515">
        <f>($C$20/1.1)/$C$8</f>
        <v/>
      </c>
      <c r="Q36" s="516">
        <f>P36-R36-S36</f>
        <v/>
      </c>
      <c r="R36" s="517">
        <f>$C$12/$C$8</f>
        <v/>
      </c>
      <c r="S36" s="517">
        <f>$C$13/$C$8</f>
        <v/>
      </c>
      <c r="T36" s="515">
        <f>$C$14/$C$8</f>
        <v/>
      </c>
      <c r="U36" s="518">
        <f>P36*1.1+T36</f>
        <v/>
      </c>
      <c r="V36" s="515">
        <f>($C$68/1.1)/$C$8</f>
        <v/>
      </c>
      <c r="W36" s="516">
        <f>V36-X36-Y36</f>
        <v/>
      </c>
      <c r="X36" s="517">
        <f>$C$12/$C$8-$AK$5-$AK$10-$AK$15-$AK$20</f>
        <v/>
      </c>
      <c r="Y36" s="517">
        <f>$C$13/$C$8-$AK$6-$AK$11-$AK$16-$AK$21</f>
        <v/>
      </c>
      <c r="Z36" s="573">
        <f>T36</f>
        <v/>
      </c>
      <c r="AA36" s="518">
        <f>V36*1.1+Z36</f>
        <v/>
      </c>
      <c r="AB36" s="515">
        <f>($C$68/1.1)/$C$8</f>
        <v/>
      </c>
      <c r="AC36" s="516">
        <f>AB36-AD36-AE36</f>
        <v/>
      </c>
      <c r="AD36" s="517">
        <f>$C$12/$C$8-$AK$5-$AK$10-$AK$15-$AK$20</f>
        <v/>
      </c>
      <c r="AE36" s="517">
        <f>$C$13/$C$8-$AK$6-$AK$11-$AK$16-$AK$21</f>
        <v/>
      </c>
      <c r="AF36" s="573">
        <f>Z36</f>
        <v/>
      </c>
      <c r="AG36" s="518">
        <f>AB36*1.1+AF36</f>
        <v/>
      </c>
    </row>
    <row r="37">
      <c r="B37" s="293" t="inlineStr">
        <is>
          <t>(최종) 선납금+선납 할인 반영 월 구독료 (V-)</t>
        </is>
      </c>
      <c r="C37" s="536">
        <f>+(C16-C35-C26)/C8</f>
        <v/>
      </c>
      <c r="D37" s="505" t="n"/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62">
        <f>$C$17</f>
        <v/>
      </c>
      <c r="K37" s="571">
        <f>$C$15/$C$8</f>
        <v/>
      </c>
      <c r="L37" s="572">
        <f>$C$12/$C$8</f>
        <v/>
      </c>
      <c r="M37" s="572">
        <f>$C$13/$C$8</f>
        <v/>
      </c>
      <c r="N37" s="566">
        <f>$C$14/$C$8</f>
        <v/>
      </c>
      <c r="O37" s="566">
        <f>SUM(K37:M37)*1.1+N37</f>
        <v/>
      </c>
      <c r="P37" s="515">
        <f>($C$20/1.1)/$C$8</f>
        <v/>
      </c>
      <c r="Q37" s="516">
        <f>P37-R37-S37</f>
        <v/>
      </c>
      <c r="R37" s="517">
        <f>$C$12/$C$8</f>
        <v/>
      </c>
      <c r="S37" s="517">
        <f>$C$13/$C$8</f>
        <v/>
      </c>
      <c r="T37" s="515">
        <f>$C$14/$C$8</f>
        <v/>
      </c>
      <c r="U37" s="518">
        <f>P37*1.1+T37</f>
        <v/>
      </c>
      <c r="V37" s="515">
        <f>($C$68/1.1)/$C$8</f>
        <v/>
      </c>
      <c r="W37" s="516">
        <f>V37-X37-Y37</f>
        <v/>
      </c>
      <c r="X37" s="517">
        <f>$C$12/$C$8-$AK$5-$AK$10-$AK$15-$AK$20</f>
        <v/>
      </c>
      <c r="Y37" s="517">
        <f>$C$13/$C$8-$AK$6-$AK$11-$AK$16-$AK$21</f>
        <v/>
      </c>
      <c r="Z37" s="573">
        <f>T37</f>
        <v/>
      </c>
      <c r="AA37" s="518">
        <f>V37*1.1+Z37</f>
        <v/>
      </c>
      <c r="AB37" s="515">
        <f>($C$68/1.1)/$C$8</f>
        <v/>
      </c>
      <c r="AC37" s="516">
        <f>AB37-AD37-AE37</f>
        <v/>
      </c>
      <c r="AD37" s="517">
        <f>$C$12/$C$8-$AK$5-$AK$10-$AK$15-$AK$20</f>
        <v/>
      </c>
      <c r="AE37" s="517">
        <f>$C$13/$C$8-$AK$6-$AK$11-$AK$16-$AK$21</f>
        <v/>
      </c>
      <c r="AF37" s="573">
        <f>Z37</f>
        <v/>
      </c>
      <c r="AG37" s="518">
        <f>AB37*1.1+AF37</f>
        <v/>
      </c>
    </row>
    <row r="38" ht="17.25" customHeight="1" s="497" thickBot="1">
      <c r="B38" s="294" t="inlineStr">
        <is>
          <t>(최종) 선납금+선납 할인 반영 총 구독료 (V-)</t>
        </is>
      </c>
      <c r="C38" s="537">
        <f>C37*C8</f>
        <v/>
      </c>
      <c r="D38" s="543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62">
        <f>$C$17</f>
        <v/>
      </c>
      <c r="K38" s="571">
        <f>$C$15/$C$8</f>
        <v/>
      </c>
      <c r="L38" s="572">
        <f>$C$12/$C$8</f>
        <v/>
      </c>
      <c r="M38" s="572">
        <f>$C$13/$C$8</f>
        <v/>
      </c>
      <c r="N38" s="566">
        <f>$C$14/$C$8</f>
        <v/>
      </c>
      <c r="O38" s="566">
        <f>SUM(K38:M38)*1.1+N38</f>
        <v/>
      </c>
      <c r="P38" s="515">
        <f>($C$20/1.1)/$C$8</f>
        <v/>
      </c>
      <c r="Q38" s="516">
        <f>P38-R38-S38</f>
        <v/>
      </c>
      <c r="R38" s="517">
        <f>$C$12/$C$8</f>
        <v/>
      </c>
      <c r="S38" s="517">
        <f>$C$13/$C$8</f>
        <v/>
      </c>
      <c r="T38" s="515">
        <f>$C$14/$C$8</f>
        <v/>
      </c>
      <c r="U38" s="518">
        <f>P38*1.1+T38</f>
        <v/>
      </c>
      <c r="V38" s="515">
        <f>($C$68/1.1)/$C$8</f>
        <v/>
      </c>
      <c r="W38" s="516">
        <f>V38-X38-Y38</f>
        <v/>
      </c>
      <c r="X38" s="517">
        <f>$C$12/$C$8-$AK$5-$AK$10-$AK$15-$AK$20</f>
        <v/>
      </c>
      <c r="Y38" s="517">
        <f>$C$13/$C$8-$AK$6-$AK$11-$AK$16-$AK$21</f>
        <v/>
      </c>
      <c r="Z38" s="573">
        <f>T38</f>
        <v/>
      </c>
      <c r="AA38" s="518">
        <f>V38*1.1+Z38</f>
        <v/>
      </c>
      <c r="AB38" s="515">
        <f>($C$68/1.1)/$C$8</f>
        <v/>
      </c>
      <c r="AC38" s="516">
        <f>AB38-AD38-AE38</f>
        <v/>
      </c>
      <c r="AD38" s="517">
        <f>$C$12/$C$8-$AK$5-$AK$10-$AK$15-$AK$20</f>
        <v/>
      </c>
      <c r="AE38" s="517">
        <f>$C$13/$C$8-$AK$6-$AK$11-$AK$16-$AK$21</f>
        <v/>
      </c>
      <c r="AF38" s="573">
        <f>Z38</f>
        <v/>
      </c>
      <c r="AG38" s="518">
        <f>AB38*1.1+AF38</f>
        <v/>
      </c>
    </row>
    <row r="39">
      <c r="B39" s="295" t="inlineStr">
        <is>
          <t>(최종) 선납금+선납 할인 반영 월 구독료 (V+)</t>
        </is>
      </c>
      <c r="C39" s="538">
        <f>+(C18-C26*1.1-C36)/C8</f>
        <v/>
      </c>
      <c r="D39" s="535" t="n"/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62">
        <f>$C$17</f>
        <v/>
      </c>
      <c r="K39" s="571">
        <f>$C$15/$C$8</f>
        <v/>
      </c>
      <c r="L39" s="572">
        <f>$C$12/$C$8</f>
        <v/>
      </c>
      <c r="M39" s="572">
        <f>$C$13/$C$8</f>
        <v/>
      </c>
      <c r="N39" s="566">
        <f>$C$14/$C$8</f>
        <v/>
      </c>
      <c r="O39" s="566">
        <f>SUM(K39:M39)*1.1+N39</f>
        <v/>
      </c>
      <c r="P39" s="515">
        <f>($C$20/1.1)/$C$8</f>
        <v/>
      </c>
      <c r="Q39" s="516">
        <f>P39-R39-S39</f>
        <v/>
      </c>
      <c r="R39" s="517">
        <f>$C$12/$C$8</f>
        <v/>
      </c>
      <c r="S39" s="517">
        <f>$C$13/$C$8</f>
        <v/>
      </c>
      <c r="T39" s="515">
        <f>$C$14/$C$8</f>
        <v/>
      </c>
      <c r="U39" s="518">
        <f>P39*1.1+T39</f>
        <v/>
      </c>
      <c r="V39" s="515">
        <f>($C$68/1.1)/$C$8</f>
        <v/>
      </c>
      <c r="W39" s="516">
        <f>V39-X39-Y39</f>
        <v/>
      </c>
      <c r="X39" s="517">
        <f>$C$12/$C$8-$AK$5-$AK$10-$AK$15-$AK$20</f>
        <v/>
      </c>
      <c r="Y39" s="517">
        <f>$C$13/$C$8-$AK$6-$AK$11-$AK$16-$AK$21</f>
        <v/>
      </c>
      <c r="Z39" s="573">
        <f>T39</f>
        <v/>
      </c>
      <c r="AA39" s="518">
        <f>V39*1.1+Z39</f>
        <v/>
      </c>
      <c r="AB39" s="515">
        <f>($C$68/1.1)/$C$8</f>
        <v/>
      </c>
      <c r="AC39" s="516">
        <f>AB39-AD39-AE39</f>
        <v/>
      </c>
      <c r="AD39" s="517">
        <f>$C$12/$C$8-$AK$5-$AK$10-$AK$15-$AK$20</f>
        <v/>
      </c>
      <c r="AE39" s="517">
        <f>$C$13/$C$8-$AK$6-$AK$11-$AK$16-$AK$21</f>
        <v/>
      </c>
      <c r="AF39" s="573">
        <f>Z39</f>
        <v/>
      </c>
      <c r="AG39" s="518">
        <f>AB39*1.1+AF39</f>
        <v/>
      </c>
    </row>
    <row r="40" ht="17.25" customHeight="1" s="497" thickBot="1">
      <c r="B40" s="294" t="inlineStr">
        <is>
          <t>(최종) 선납금+선납 할인 반영 총 구독료 (V+)</t>
        </is>
      </c>
      <c r="C40" s="537">
        <f>C39*C8</f>
        <v/>
      </c>
      <c r="D40" s="582" t="n"/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62">
        <f>$C$17</f>
        <v/>
      </c>
      <c r="K40" s="571">
        <f>$C$15/$C$8</f>
        <v/>
      </c>
      <c r="L40" s="572">
        <f>$C$12/$C$8</f>
        <v/>
      </c>
      <c r="M40" s="572">
        <f>$C$13/$C$8</f>
        <v/>
      </c>
      <c r="N40" s="566">
        <f>$C$14/$C$8</f>
        <v/>
      </c>
      <c r="O40" s="566">
        <f>SUM(K40:M40)*1.1+N40</f>
        <v/>
      </c>
      <c r="P40" s="515">
        <f>($C$20/1.1)/$C$8</f>
        <v/>
      </c>
      <c r="Q40" s="516">
        <f>P40-R40-S40</f>
        <v/>
      </c>
      <c r="R40" s="517">
        <f>$C$12/$C$8</f>
        <v/>
      </c>
      <c r="S40" s="517">
        <f>$C$13/$C$8</f>
        <v/>
      </c>
      <c r="T40" s="515">
        <f>$C$14/$C$8</f>
        <v/>
      </c>
      <c r="U40" s="518">
        <f>P40*1.1+T40</f>
        <v/>
      </c>
      <c r="V40" s="515">
        <f>($C$68/1.1)/$C$8</f>
        <v/>
      </c>
      <c r="W40" s="516">
        <f>V40-X40-Y40</f>
        <v/>
      </c>
      <c r="X40" s="517">
        <f>$C$12/$C$8-$AK$5-$AK$10-$AK$15-$AK$20</f>
        <v/>
      </c>
      <c r="Y40" s="517">
        <f>$C$13/$C$8-$AK$6-$AK$11-$AK$16-$AK$21</f>
        <v/>
      </c>
      <c r="Z40" s="573">
        <f>T40</f>
        <v/>
      </c>
      <c r="AA40" s="518">
        <f>V40*1.1+Z40</f>
        <v/>
      </c>
      <c r="AB40" s="515">
        <f>($C$68/1.1)/$C$8</f>
        <v/>
      </c>
      <c r="AC40" s="516">
        <f>AB40-AD40-AE40</f>
        <v/>
      </c>
      <c r="AD40" s="517">
        <f>$C$12/$C$8-$AK$5-$AK$10-$AK$15-$AK$20</f>
        <v/>
      </c>
      <c r="AE40" s="517">
        <f>$C$13/$C$8-$AK$6-$AK$11-$AK$16-$AK$21</f>
        <v/>
      </c>
      <c r="AF40" s="573">
        <f>Z40</f>
        <v/>
      </c>
      <c r="AG40" s="518">
        <f>AB40*1.1+AF40</f>
        <v/>
      </c>
    </row>
    <row r="41">
      <c r="B41" s="296" t="inlineStr">
        <is>
          <t>(계산용) 단품 할인금 (V+)</t>
        </is>
      </c>
      <c r="C41" s="576">
        <f>C18*$D$41</f>
        <v/>
      </c>
      <c r="D41" s="577" t="n">
        <v>0.05</v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62">
        <f>$C$17</f>
        <v/>
      </c>
      <c r="K41" s="571">
        <f>$C$15/$C$8</f>
        <v/>
      </c>
      <c r="L41" s="572">
        <f>$C$12/$C$8</f>
        <v/>
      </c>
      <c r="M41" s="572">
        <f>$C$13/$C$8</f>
        <v/>
      </c>
      <c r="N41" s="566">
        <f>$C$14/$C$8</f>
        <v/>
      </c>
      <c r="O41" s="566">
        <f>SUM(K41:M41)*1.1+N41</f>
        <v/>
      </c>
      <c r="P41" s="515">
        <f>($C$20/1.1)/$C$8</f>
        <v/>
      </c>
      <c r="Q41" s="516">
        <f>P41-R41-S41</f>
        <v/>
      </c>
      <c r="R41" s="517">
        <f>$C$12/$C$8</f>
        <v/>
      </c>
      <c r="S41" s="517">
        <f>$C$13/$C$8</f>
        <v/>
      </c>
      <c r="T41" s="515">
        <f>$C$14/$C$8</f>
        <v/>
      </c>
      <c r="U41" s="518">
        <f>P41*1.1+T41</f>
        <v/>
      </c>
      <c r="V41" s="515">
        <f>($C$68/1.1)/$C$8</f>
        <v/>
      </c>
      <c r="W41" s="516">
        <f>V41-X41-Y41</f>
        <v/>
      </c>
      <c r="X41" s="517">
        <f>$C$12/$C$8-$AK$5-$AK$10-$AK$15-$AK$20</f>
        <v/>
      </c>
      <c r="Y41" s="517">
        <f>$C$13/$C$8-$AK$6-$AK$11-$AK$16-$AK$21</f>
        <v/>
      </c>
      <c r="Z41" s="573">
        <f>T41</f>
        <v/>
      </c>
      <c r="AA41" s="518">
        <f>V41*1.1+Z41</f>
        <v/>
      </c>
      <c r="AB41" s="515">
        <f>($C$68/1.1)/$C$8</f>
        <v/>
      </c>
      <c r="AC41" s="516">
        <f>AB41-AD41-AE41</f>
        <v/>
      </c>
      <c r="AD41" s="517">
        <f>$C$12/$C$8-$AK$5-$AK$10-$AK$15-$AK$20</f>
        <v/>
      </c>
      <c r="AE41" s="517">
        <f>$C$13/$C$8-$AK$6-$AK$11-$AK$16-$AK$21</f>
        <v/>
      </c>
      <c r="AF41" s="573">
        <f>Z41</f>
        <v/>
      </c>
      <c r="AG41" s="518">
        <f>AB41*1.1+AF41</f>
        <v/>
      </c>
    </row>
    <row r="42">
      <c r="B42" s="298" t="inlineStr">
        <is>
          <t>(계산용) 단품 할인금 (V-)</t>
        </is>
      </c>
      <c r="C42" s="578">
        <f>+C41/1.1</f>
        <v/>
      </c>
      <c r="D42" s="531" t="n"/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62">
        <f>$C$17</f>
        <v/>
      </c>
      <c r="K42" s="571">
        <f>$C$15/$C$8</f>
        <v/>
      </c>
      <c r="L42" s="572">
        <f>$C$12/$C$8</f>
        <v/>
      </c>
      <c r="M42" s="572">
        <f>$C$13/$C$8</f>
        <v/>
      </c>
      <c r="N42" s="566">
        <f>$C$14/$C$8</f>
        <v/>
      </c>
      <c r="O42" s="566">
        <f>SUM(K42:M42)*1.1+N42</f>
        <v/>
      </c>
      <c r="P42" s="515">
        <f>($C$20/1.1)/$C$8</f>
        <v/>
      </c>
      <c r="Q42" s="516">
        <f>P42-R42-S42</f>
        <v/>
      </c>
      <c r="R42" s="517">
        <f>$C$12/$C$8</f>
        <v/>
      </c>
      <c r="S42" s="517">
        <f>$C$13/$C$8</f>
        <v/>
      </c>
      <c r="T42" s="515">
        <f>$C$14/$C$8</f>
        <v/>
      </c>
      <c r="U42" s="518">
        <f>P42*1.1+T42</f>
        <v/>
      </c>
      <c r="V42" s="515">
        <f>($C$68/1.1)/$C$8</f>
        <v/>
      </c>
      <c r="W42" s="516">
        <f>V42-X42-Y42</f>
        <v/>
      </c>
      <c r="X42" s="517">
        <f>$C$12/$C$8-$AK$5-$AK$10-$AK$15-$AK$20</f>
        <v/>
      </c>
      <c r="Y42" s="517">
        <f>$C$13/$C$8-$AK$6-$AK$11-$AK$16-$AK$21</f>
        <v/>
      </c>
      <c r="Z42" s="573">
        <f>T42</f>
        <v/>
      </c>
      <c r="AA42" s="518">
        <f>V42*1.1+Z42</f>
        <v/>
      </c>
      <c r="AB42" s="515">
        <f>($C$68/1.1)/$C$8</f>
        <v/>
      </c>
      <c r="AC42" s="516">
        <f>AB42-AD42-AE42</f>
        <v/>
      </c>
      <c r="AD42" s="517">
        <f>$C$12/$C$8-$AK$5-$AK$10-$AK$15-$AK$20</f>
        <v/>
      </c>
      <c r="AE42" s="517">
        <f>$C$13/$C$8-$AK$6-$AK$11-$AK$16-$AK$21</f>
        <v/>
      </c>
      <c r="AF42" s="573">
        <f>Z42</f>
        <v/>
      </c>
      <c r="AG42" s="518">
        <f>AB42*1.1+AF42</f>
        <v/>
      </c>
    </row>
    <row r="43">
      <c r="B43" s="298" t="inlineStr">
        <is>
          <t>(계산용) 단품 월할인금 (V-)</t>
        </is>
      </c>
      <c r="C43" s="579">
        <f>+ROUNDUP(C42/C8,-2)</f>
        <v/>
      </c>
      <c r="D43" s="531" t="n"/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62">
        <f>$C$17</f>
        <v/>
      </c>
      <c r="K43" s="571">
        <f>$C$15/$C$8</f>
        <v/>
      </c>
      <c r="L43" s="572">
        <f>$C$12/$C$8</f>
        <v/>
      </c>
      <c r="M43" s="572">
        <f>$C$13/$C$8</f>
        <v/>
      </c>
      <c r="N43" s="566">
        <f>$C$14/$C$8</f>
        <v/>
      </c>
      <c r="O43" s="566">
        <f>SUM(K43:M43)*1.1+N43</f>
        <v/>
      </c>
      <c r="P43" s="515">
        <f>($C$20/1.1)/$C$8</f>
        <v/>
      </c>
      <c r="Q43" s="516">
        <f>P43-R43-S43</f>
        <v/>
      </c>
      <c r="R43" s="517">
        <f>$C$12/$C$8</f>
        <v/>
      </c>
      <c r="S43" s="517">
        <f>$C$13/$C$8</f>
        <v/>
      </c>
      <c r="T43" s="515">
        <f>$C$14/$C$8</f>
        <v/>
      </c>
      <c r="U43" s="518">
        <f>P43*1.1+T43</f>
        <v/>
      </c>
      <c r="V43" s="515">
        <f>($C$68/1.1)/$C$8</f>
        <v/>
      </c>
      <c r="W43" s="516">
        <f>V43-X43-Y43</f>
        <v/>
      </c>
      <c r="X43" s="517">
        <f>$C$12/$C$8-$AK$5-$AK$10-$AK$15-$AK$20</f>
        <v/>
      </c>
      <c r="Y43" s="517">
        <f>$C$13/$C$8-$AK$6-$AK$11-$AK$16-$AK$21</f>
        <v/>
      </c>
      <c r="Z43" s="573">
        <f>T43</f>
        <v/>
      </c>
      <c r="AA43" s="518">
        <f>V43*1.1+Z43</f>
        <v/>
      </c>
      <c r="AB43" s="515">
        <f>($C$68/1.1)/$C$8</f>
        <v/>
      </c>
      <c r="AC43" s="516">
        <f>AB43-AD43-AE43</f>
        <v/>
      </c>
      <c r="AD43" s="517">
        <f>$C$12/$C$8-$AK$5-$AK$10-$AK$15-$AK$20</f>
        <v/>
      </c>
      <c r="AE43" s="517">
        <f>$C$13/$C$8-$AK$6-$AK$11-$AK$16-$AK$21</f>
        <v/>
      </c>
      <c r="AF43" s="573">
        <f>Z43</f>
        <v/>
      </c>
      <c r="AG43" s="518">
        <f>AB43*1.1+AF43</f>
        <v/>
      </c>
    </row>
    <row r="44" ht="17.25" customHeight="1" s="497" thickBot="1">
      <c r="B44" s="301" t="inlineStr">
        <is>
          <t>(계산용) 단품 월할인금 (V+)</t>
        </is>
      </c>
      <c r="C44" s="580">
        <f>+C43*1.1</f>
        <v/>
      </c>
      <c r="D44" s="541" t="n"/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62">
        <f>$C$17</f>
        <v/>
      </c>
      <c r="K44" s="571">
        <f>$C$15/$C$8</f>
        <v/>
      </c>
      <c r="L44" s="572">
        <f>$C$12/$C$8</f>
        <v/>
      </c>
      <c r="M44" s="572">
        <f>$C$13/$C$8</f>
        <v/>
      </c>
      <c r="N44" s="566">
        <f>$C$14/$C$8</f>
        <v/>
      </c>
      <c r="O44" s="566">
        <f>SUM(K44:M44)*1.1+N44</f>
        <v/>
      </c>
      <c r="P44" s="515">
        <f>($C$20/1.1)/$C$8</f>
        <v/>
      </c>
      <c r="Q44" s="516">
        <f>P44-R44-S44</f>
        <v/>
      </c>
      <c r="R44" s="517">
        <f>$C$12/$C$8</f>
        <v/>
      </c>
      <c r="S44" s="517">
        <f>$C$13/$C$8</f>
        <v/>
      </c>
      <c r="T44" s="515">
        <f>$C$14/$C$8</f>
        <v/>
      </c>
      <c r="U44" s="518">
        <f>P44*1.1+T44</f>
        <v/>
      </c>
      <c r="V44" s="515">
        <f>($C$68/1.1)/$C$8</f>
        <v/>
      </c>
      <c r="W44" s="516">
        <f>V44-X44-Y44</f>
        <v/>
      </c>
      <c r="X44" s="517">
        <f>$C$12/$C$8-$AK$5-$AK$10-$AK$15-$AK$20</f>
        <v/>
      </c>
      <c r="Y44" s="517">
        <f>$C$13/$C$8-$AK$6-$AK$11-$AK$16-$AK$21</f>
        <v/>
      </c>
      <c r="Z44" s="573">
        <f>T44</f>
        <v/>
      </c>
      <c r="AA44" s="518">
        <f>V44*1.1+Z44</f>
        <v/>
      </c>
      <c r="AB44" s="515">
        <f>($C$68/1.1)/$C$8</f>
        <v/>
      </c>
      <c r="AC44" s="516">
        <f>AB44-AD44-AE44</f>
        <v/>
      </c>
      <c r="AD44" s="517">
        <f>$C$12/$C$8-$AK$5-$AK$10-$AK$15-$AK$20</f>
        <v/>
      </c>
      <c r="AE44" s="517">
        <f>$C$13/$C$8-$AK$6-$AK$11-$AK$16-$AK$21</f>
        <v/>
      </c>
      <c r="AF44" s="573">
        <f>Z44</f>
        <v/>
      </c>
      <c r="AG44" s="518">
        <f>AB44*1.1+AF44</f>
        <v/>
      </c>
    </row>
    <row r="45">
      <c r="B45" s="265" t="inlineStr">
        <is>
          <t>(최종) 단품 할인금 (V-)</t>
        </is>
      </c>
      <c r="C45" s="506">
        <f>+C43*C8</f>
        <v/>
      </c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62">
        <f>$C$17</f>
        <v/>
      </c>
      <c r="K45" s="571">
        <f>$C$15/$C$8</f>
        <v/>
      </c>
      <c r="L45" s="572">
        <f>$C$12/$C$8</f>
        <v/>
      </c>
      <c r="M45" s="572">
        <f>$C$13/$C$8</f>
        <v/>
      </c>
      <c r="N45" s="566">
        <f>$C$14/$C$8</f>
        <v/>
      </c>
      <c r="O45" s="566">
        <f>SUM(K45:M45)*1.1+N45</f>
        <v/>
      </c>
      <c r="P45" s="515">
        <f>($C$20/1.1)/$C$8</f>
        <v/>
      </c>
      <c r="Q45" s="516">
        <f>P45-R45-S45</f>
        <v/>
      </c>
      <c r="R45" s="517">
        <f>$C$12/$C$8</f>
        <v/>
      </c>
      <c r="S45" s="517">
        <f>$C$13/$C$8</f>
        <v/>
      </c>
      <c r="T45" s="515">
        <f>$C$14/$C$8</f>
        <v/>
      </c>
      <c r="U45" s="518">
        <f>P45*1.1+T45</f>
        <v/>
      </c>
      <c r="V45" s="515">
        <f>($C$68/1.1)/$C$8</f>
        <v/>
      </c>
      <c r="W45" s="516">
        <f>V45-X45-Y45</f>
        <v/>
      </c>
      <c r="X45" s="517">
        <f>$C$12/$C$8-$AK$5-$AK$10-$AK$15-$AK$20</f>
        <v/>
      </c>
      <c r="Y45" s="517">
        <f>$C$13/$C$8-$AK$6-$AK$11-$AK$16-$AK$21</f>
        <v/>
      </c>
      <c r="Z45" s="573">
        <f>T45</f>
        <v/>
      </c>
      <c r="AA45" s="518">
        <f>V45*1.1+Z45</f>
        <v/>
      </c>
      <c r="AB45" s="515">
        <f>($C$68/1.1)/$C$8</f>
        <v/>
      </c>
      <c r="AC45" s="516">
        <f>AB45-AD45-AE45</f>
        <v/>
      </c>
      <c r="AD45" s="517">
        <f>$C$12/$C$8-$AK$5-$AK$10-$AK$15-$AK$20</f>
        <v/>
      </c>
      <c r="AE45" s="517">
        <f>$C$13/$C$8-$AK$6-$AK$11-$AK$16-$AK$21</f>
        <v/>
      </c>
      <c r="AF45" s="573">
        <f>Z45</f>
        <v/>
      </c>
      <c r="AG45" s="518">
        <f>AB45*1.1+AF45</f>
        <v/>
      </c>
    </row>
    <row r="46" ht="17.25" customHeight="1" s="497" thickBot="1">
      <c r="B46" s="9" t="inlineStr">
        <is>
          <t>(최종) 단품 할인금 (V+)</t>
        </is>
      </c>
      <c r="C46" s="506">
        <f>+C44*C8</f>
        <v/>
      </c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62">
        <f>$C$17</f>
        <v/>
      </c>
      <c r="K46" s="571">
        <f>$C$15/$C$8</f>
        <v/>
      </c>
      <c r="L46" s="572">
        <f>$C$12/$C$8</f>
        <v/>
      </c>
      <c r="M46" s="572">
        <f>$C$13/$C$8</f>
        <v/>
      </c>
      <c r="N46" s="566">
        <f>$C$14/$C$8</f>
        <v/>
      </c>
      <c r="O46" s="566">
        <f>SUM(K46:M46)*1.1+N46</f>
        <v/>
      </c>
      <c r="P46" s="515">
        <f>($C$20/1.1)/$C$8</f>
        <v/>
      </c>
      <c r="Q46" s="516">
        <f>P46-R46-S46</f>
        <v/>
      </c>
      <c r="R46" s="517">
        <f>$C$12/$C$8</f>
        <v/>
      </c>
      <c r="S46" s="517">
        <f>$C$13/$C$8</f>
        <v/>
      </c>
      <c r="T46" s="515">
        <f>$C$14/$C$8</f>
        <v/>
      </c>
      <c r="U46" s="518">
        <f>P46*1.1+T46</f>
        <v/>
      </c>
      <c r="V46" s="515">
        <f>($C$68/1.1)/$C$8</f>
        <v/>
      </c>
      <c r="W46" s="516">
        <f>V46-X46-Y46</f>
        <v/>
      </c>
      <c r="X46" s="517">
        <f>$C$12/$C$8-$AK$5-$AK$10-$AK$15-$AK$20</f>
        <v/>
      </c>
      <c r="Y46" s="517">
        <f>$C$13/$C$8-$AK$6-$AK$11-$AK$16-$AK$21</f>
        <v/>
      </c>
      <c r="Z46" s="573">
        <f>T46</f>
        <v/>
      </c>
      <c r="AA46" s="518">
        <f>V46*1.1+Z46</f>
        <v/>
      </c>
      <c r="AB46" s="515">
        <f>($C$68/1.1)/$C$8</f>
        <v/>
      </c>
      <c r="AC46" s="516">
        <f>AB46-AD46-AE46</f>
        <v/>
      </c>
      <c r="AD46" s="517">
        <f>$C$12/$C$8-$AK$5-$AK$10-$AK$15-$AK$20</f>
        <v/>
      </c>
      <c r="AE46" s="517">
        <f>$C$13/$C$8-$AK$6-$AK$11-$AK$16-$AK$21</f>
        <v/>
      </c>
      <c r="AF46" s="573">
        <f>Z46</f>
        <v/>
      </c>
      <c r="AG46" s="518">
        <f>AB46*1.1+AF46</f>
        <v/>
      </c>
    </row>
    <row r="47">
      <c r="B47" s="293" t="inlineStr">
        <is>
          <t>(최종) 단품 할인 반영 월 구독료 (V-)</t>
        </is>
      </c>
      <c r="C47" s="536">
        <f>+(C16-C45)/C8</f>
        <v/>
      </c>
      <c r="D47" s="343">
        <f>+C17-C43=C47</f>
        <v/>
      </c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62">
        <f>$C$17</f>
        <v/>
      </c>
      <c r="K47" s="571">
        <f>$C$15/$C$8</f>
        <v/>
      </c>
      <c r="L47" s="572">
        <f>$C$12/$C$8</f>
        <v/>
      </c>
      <c r="M47" s="572">
        <f>$C$13/$C$8</f>
        <v/>
      </c>
      <c r="N47" s="566">
        <f>$C$14/$C$8</f>
        <v/>
      </c>
      <c r="O47" s="566">
        <f>SUM(K47:M47)*1.1+N47</f>
        <v/>
      </c>
      <c r="P47" s="515">
        <f>($C$20/1.1)/$C$8</f>
        <v/>
      </c>
      <c r="Q47" s="516">
        <f>P47-R47-S47</f>
        <v/>
      </c>
      <c r="R47" s="517">
        <f>$C$12/$C$8</f>
        <v/>
      </c>
      <c r="S47" s="517">
        <f>$C$13/$C$8</f>
        <v/>
      </c>
      <c r="T47" s="515">
        <f>$C$14/$C$8</f>
        <v/>
      </c>
      <c r="U47" s="518">
        <f>P47*1.1+T47</f>
        <v/>
      </c>
      <c r="V47" s="515">
        <f>($C$68/1.1)/$C$8</f>
        <v/>
      </c>
      <c r="W47" s="516">
        <f>V47-X47-Y47</f>
        <v/>
      </c>
      <c r="X47" s="517">
        <f>$C$12/$C$8-$AK$5-$AK$10-$AK$15-$AK$20</f>
        <v/>
      </c>
      <c r="Y47" s="517">
        <f>$C$13/$C$8-$AK$6-$AK$11-$AK$16-$AK$21</f>
        <v/>
      </c>
      <c r="Z47" s="573">
        <f>T47</f>
        <v/>
      </c>
      <c r="AA47" s="518">
        <f>V47*1.1+Z47</f>
        <v/>
      </c>
      <c r="AB47" s="515">
        <f>($C$68/1.1)/$C$8</f>
        <v/>
      </c>
      <c r="AC47" s="516">
        <f>AB47-AD47-AE47</f>
        <v/>
      </c>
      <c r="AD47" s="517">
        <f>$C$12/$C$8-$AK$5-$AK$10-$AK$15-$AK$20</f>
        <v/>
      </c>
      <c r="AE47" s="517">
        <f>$C$13/$C$8-$AK$6-$AK$11-$AK$16-$AK$21</f>
        <v/>
      </c>
      <c r="AF47" s="573">
        <f>Z47</f>
        <v/>
      </c>
      <c r="AG47" s="518">
        <f>AB47*1.1+AF47</f>
        <v/>
      </c>
    </row>
    <row r="48" ht="17.25" customHeight="1" s="497" thickBot="1">
      <c r="B48" s="294" t="inlineStr">
        <is>
          <t>(최종) 단품 할인 반영 총 구독료 (V-)</t>
        </is>
      </c>
      <c r="C48" s="537">
        <f>C47*C8</f>
        <v/>
      </c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62">
        <f>$C$17</f>
        <v/>
      </c>
      <c r="K48" s="571">
        <f>$C$15/$C$8</f>
        <v/>
      </c>
      <c r="L48" s="572">
        <f>$C$12/$C$8</f>
        <v/>
      </c>
      <c r="M48" s="572">
        <f>$C$13/$C$8</f>
        <v/>
      </c>
      <c r="N48" s="566">
        <f>$C$14/$C$8</f>
        <v/>
      </c>
      <c r="O48" s="566">
        <f>SUM(K48:M48)*1.1+N48</f>
        <v/>
      </c>
      <c r="P48" s="515">
        <f>($C$20/1.1)/$C$8</f>
        <v/>
      </c>
      <c r="Q48" s="516">
        <f>P48-R48-S48</f>
        <v/>
      </c>
      <c r="R48" s="517">
        <f>$C$12/$C$8</f>
        <v/>
      </c>
      <c r="S48" s="517">
        <f>$C$13/$C$8</f>
        <v/>
      </c>
      <c r="T48" s="515">
        <f>$C$14/$C$8</f>
        <v/>
      </c>
      <c r="U48" s="518">
        <f>P48*1.1+T48</f>
        <v/>
      </c>
      <c r="V48" s="515">
        <f>($C$68/1.1)/$C$8</f>
        <v/>
      </c>
      <c r="W48" s="516">
        <f>V48-X48-Y48</f>
        <v/>
      </c>
      <c r="X48" s="517">
        <f>$C$12/$C$8-$AK$5-$AK$10-$AK$15-$AK$20</f>
        <v/>
      </c>
      <c r="Y48" s="517">
        <f>$C$13/$C$8-$AK$6-$AK$11-$AK$16-$AK$21</f>
        <v/>
      </c>
      <c r="Z48" s="573">
        <f>T48</f>
        <v/>
      </c>
      <c r="AA48" s="518">
        <f>V48*1.1+Z48</f>
        <v/>
      </c>
      <c r="AB48" s="515">
        <f>($C$68/1.1)/$C$8</f>
        <v/>
      </c>
      <c r="AC48" s="516">
        <f>AB48-AD48-AE48</f>
        <v/>
      </c>
      <c r="AD48" s="517">
        <f>$C$12/$C$8-$AK$5-$AK$10-$AK$15-$AK$20</f>
        <v/>
      </c>
      <c r="AE48" s="517">
        <f>$C$13/$C$8-$AK$6-$AK$11-$AK$16-$AK$21</f>
        <v/>
      </c>
      <c r="AF48" s="573">
        <f>Z48</f>
        <v/>
      </c>
      <c r="AG48" s="518">
        <f>AB48*1.1+AF48</f>
        <v/>
      </c>
    </row>
    <row r="49">
      <c r="B49" s="295" t="inlineStr">
        <is>
          <t>(최종) 단품 할인 반영 월 구독료 (V+)</t>
        </is>
      </c>
      <c r="C49" s="538">
        <f>+C47*1.1</f>
        <v/>
      </c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62">
        <f>$C$17</f>
        <v/>
      </c>
      <c r="K49" s="571">
        <f>$C$15/$C$8</f>
        <v/>
      </c>
      <c r="L49" s="572">
        <f>$C$12/$C$8</f>
        <v/>
      </c>
      <c r="M49" s="572">
        <f>$C$13/$C$8</f>
        <v/>
      </c>
      <c r="N49" s="566">
        <f>$C$14/$C$8</f>
        <v/>
      </c>
      <c r="O49" s="566">
        <f>SUM(K49:M49)*1.1+N49</f>
        <v/>
      </c>
      <c r="P49" s="515">
        <f>($C$20/1.1)/$C$8</f>
        <v/>
      </c>
      <c r="Q49" s="516">
        <f>P49-R49-S49</f>
        <v/>
      </c>
      <c r="R49" s="517">
        <f>$C$12/$C$8</f>
        <v/>
      </c>
      <c r="S49" s="517">
        <f>$C$13/$C$8</f>
        <v/>
      </c>
      <c r="T49" s="515">
        <f>$C$14/$C$8</f>
        <v/>
      </c>
      <c r="U49" s="518">
        <f>P49*1.1+T49</f>
        <v/>
      </c>
      <c r="V49" s="515">
        <f>($C$68/1.1)/$C$8</f>
        <v/>
      </c>
      <c r="W49" s="516">
        <f>V49-X49-Y49</f>
        <v/>
      </c>
      <c r="X49" s="517">
        <f>$C$12/$C$8-$AK$5-$AK$10-$AK$15-$AK$20</f>
        <v/>
      </c>
      <c r="Y49" s="517">
        <f>$C$13/$C$8-$AK$6-$AK$11-$AK$16-$AK$21</f>
        <v/>
      </c>
      <c r="Z49" s="573">
        <f>T49</f>
        <v/>
      </c>
      <c r="AA49" s="518">
        <f>V49*1.1+Z49</f>
        <v/>
      </c>
      <c r="AB49" s="515">
        <f>($C$68/1.1)/$C$8</f>
        <v/>
      </c>
      <c r="AC49" s="516">
        <f>AB49-AD49-AE49</f>
        <v/>
      </c>
      <c r="AD49" s="517">
        <f>$C$12/$C$8-$AK$5-$AK$10-$AK$15-$AK$20</f>
        <v/>
      </c>
      <c r="AE49" s="517">
        <f>$C$13/$C$8-$AK$6-$AK$11-$AK$16-$AK$21</f>
        <v/>
      </c>
      <c r="AF49" s="573">
        <f>Z49</f>
        <v/>
      </c>
      <c r="AG49" s="518">
        <f>AB49*1.1+AF49</f>
        <v/>
      </c>
    </row>
    <row r="50" ht="17.25" customHeight="1" s="497" thickBot="1">
      <c r="B50" s="294" t="inlineStr">
        <is>
          <t>(최종) 단품 할인 반영 총 구독료 (V+)</t>
        </is>
      </c>
      <c r="C50" s="537">
        <f>+C49*C8</f>
        <v/>
      </c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62">
        <f>$C$17</f>
        <v/>
      </c>
      <c r="K50" s="571">
        <f>$C$15/$C$8</f>
        <v/>
      </c>
      <c r="L50" s="572">
        <f>$C$12/$C$8</f>
        <v/>
      </c>
      <c r="M50" s="572">
        <f>$C$13/$C$8</f>
        <v/>
      </c>
      <c r="N50" s="566">
        <f>$C$14/$C$8</f>
        <v/>
      </c>
      <c r="O50" s="566">
        <f>SUM(K50:M50)*1.1+N50</f>
        <v/>
      </c>
      <c r="P50" s="515">
        <f>($C$20/1.1)/$C$8</f>
        <v/>
      </c>
      <c r="Q50" s="516">
        <f>P50-R50-S50</f>
        <v/>
      </c>
      <c r="R50" s="517">
        <f>$C$12/$C$8</f>
        <v/>
      </c>
      <c r="S50" s="517">
        <f>$C$13/$C$8</f>
        <v/>
      </c>
      <c r="T50" s="515">
        <f>$C$14/$C$8</f>
        <v/>
      </c>
      <c r="U50" s="518">
        <f>P50*1.1+T50</f>
        <v/>
      </c>
      <c r="V50" s="515">
        <f>($C$68/1.1)/$C$8</f>
        <v/>
      </c>
      <c r="W50" s="516">
        <f>V50-X50-Y50</f>
        <v/>
      </c>
      <c r="X50" s="517">
        <f>$C$12/$C$8-$AK$5-$AK$10-$AK$15-$AK$20</f>
        <v/>
      </c>
      <c r="Y50" s="517">
        <f>$C$13/$C$8-$AK$6-$AK$11-$AK$16-$AK$21</f>
        <v/>
      </c>
      <c r="Z50" s="573">
        <f>T50</f>
        <v/>
      </c>
      <c r="AA50" s="518">
        <f>V50*1.1+Z50</f>
        <v/>
      </c>
      <c r="AB50" s="515">
        <f>($C$68/1.1)/$C$8</f>
        <v/>
      </c>
      <c r="AC50" s="516">
        <f>AB50-AD50-AE50</f>
        <v/>
      </c>
      <c r="AD50" s="517">
        <f>$C$12/$C$8-$AK$5-$AK$10-$AK$15-$AK$20</f>
        <v/>
      </c>
      <c r="AE50" s="517">
        <f>$C$13/$C$8-$AK$6-$AK$11-$AK$16-$AK$21</f>
        <v/>
      </c>
      <c r="AF50" s="573">
        <f>Z50</f>
        <v/>
      </c>
      <c r="AG50" s="518">
        <f>AB50*1.1+AF50</f>
        <v/>
      </c>
    </row>
    <row r="51">
      <c r="B51" s="296" t="inlineStr">
        <is>
          <t>(계산용) 결합 할인금 (V+)</t>
        </is>
      </c>
      <c r="C51" s="576">
        <f>C18*$D$51</f>
        <v/>
      </c>
      <c r="D51" s="583" t="n">
        <v>0.05</v>
      </c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62">
        <f>$C$17</f>
        <v/>
      </c>
      <c r="K51" s="571">
        <f>$C$15/$C$8</f>
        <v/>
      </c>
      <c r="L51" s="572">
        <f>$C$12/$C$8</f>
        <v/>
      </c>
      <c r="M51" s="572">
        <f>$C$13/$C$8</f>
        <v/>
      </c>
      <c r="N51" s="566">
        <f>$C$14/$C$8</f>
        <v/>
      </c>
      <c r="O51" s="566">
        <f>SUM(K51:M51)*1.1+N51</f>
        <v/>
      </c>
      <c r="P51" s="515">
        <f>($C$20/1.1)/$C$8</f>
        <v/>
      </c>
      <c r="Q51" s="516">
        <f>P51-R51-S51</f>
        <v/>
      </c>
      <c r="R51" s="517">
        <f>$C$12/$C$8</f>
        <v/>
      </c>
      <c r="S51" s="517">
        <f>$C$13/$C$8</f>
        <v/>
      </c>
      <c r="T51" s="515">
        <f>$C$14/$C$8</f>
        <v/>
      </c>
      <c r="U51" s="518">
        <f>P51*1.1+T51</f>
        <v/>
      </c>
      <c r="V51" s="515">
        <f>($C$68/1.1)/$C$8</f>
        <v/>
      </c>
      <c r="W51" s="516">
        <f>V51-X51-Y51</f>
        <v/>
      </c>
      <c r="X51" s="517">
        <f>$C$12/$C$8-$AK$5-$AK$10-$AK$15-$AK$20</f>
        <v/>
      </c>
      <c r="Y51" s="517">
        <f>$C$13/$C$8-$AK$6-$AK$11-$AK$16-$AK$21</f>
        <v/>
      </c>
      <c r="Z51" s="573">
        <f>T51</f>
        <v/>
      </c>
      <c r="AA51" s="518">
        <f>V51*1.1+Z51</f>
        <v/>
      </c>
      <c r="AB51" s="515">
        <f>($C$68/1.1)/$C$8</f>
        <v/>
      </c>
      <c r="AC51" s="516">
        <f>AB51-AD51-AE51</f>
        <v/>
      </c>
      <c r="AD51" s="517">
        <f>$C$12/$C$8-$AK$5-$AK$10-$AK$15-$AK$20</f>
        <v/>
      </c>
      <c r="AE51" s="517">
        <f>$C$13/$C$8-$AK$6-$AK$11-$AK$16-$AK$21</f>
        <v/>
      </c>
      <c r="AF51" s="573">
        <f>Z51</f>
        <v/>
      </c>
      <c r="AG51" s="518">
        <f>AB51*1.1+AF51</f>
        <v/>
      </c>
    </row>
    <row r="52">
      <c r="B52" s="298" t="inlineStr">
        <is>
          <t>(계산용) 결합 할인금 (V-)</t>
        </is>
      </c>
      <c r="C52" s="578">
        <f>+C51/1.1</f>
        <v/>
      </c>
      <c r="D52" s="531" t="n"/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62">
        <f>$C$17</f>
        <v/>
      </c>
      <c r="K52" s="571">
        <f>$C$15/$C$8</f>
        <v/>
      </c>
      <c r="L52" s="572">
        <f>$C$12/$C$8</f>
        <v/>
      </c>
      <c r="M52" s="572">
        <f>$C$13/$C$8</f>
        <v/>
      </c>
      <c r="N52" s="566">
        <f>$C$14/$C$8</f>
        <v/>
      </c>
      <c r="O52" s="566">
        <f>SUM(K52:M52)*1.1+N52</f>
        <v/>
      </c>
      <c r="P52" s="515">
        <f>($C$20/1.1)/$C$8</f>
        <v/>
      </c>
      <c r="Q52" s="516">
        <f>P52-R52-S52</f>
        <v/>
      </c>
      <c r="R52" s="517">
        <f>$C$12/$C$8</f>
        <v/>
      </c>
      <c r="S52" s="517">
        <f>$C$13/$C$8</f>
        <v/>
      </c>
      <c r="T52" s="515">
        <f>$C$14/$C$8</f>
        <v/>
      </c>
      <c r="U52" s="518">
        <f>P52*1.1+T52</f>
        <v/>
      </c>
      <c r="V52" s="515">
        <f>($C$68/1.1)/$C$8</f>
        <v/>
      </c>
      <c r="W52" s="516">
        <f>V52-X52-Y52</f>
        <v/>
      </c>
      <c r="X52" s="517">
        <f>$C$12/$C$8-$AK$5-$AK$10-$AK$15-$AK$20</f>
        <v/>
      </c>
      <c r="Y52" s="517">
        <f>$C$13/$C$8-$AK$6-$AK$11-$AK$16-$AK$21</f>
        <v/>
      </c>
      <c r="Z52" s="573">
        <f>T52</f>
        <v/>
      </c>
      <c r="AA52" s="518">
        <f>V52*1.1+Z52</f>
        <v/>
      </c>
      <c r="AB52" s="515">
        <f>($C$68/1.1)/$C$8</f>
        <v/>
      </c>
      <c r="AC52" s="516">
        <f>AB52-AD52-AE52</f>
        <v/>
      </c>
      <c r="AD52" s="517">
        <f>$C$12/$C$8-$AK$5-$AK$10-$AK$15-$AK$20</f>
        <v/>
      </c>
      <c r="AE52" s="517">
        <f>$C$13/$C$8-$AK$6-$AK$11-$AK$16-$AK$21</f>
        <v/>
      </c>
      <c r="AF52" s="573">
        <f>Z52</f>
        <v/>
      </c>
      <c r="AG52" s="518">
        <f>AB52*1.1+AF52</f>
        <v/>
      </c>
    </row>
    <row r="53">
      <c r="B53" s="298" t="inlineStr">
        <is>
          <t>(계산용) 결합 월할인금 (V-)</t>
        </is>
      </c>
      <c r="C53" s="579">
        <f>+ROUNDUP(C52/C8,-2)</f>
        <v/>
      </c>
      <c r="D53" s="531" t="n"/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62">
        <f>$C$17</f>
        <v/>
      </c>
      <c r="K53" s="571">
        <f>$C$15/$C$8</f>
        <v/>
      </c>
      <c r="L53" s="572">
        <f>$C$12/$C$8</f>
        <v/>
      </c>
      <c r="M53" s="572">
        <f>$C$13/$C$8</f>
        <v/>
      </c>
      <c r="N53" s="566">
        <f>$C$14/$C$8</f>
        <v/>
      </c>
      <c r="O53" s="566">
        <f>SUM(K53:M53)*1.1+N53</f>
        <v/>
      </c>
      <c r="P53" s="515">
        <f>($C$20/1.1)/$C$8</f>
        <v/>
      </c>
      <c r="Q53" s="516">
        <f>P53-R53-S53</f>
        <v/>
      </c>
      <c r="R53" s="517">
        <f>$C$12/$C$8</f>
        <v/>
      </c>
      <c r="S53" s="517">
        <f>$C$13/$C$8</f>
        <v/>
      </c>
      <c r="T53" s="515">
        <f>$C$14/$C$8</f>
        <v/>
      </c>
      <c r="U53" s="518">
        <f>P53*1.1+T53</f>
        <v/>
      </c>
      <c r="V53" s="515">
        <f>($C$68/1.1)/$C$8</f>
        <v/>
      </c>
      <c r="W53" s="516">
        <f>V53-X53-Y53</f>
        <v/>
      </c>
      <c r="X53" s="517">
        <f>$C$12/$C$8-$AK$5-$AK$10-$AK$15-$AK$20</f>
        <v/>
      </c>
      <c r="Y53" s="517">
        <f>$C$13/$C$8-$AK$6-$AK$11-$AK$16-$AK$21</f>
        <v/>
      </c>
      <c r="Z53" s="573">
        <f>T53</f>
        <v/>
      </c>
      <c r="AA53" s="518">
        <f>V53*1.1+Z53</f>
        <v/>
      </c>
      <c r="AB53" s="515">
        <f>($C$68/1.1)/$C$8</f>
        <v/>
      </c>
      <c r="AC53" s="516">
        <f>AB53-AD53-AE53</f>
        <v/>
      </c>
      <c r="AD53" s="517">
        <f>$C$12/$C$8-$AK$5-$AK$10-$AK$15-$AK$20</f>
        <v/>
      </c>
      <c r="AE53" s="517">
        <f>$C$13/$C$8-$AK$6-$AK$11-$AK$16-$AK$21</f>
        <v/>
      </c>
      <c r="AF53" s="573">
        <f>Z53</f>
        <v/>
      </c>
      <c r="AG53" s="518">
        <f>AB53*1.1+AF53</f>
        <v/>
      </c>
    </row>
    <row r="54" ht="17.25" customHeight="1" s="497" thickBot="1">
      <c r="B54" s="301" t="inlineStr">
        <is>
          <t>(계산용) 결합 월할인금 (V+)</t>
        </is>
      </c>
      <c r="C54" s="580">
        <f>+C53*1.1</f>
        <v/>
      </c>
      <c r="D54" s="541" t="n"/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62">
        <f>$C$17-J6</f>
        <v/>
      </c>
      <c r="K54" s="571">
        <f>$C$15/$C$8-K6</f>
        <v/>
      </c>
      <c r="L54" s="572">
        <f>$C$12/$C$8</f>
        <v/>
      </c>
      <c r="M54" s="572">
        <f>$C$13/$C$8-M6</f>
        <v/>
      </c>
      <c r="N54" s="566">
        <f>$C$14/$C$8-N6</f>
        <v/>
      </c>
      <c r="O54" s="566">
        <f>SUM(K54:M54)*1.1+N54</f>
        <v/>
      </c>
      <c r="P54" s="515">
        <f>($C$20/1.1)/$C$8-P6</f>
        <v/>
      </c>
      <c r="Q54" s="516">
        <f>P54-R54-S54</f>
        <v/>
      </c>
      <c r="R54" s="517">
        <f>$C$12/$C$8-R6</f>
        <v/>
      </c>
      <c r="S54" s="517">
        <f>$C$13/$C$8-S6</f>
        <v/>
      </c>
      <c r="T54" s="515">
        <f>$C$14/$C$8-T6</f>
        <v/>
      </c>
      <c r="U54" s="518">
        <f>P54*1.1+T54</f>
        <v/>
      </c>
      <c r="V54" s="515">
        <f>($C$68/1.1)/$C$8-V6</f>
        <v/>
      </c>
      <c r="W54" s="516">
        <f>V54-X54-Y54</f>
        <v/>
      </c>
      <c r="X54" s="517">
        <f>($C$12/$C$8-$AK$5-$AK$10-$AK$15-$AK$20)-X6</f>
        <v/>
      </c>
      <c r="Y54" s="517">
        <f>($C$13/$C$8-$AK$6-$AK$11-$AK$16-$AK$21)-Y6</f>
        <v/>
      </c>
      <c r="Z54" s="573">
        <f>T54</f>
        <v/>
      </c>
      <c r="AA54" s="518">
        <f>V54*1.1+Z54</f>
        <v/>
      </c>
      <c r="AB54" s="515">
        <f>($C$68/1.1)/$C$8-AB6</f>
        <v/>
      </c>
      <c r="AC54" s="516">
        <f>AB54-AD54-AE54</f>
        <v/>
      </c>
      <c r="AD54" s="517">
        <f>($C$12/$C$8-$AK$5-$AK$10-$AK$15-$AK$20)-AD6</f>
        <v/>
      </c>
      <c r="AE54" s="517">
        <f>($C$13/$C$8-$AK$6-$AK$11-$AK$16-$AK$21)-AE6</f>
        <v/>
      </c>
      <c r="AF54" s="573">
        <f>Z54</f>
        <v/>
      </c>
      <c r="AG54" s="518">
        <f>AB54*1.1+AF54</f>
        <v/>
      </c>
    </row>
    <row r="55">
      <c r="B55" s="265" t="inlineStr">
        <is>
          <t>(최종) 결합 할인금 (V-)</t>
        </is>
      </c>
      <c r="C55" s="506">
        <f>+C53*C8</f>
        <v/>
      </c>
      <c r="F55" s="101" t="n"/>
      <c r="G55" s="102" t="n"/>
      <c r="H55" s="102" t="n"/>
      <c r="I55" s="103" t="n"/>
      <c r="J55" s="562" t="n"/>
      <c r="K55" s="571" t="n"/>
      <c r="L55" s="572" t="n"/>
      <c r="M55" s="572" t="n"/>
      <c r="N55" s="566" t="n"/>
      <c r="O55" s="566" t="n"/>
      <c r="P55" s="515" t="n"/>
      <c r="Q55" s="516" t="n"/>
      <c r="R55" s="517" t="n"/>
      <c r="S55" s="517" t="n"/>
      <c r="T55" s="515" t="n"/>
      <c r="U55" s="518" t="n"/>
      <c r="V55" s="515" t="n"/>
      <c r="W55" s="516" t="n"/>
      <c r="X55" s="500" t="n"/>
      <c r="Y55" s="500" t="n"/>
      <c r="Z55" s="573" t="n"/>
      <c r="AA55" s="518" t="n"/>
      <c r="AB55" s="515" t="n"/>
      <c r="AC55" s="516" t="n"/>
      <c r="AD55" s="500" t="n"/>
      <c r="AE55" s="500" t="n"/>
      <c r="AF55" s="573" t="n"/>
      <c r="AG55" s="518" t="n"/>
    </row>
    <row r="56" ht="17.25" customHeight="1" s="497" thickBot="1">
      <c r="B56" s="9" t="inlineStr">
        <is>
          <t>(최종) 결합 할인금 (V+)</t>
        </is>
      </c>
      <c r="C56" s="506">
        <f>+C54*C8</f>
        <v/>
      </c>
      <c r="F56" s="101" t="n"/>
      <c r="G56" s="102" t="n"/>
      <c r="H56" s="102" t="n"/>
      <c r="I56" s="103" t="n"/>
      <c r="J56" s="562" t="n"/>
      <c r="K56" s="571" t="n"/>
      <c r="L56" s="572" t="n"/>
      <c r="M56" s="572" t="n"/>
      <c r="N56" s="566" t="n"/>
      <c r="O56" s="566" t="n"/>
      <c r="P56" s="515" t="n"/>
      <c r="Q56" s="516" t="n"/>
      <c r="R56" s="517" t="n"/>
      <c r="S56" s="517" t="n"/>
      <c r="T56" s="515" t="n"/>
      <c r="U56" s="518" t="n"/>
      <c r="V56" s="515" t="n"/>
      <c r="W56" s="516" t="n"/>
      <c r="X56" s="500" t="n"/>
      <c r="Y56" s="500" t="n"/>
      <c r="Z56" s="573" t="n"/>
      <c r="AA56" s="518" t="n"/>
      <c r="AB56" s="515" t="n"/>
      <c r="AC56" s="516" t="n"/>
      <c r="AD56" s="500" t="n"/>
      <c r="AE56" s="500" t="n"/>
      <c r="AF56" s="573" t="n"/>
      <c r="AG56" s="518" t="n"/>
    </row>
    <row r="57">
      <c r="B57" s="293" t="inlineStr">
        <is>
          <t>(최종) 결합 할인 반영 월 구독료 (V-)</t>
        </is>
      </c>
      <c r="C57" s="536">
        <f>+(C16-C55)/C8</f>
        <v/>
      </c>
      <c r="F57" s="101" t="n"/>
      <c r="G57" s="102" t="n"/>
      <c r="H57" s="102" t="n"/>
      <c r="I57" s="103" t="n"/>
      <c r="J57" s="562" t="n"/>
      <c r="K57" s="571" t="n"/>
      <c r="L57" s="572" t="n"/>
      <c r="M57" s="572" t="n"/>
      <c r="N57" s="566" t="n"/>
      <c r="O57" s="566" t="n"/>
      <c r="P57" s="515" t="n"/>
      <c r="Q57" s="516" t="n"/>
      <c r="R57" s="517" t="n"/>
      <c r="S57" s="517" t="n"/>
      <c r="T57" s="515" t="n"/>
      <c r="U57" s="518" t="n"/>
      <c r="V57" s="515" t="n"/>
      <c r="W57" s="516" t="n"/>
      <c r="X57" s="500" t="n"/>
      <c r="Y57" s="500" t="n"/>
      <c r="Z57" s="573" t="n"/>
      <c r="AA57" s="518" t="n"/>
      <c r="AB57" s="515" t="n"/>
      <c r="AC57" s="516" t="n"/>
      <c r="AD57" s="500" t="n"/>
      <c r="AE57" s="500" t="n"/>
      <c r="AF57" s="573" t="n"/>
      <c r="AG57" s="518" t="n"/>
    </row>
    <row r="58" ht="17.25" customHeight="1" s="497" thickBot="1">
      <c r="B58" s="294" t="inlineStr">
        <is>
          <t>(최종) 결합 할인 반영 총 구독료 (V-)</t>
        </is>
      </c>
      <c r="C58" s="537">
        <f>+C57*C8</f>
        <v/>
      </c>
      <c r="F58" s="101" t="n"/>
      <c r="G58" s="102" t="n"/>
      <c r="H58" s="102" t="n"/>
      <c r="I58" s="103" t="n"/>
      <c r="J58" s="562" t="n"/>
      <c r="K58" s="571" t="n"/>
      <c r="L58" s="572" t="n"/>
      <c r="M58" s="572" t="n"/>
      <c r="N58" s="566" t="n"/>
      <c r="O58" s="566" t="n"/>
      <c r="P58" s="515" t="n"/>
      <c r="Q58" s="516" t="n"/>
      <c r="R58" s="517" t="n"/>
      <c r="S58" s="517" t="n"/>
      <c r="T58" s="515" t="n"/>
      <c r="U58" s="518" t="n"/>
      <c r="V58" s="515" t="n"/>
      <c r="W58" s="516" t="n"/>
      <c r="X58" s="500" t="n"/>
      <c r="Y58" s="500" t="n"/>
      <c r="Z58" s="573" t="n"/>
      <c r="AA58" s="518" t="n"/>
      <c r="AB58" s="515" t="n"/>
      <c r="AC58" s="516" t="n"/>
      <c r="AD58" s="500" t="n"/>
      <c r="AE58" s="500" t="n"/>
      <c r="AF58" s="573" t="n"/>
      <c r="AG58" s="518" t="n"/>
    </row>
    <row r="59">
      <c r="B59" s="295" t="inlineStr">
        <is>
          <t>(최종) 결합 할인 반영 월 구독료 (V+)</t>
        </is>
      </c>
      <c r="C59" s="538">
        <f>+C57*1.1</f>
        <v/>
      </c>
      <c r="D59" s="343" t="n"/>
      <c r="F59" s="101" t="n"/>
      <c r="G59" s="102" t="n"/>
      <c r="H59" s="102" t="n"/>
      <c r="I59" s="103" t="n"/>
      <c r="J59" s="562" t="n"/>
      <c r="K59" s="571" t="n"/>
      <c r="L59" s="572" t="n"/>
      <c r="M59" s="572" t="n"/>
      <c r="N59" s="566" t="n"/>
      <c r="O59" s="566" t="n"/>
      <c r="P59" s="515" t="n"/>
      <c r="Q59" s="516" t="n"/>
      <c r="R59" s="517" t="n"/>
      <c r="S59" s="517" t="n"/>
      <c r="T59" s="515" t="n"/>
      <c r="U59" s="518" t="n"/>
      <c r="V59" s="515" t="n"/>
      <c r="W59" s="516" t="n"/>
      <c r="X59" s="500" t="n"/>
      <c r="Y59" s="500" t="n"/>
      <c r="Z59" s="573" t="n"/>
      <c r="AA59" s="518" t="n"/>
      <c r="AB59" s="515" t="n"/>
      <c r="AC59" s="516" t="n"/>
      <c r="AD59" s="500" t="n"/>
      <c r="AE59" s="500" t="n"/>
      <c r="AF59" s="573" t="n"/>
      <c r="AG59" s="518" t="n"/>
    </row>
    <row r="60" ht="17.25" customHeight="1" s="497" thickBot="1">
      <c r="B60" s="294" t="inlineStr">
        <is>
          <t>(최종) 결합 할인 반영 총 구독료 (V+)</t>
        </is>
      </c>
      <c r="C60" s="537">
        <f>+C59*C8</f>
        <v/>
      </c>
      <c r="D60" s="343" t="n"/>
      <c r="F60" s="101" t="n"/>
      <c r="G60" s="102" t="n"/>
      <c r="H60" s="102" t="n"/>
      <c r="I60" s="103" t="n"/>
      <c r="J60" s="562" t="n"/>
      <c r="K60" s="571" t="n"/>
      <c r="L60" s="572" t="n"/>
      <c r="M60" s="572" t="n"/>
      <c r="N60" s="566" t="n"/>
      <c r="O60" s="566" t="n"/>
      <c r="P60" s="515" t="n"/>
      <c r="Q60" s="516" t="n"/>
      <c r="R60" s="517" t="n"/>
      <c r="S60" s="517" t="n"/>
      <c r="T60" s="515" t="n"/>
      <c r="U60" s="518" t="n"/>
      <c r="V60" s="515" t="n"/>
      <c r="W60" s="516" t="n"/>
      <c r="X60" s="500" t="n"/>
      <c r="Y60" s="500" t="n"/>
      <c r="Z60" s="573" t="n"/>
      <c r="AA60" s="518" t="n"/>
      <c r="AB60" s="515" t="n"/>
      <c r="AC60" s="516" t="n"/>
      <c r="AD60" s="500" t="n"/>
      <c r="AE60" s="500" t="n"/>
      <c r="AF60" s="573" t="n"/>
      <c r="AG60" s="518" t="n"/>
    </row>
    <row r="61">
      <c r="B61" s="320" t="inlineStr">
        <is>
          <t>(최종) 선납+단품+결합 할인 반영 월 구독료 (V-)</t>
        </is>
      </c>
      <c r="C61" s="542">
        <f>+(C16-C30/1.1-C45-C35-C55)/C8</f>
        <v/>
      </c>
      <c r="D61" s="543">
        <f>+C17-C30/1.1/C8-C33-C43-C53=C61</f>
        <v/>
      </c>
      <c r="F61" s="101" t="n"/>
      <c r="G61" s="102" t="n"/>
      <c r="H61" s="102" t="n"/>
      <c r="I61" s="103" t="n"/>
      <c r="J61" s="562" t="n"/>
      <c r="K61" s="571" t="n"/>
      <c r="L61" s="572" t="n"/>
      <c r="M61" s="572" t="n"/>
      <c r="N61" s="566" t="n"/>
      <c r="O61" s="566" t="n"/>
      <c r="P61" s="515" t="n"/>
      <c r="Q61" s="516" t="n"/>
      <c r="R61" s="517" t="n"/>
      <c r="S61" s="517" t="n"/>
      <c r="T61" s="515" t="n"/>
      <c r="U61" s="518" t="n"/>
      <c r="V61" s="515" t="n"/>
      <c r="W61" s="516" t="n"/>
      <c r="X61" s="500" t="n"/>
      <c r="Y61" s="500" t="n"/>
      <c r="Z61" s="573" t="n"/>
      <c r="AA61" s="518" t="n"/>
      <c r="AB61" s="515" t="n"/>
      <c r="AC61" s="516" t="n"/>
      <c r="AD61" s="500" t="n"/>
      <c r="AE61" s="500" t="n"/>
      <c r="AF61" s="573" t="n"/>
      <c r="AG61" s="518" t="n"/>
    </row>
    <row r="62" ht="17.25" customHeight="1" s="497" thickBot="1">
      <c r="B62" s="322" t="inlineStr">
        <is>
          <t>(최종) 선납+단품+결합 할인 반영 총 구독료 (V-)</t>
        </is>
      </c>
      <c r="C62" s="544">
        <f>+C61*C8</f>
        <v/>
      </c>
      <c r="D62" s="343" t="n"/>
      <c r="F62" s="101" t="n"/>
      <c r="G62" s="102" t="n"/>
      <c r="H62" s="102" t="n"/>
      <c r="I62" s="103" t="n"/>
      <c r="J62" s="562" t="n"/>
      <c r="K62" s="571" t="n"/>
      <c r="L62" s="572" t="n"/>
      <c r="M62" s="572" t="n"/>
      <c r="N62" s="566" t="n"/>
      <c r="O62" s="566" t="n"/>
      <c r="P62" s="515" t="n"/>
      <c r="Q62" s="516" t="n"/>
      <c r="R62" s="517" t="n"/>
      <c r="S62" s="517" t="n"/>
      <c r="T62" s="515" t="n"/>
      <c r="U62" s="518" t="n"/>
      <c r="V62" s="515" t="n"/>
      <c r="W62" s="516" t="n"/>
      <c r="X62" s="500" t="n"/>
      <c r="Y62" s="500" t="n"/>
      <c r="Z62" s="573" t="n"/>
      <c r="AA62" s="518" t="n"/>
      <c r="AB62" s="515" t="n"/>
      <c r="AC62" s="516" t="n"/>
      <c r="AD62" s="500" t="n"/>
      <c r="AE62" s="500" t="n"/>
      <c r="AF62" s="573" t="n"/>
      <c r="AG62" s="518" t="n"/>
    </row>
    <row r="63">
      <c r="B63" s="324" t="inlineStr">
        <is>
          <t>(최종) 선납+단품+결합 할인 반영 월 구독료 (V+)</t>
        </is>
      </c>
      <c r="C63" s="545">
        <f>+(C18-C30-C36-C46-C56)/C8</f>
        <v/>
      </c>
      <c r="D63" s="543">
        <f>+C19-C30/C8-C34-C44-C54=C63</f>
        <v/>
      </c>
      <c r="F63" s="101" t="n"/>
      <c r="G63" s="102" t="n"/>
      <c r="H63" s="102" t="n"/>
      <c r="I63" s="103" t="n"/>
      <c r="J63" s="562" t="n"/>
      <c r="K63" s="571" t="n"/>
      <c r="L63" s="572" t="n"/>
      <c r="M63" s="572" t="n"/>
      <c r="N63" s="566" t="n"/>
      <c r="O63" s="566" t="n"/>
      <c r="P63" s="515" t="n"/>
      <c r="Q63" s="516" t="n"/>
      <c r="R63" s="517" t="n"/>
      <c r="S63" s="517" t="n"/>
      <c r="T63" s="515" t="n"/>
      <c r="U63" s="518" t="n"/>
      <c r="V63" s="515" t="n"/>
      <c r="W63" s="516" t="n"/>
      <c r="X63" s="500" t="n"/>
      <c r="Y63" s="500" t="n"/>
      <c r="Z63" s="573" t="n"/>
      <c r="AA63" s="518" t="n"/>
      <c r="AB63" s="515" t="n"/>
      <c r="AC63" s="516" t="n"/>
      <c r="AD63" s="500" t="n"/>
      <c r="AE63" s="500" t="n"/>
      <c r="AF63" s="573" t="n"/>
      <c r="AG63" s="518" t="n"/>
    </row>
    <row r="64" ht="17.25" customHeight="1" s="497" thickBot="1">
      <c r="B64" s="322" t="inlineStr">
        <is>
          <t>(최종) 선납+단품+결합 할인 반영 총 구독료 (V+)</t>
        </is>
      </c>
      <c r="C64" s="544">
        <f>+C63*C8</f>
        <v/>
      </c>
      <c r="D64" s="343" t="n"/>
      <c r="F64" s="101" t="n"/>
      <c r="G64" s="102" t="n"/>
      <c r="H64" s="102" t="n"/>
      <c r="I64" s="103" t="n"/>
      <c r="J64" s="562" t="n"/>
      <c r="K64" s="571" t="n"/>
      <c r="L64" s="572" t="n"/>
      <c r="M64" s="572" t="n"/>
      <c r="N64" s="566" t="n"/>
      <c r="O64" s="566" t="n"/>
      <c r="P64" s="515" t="n"/>
      <c r="Q64" s="516" t="n"/>
      <c r="R64" s="517" t="n"/>
      <c r="S64" s="517" t="n"/>
      <c r="T64" s="515" t="n"/>
      <c r="U64" s="518" t="n"/>
      <c r="V64" s="515" t="n"/>
      <c r="W64" s="516" t="n"/>
      <c r="X64" s="500" t="n"/>
      <c r="Y64" s="500" t="n"/>
      <c r="Z64" s="573" t="n"/>
      <c r="AA64" s="518" t="n"/>
      <c r="AB64" s="515" t="n"/>
      <c r="AC64" s="516" t="n"/>
      <c r="AD64" s="500" t="n"/>
      <c r="AE64" s="500" t="n"/>
      <c r="AF64" s="573" t="n"/>
      <c r="AG64" s="518" t="n"/>
    </row>
    <row r="65">
      <c r="C65" s="505" t="n"/>
      <c r="D65" s="343" t="n"/>
      <c r="F65" s="101" t="n"/>
      <c r="G65" s="102" t="n"/>
      <c r="H65" s="102" t="n"/>
      <c r="I65" s="103" t="n"/>
      <c r="J65" s="562" t="n"/>
      <c r="K65" s="571" t="n"/>
      <c r="L65" s="572" t="n"/>
      <c r="M65" s="572" t="n"/>
      <c r="N65" s="566" t="n"/>
      <c r="O65" s="566" t="n"/>
      <c r="P65" s="515" t="n"/>
      <c r="Q65" s="516" t="n"/>
      <c r="R65" s="517" t="n"/>
      <c r="S65" s="517" t="n"/>
      <c r="T65" s="515" t="n"/>
      <c r="U65" s="518" t="n"/>
      <c r="V65" s="515" t="n"/>
      <c r="W65" s="516" t="n"/>
      <c r="X65" s="500" t="n"/>
      <c r="Y65" s="500" t="n"/>
      <c r="Z65" s="573" t="n"/>
      <c r="AA65" s="518" t="n"/>
      <c r="AB65" s="515" t="n"/>
      <c r="AC65" s="516" t="n"/>
      <c r="AD65" s="500" t="n"/>
      <c r="AE65" s="500" t="n"/>
      <c r="AF65" s="573" t="n"/>
      <c r="AG65" s="518" t="n"/>
    </row>
    <row r="66">
      <c r="B66" s="9" t="inlineStr">
        <is>
          <t>선납+단품+결합 할인 반영 순수 구독료 (V-)</t>
        </is>
      </c>
      <c r="C66" s="506">
        <f>C62-C12-C13-C14</f>
        <v/>
      </c>
      <c r="D66" s="343" t="n"/>
      <c r="F66" s="101" t="n"/>
      <c r="G66" s="102" t="n"/>
      <c r="H66" s="102" t="n"/>
      <c r="I66" s="103" t="n"/>
      <c r="J66" s="562" t="n"/>
      <c r="K66" s="571" t="n"/>
      <c r="L66" s="572" t="n"/>
      <c r="M66" s="572" t="n"/>
      <c r="N66" s="566" t="n"/>
      <c r="O66" s="566" t="n"/>
      <c r="P66" s="515" t="n"/>
      <c r="Q66" s="516" t="n"/>
      <c r="R66" s="517" t="n"/>
      <c r="S66" s="517" t="n"/>
      <c r="T66" s="515" t="n"/>
      <c r="U66" s="518" t="n"/>
      <c r="V66" s="515" t="n"/>
      <c r="W66" s="516" t="n"/>
      <c r="X66" s="500" t="n"/>
      <c r="Y66" s="500" t="n"/>
      <c r="Z66" s="573" t="n"/>
      <c r="AA66" s="518" t="n"/>
      <c r="AB66" s="515" t="n"/>
      <c r="AC66" s="516" t="n"/>
      <c r="AD66" s="500" t="n"/>
      <c r="AE66" s="500" t="n"/>
      <c r="AF66" s="573" t="n"/>
      <c r="AG66" s="518" t="n"/>
    </row>
    <row r="67">
      <c r="B67" s="9" t="inlineStr">
        <is>
          <t>선납+단품+결합 할인 반영 순수 구독료 월할 (V-)</t>
        </is>
      </c>
      <c r="C67" s="506">
        <f>C66/C8</f>
        <v/>
      </c>
      <c r="D67" s="343" t="n"/>
      <c r="F67" s="101" t="n"/>
      <c r="G67" s="102" t="n"/>
      <c r="H67" s="102" t="n"/>
      <c r="I67" s="103" t="n"/>
      <c r="J67" s="562" t="n"/>
      <c r="K67" s="571" t="n"/>
      <c r="L67" s="572" t="n"/>
      <c r="M67" s="572" t="n"/>
      <c r="N67" s="566" t="n"/>
      <c r="O67" s="566" t="n"/>
      <c r="P67" s="515" t="n"/>
      <c r="Q67" s="516" t="n"/>
      <c r="R67" s="517" t="n"/>
      <c r="S67" s="517" t="n"/>
      <c r="T67" s="515" t="n"/>
      <c r="U67" s="518" t="n"/>
      <c r="V67" s="515" t="n"/>
      <c r="W67" s="516" t="n"/>
      <c r="X67" s="500" t="n"/>
      <c r="Y67" s="500" t="n"/>
      <c r="Z67" s="573" t="n"/>
      <c r="AA67" s="518" t="n"/>
      <c r="AB67" s="515" t="n"/>
      <c r="AC67" s="516" t="n"/>
      <c r="AD67" s="500" t="n"/>
      <c r="AE67" s="500" t="n"/>
      <c r="AF67" s="573" t="n"/>
      <c r="AG67" s="518" t="n"/>
    </row>
    <row r="68">
      <c r="B68" s="9" t="inlineStr">
        <is>
          <t>선납+단품+결합 할인 반영 파손제외 구독료 (v+)</t>
        </is>
      </c>
      <c r="C68" s="527">
        <f>C64-C14</f>
        <v/>
      </c>
      <c r="D68" s="535">
        <f>C68/1.1</f>
        <v/>
      </c>
      <c r="F68" s="101" t="n"/>
      <c r="G68" s="102" t="n"/>
      <c r="H68" s="102" t="n"/>
      <c r="I68" s="103" t="n"/>
      <c r="J68" s="562" t="n"/>
      <c r="K68" s="571" t="n"/>
      <c r="L68" s="572" t="n"/>
      <c r="M68" s="572" t="n"/>
      <c r="N68" s="566" t="n"/>
      <c r="O68" s="566" t="n"/>
      <c r="P68" s="515" t="n"/>
      <c r="Q68" s="516" t="n"/>
      <c r="R68" s="517" t="n"/>
      <c r="S68" s="517" t="n"/>
      <c r="T68" s="515" t="n"/>
      <c r="U68" s="518" t="n"/>
      <c r="V68" s="515" t="n"/>
      <c r="W68" s="516" t="n"/>
      <c r="X68" s="500" t="n"/>
      <c r="Y68" s="500" t="n"/>
      <c r="Z68" s="573" t="n"/>
      <c r="AA68" s="518" t="n"/>
      <c r="AB68" s="515" t="n"/>
      <c r="AC68" s="516" t="n"/>
      <c r="AD68" s="500" t="n"/>
      <c r="AE68" s="500" t="n"/>
      <c r="AF68" s="573" t="n"/>
      <c r="AG68" s="518" t="n"/>
    </row>
    <row r="69">
      <c r="C69" s="505">
        <f>C68/C8/1.1</f>
        <v/>
      </c>
      <c r="F69" s="101" t="n"/>
      <c r="G69" s="102" t="n"/>
      <c r="H69" s="102" t="n"/>
      <c r="I69" s="103" t="n"/>
      <c r="J69" s="562" t="n"/>
      <c r="K69" s="571" t="n"/>
      <c r="L69" s="572" t="n"/>
      <c r="M69" s="572" t="n"/>
      <c r="N69" s="566" t="n"/>
      <c r="O69" s="566" t="n"/>
      <c r="P69" s="515" t="n"/>
      <c r="Q69" s="516" t="n"/>
      <c r="R69" s="517" t="n"/>
      <c r="S69" s="517" t="n"/>
      <c r="T69" s="515" t="n"/>
      <c r="U69" s="518" t="n"/>
      <c r="V69" s="515" t="n"/>
      <c r="W69" s="516" t="n"/>
      <c r="X69" s="500" t="n"/>
      <c r="Y69" s="500" t="n"/>
      <c r="Z69" s="573" t="n"/>
      <c r="AA69" s="518" t="n"/>
      <c r="AB69" s="515" t="n"/>
      <c r="AC69" s="516" t="n"/>
      <c r="AD69" s="500" t="n"/>
      <c r="AE69" s="500" t="n"/>
      <c r="AF69" s="573" t="n"/>
      <c r="AG69" s="518" t="n"/>
    </row>
    <row r="70">
      <c r="F70" s="101" t="n"/>
      <c r="G70" s="102" t="n"/>
      <c r="H70" s="102" t="n"/>
      <c r="I70" s="103" t="n"/>
      <c r="J70" s="562" t="n"/>
      <c r="K70" s="571" t="n"/>
      <c r="L70" s="572" t="n"/>
      <c r="M70" s="572" t="n"/>
      <c r="N70" s="566" t="n"/>
      <c r="O70" s="566" t="n"/>
      <c r="P70" s="515" t="n"/>
      <c r="Q70" s="516" t="n"/>
      <c r="R70" s="517" t="n"/>
      <c r="S70" s="517" t="n"/>
      <c r="T70" s="515" t="n"/>
      <c r="U70" s="518" t="n"/>
      <c r="V70" s="515" t="n"/>
      <c r="W70" s="516" t="n"/>
      <c r="X70" s="500" t="n"/>
      <c r="Y70" s="500" t="n"/>
      <c r="Z70" s="573" t="n"/>
      <c r="AA70" s="518" t="n"/>
      <c r="AB70" s="515" t="n"/>
      <c r="AC70" s="516" t="n"/>
      <c r="AD70" s="500" t="n"/>
      <c r="AE70" s="500" t="n"/>
      <c r="AF70" s="573" t="n"/>
      <c r="AG70" s="518" t="n"/>
    </row>
    <row r="71">
      <c r="F71" s="101" t="n"/>
      <c r="G71" s="102" t="n"/>
      <c r="H71" s="102" t="n"/>
      <c r="I71" s="103" t="n"/>
      <c r="J71" s="562" t="n"/>
      <c r="K71" s="571" t="n"/>
      <c r="L71" s="572" t="n"/>
      <c r="M71" s="572" t="n"/>
      <c r="N71" s="566" t="n"/>
      <c r="O71" s="566" t="n"/>
      <c r="P71" s="515" t="n"/>
      <c r="Q71" s="516" t="n"/>
      <c r="R71" s="517" t="n"/>
      <c r="S71" s="517" t="n"/>
      <c r="T71" s="515" t="n"/>
      <c r="U71" s="518" t="n"/>
      <c r="V71" s="515" t="n"/>
      <c r="W71" s="516" t="n"/>
      <c r="X71" s="500" t="n"/>
      <c r="Y71" s="500" t="n"/>
      <c r="Z71" s="573" t="n"/>
      <c r="AA71" s="518" t="n"/>
      <c r="AB71" s="515" t="n"/>
      <c r="AC71" s="516" t="n"/>
      <c r="AD71" s="500" t="n"/>
      <c r="AE71" s="500" t="n"/>
      <c r="AF71" s="573" t="n"/>
      <c r="AG71" s="518" t="n"/>
    </row>
    <row r="72">
      <c r="C72" s="505" t="n"/>
      <c r="F72" s="101" t="n"/>
      <c r="G72" s="102" t="n"/>
      <c r="H72" s="102" t="n"/>
      <c r="I72" s="103" t="n"/>
      <c r="J72" s="562" t="n"/>
      <c r="K72" s="571" t="n"/>
      <c r="L72" s="572" t="n"/>
      <c r="M72" s="572" t="n"/>
      <c r="N72" s="566" t="n"/>
      <c r="O72" s="566" t="n"/>
      <c r="P72" s="515" t="n"/>
      <c r="Q72" s="516" t="n"/>
      <c r="R72" s="517" t="n"/>
      <c r="S72" s="517" t="n"/>
      <c r="T72" s="515" t="n"/>
      <c r="U72" s="518" t="n"/>
      <c r="V72" s="515" t="n"/>
      <c r="W72" s="516" t="n"/>
      <c r="X72" s="500" t="n"/>
      <c r="Y72" s="500" t="n"/>
      <c r="Z72" s="573" t="n"/>
      <c r="AA72" s="518" t="n"/>
      <c r="AB72" s="515" t="n"/>
      <c r="AC72" s="516" t="n"/>
      <c r="AD72" s="500" t="n"/>
      <c r="AE72" s="500" t="n"/>
      <c r="AF72" s="573" t="n"/>
      <c r="AG72" s="518" t="n"/>
    </row>
    <row r="73">
      <c r="C73" s="505" t="n"/>
      <c r="F73" s="101" t="n"/>
      <c r="G73" s="102" t="n"/>
      <c r="H73" s="102" t="n"/>
      <c r="I73" s="103" t="n"/>
      <c r="J73" s="562" t="n"/>
      <c r="K73" s="571" t="n"/>
      <c r="L73" s="572" t="n"/>
      <c r="M73" s="572" t="n"/>
      <c r="N73" s="566" t="n"/>
      <c r="O73" s="566" t="n"/>
      <c r="P73" s="515" t="n"/>
      <c r="Q73" s="516" t="n"/>
      <c r="R73" s="517" t="n"/>
      <c r="S73" s="517" t="n"/>
      <c r="T73" s="515" t="n"/>
      <c r="U73" s="518" t="n"/>
      <c r="V73" s="515" t="n"/>
      <c r="W73" s="516" t="n"/>
      <c r="X73" s="500" t="n"/>
      <c r="Y73" s="500" t="n"/>
      <c r="Z73" s="573" t="n"/>
      <c r="AA73" s="518" t="n"/>
      <c r="AB73" s="515" t="n"/>
      <c r="AC73" s="516" t="n"/>
      <c r="AD73" s="500" t="n"/>
      <c r="AE73" s="500" t="n"/>
      <c r="AF73" s="573" t="n"/>
      <c r="AG73" s="518" t="n"/>
    </row>
    <row r="74">
      <c r="F74" s="101" t="n"/>
      <c r="G74" s="102" t="n"/>
      <c r="H74" s="102" t="n"/>
      <c r="I74" s="103" t="n"/>
      <c r="J74" s="562" t="n"/>
      <c r="K74" s="571" t="n"/>
      <c r="L74" s="572" t="n"/>
      <c r="M74" s="572" t="n"/>
      <c r="N74" s="566" t="n"/>
      <c r="O74" s="566" t="n"/>
      <c r="P74" s="515" t="n"/>
      <c r="Q74" s="516" t="n"/>
      <c r="R74" s="517" t="n"/>
      <c r="S74" s="517" t="n"/>
      <c r="T74" s="515" t="n"/>
      <c r="U74" s="518" t="n"/>
      <c r="V74" s="515" t="n"/>
      <c r="W74" s="516" t="n"/>
      <c r="X74" s="500" t="n"/>
      <c r="Y74" s="500" t="n"/>
      <c r="Z74" s="573" t="n"/>
      <c r="AA74" s="518" t="n"/>
      <c r="AB74" s="515" t="n"/>
      <c r="AC74" s="516" t="n"/>
      <c r="AD74" s="500" t="n"/>
      <c r="AE74" s="500" t="n"/>
      <c r="AF74" s="573" t="n"/>
      <c r="AG74" s="518" t="n"/>
    </row>
    <row r="75">
      <c r="F75" s="101" t="n"/>
      <c r="G75" s="102" t="n"/>
      <c r="H75" s="102" t="n"/>
      <c r="I75" s="103" t="n"/>
      <c r="J75" s="562" t="n"/>
      <c r="K75" s="571" t="n"/>
      <c r="L75" s="572" t="n"/>
      <c r="M75" s="572" t="n"/>
      <c r="N75" s="566" t="n"/>
      <c r="O75" s="566" t="n"/>
      <c r="P75" s="515" t="n"/>
      <c r="Q75" s="516" t="n"/>
      <c r="R75" s="517" t="n"/>
      <c r="S75" s="517" t="n"/>
      <c r="T75" s="515" t="n"/>
      <c r="U75" s="518" t="n"/>
      <c r="V75" s="515" t="n"/>
      <c r="W75" s="516" t="n"/>
      <c r="X75" s="500" t="n"/>
      <c r="Y75" s="500" t="n"/>
      <c r="Z75" s="573" t="n"/>
      <c r="AA75" s="518" t="n"/>
      <c r="AB75" s="515" t="n"/>
      <c r="AC75" s="516" t="n"/>
      <c r="AD75" s="500" t="n"/>
      <c r="AE75" s="500" t="n"/>
      <c r="AF75" s="573" t="n"/>
      <c r="AG75" s="518" t="n"/>
    </row>
    <row r="76">
      <c r="F76" s="101" t="n"/>
      <c r="G76" s="102" t="n"/>
      <c r="H76" s="102" t="n"/>
      <c r="I76" s="103" t="n"/>
      <c r="J76" s="562" t="n"/>
      <c r="K76" s="571" t="n"/>
      <c r="L76" s="572" t="n"/>
      <c r="M76" s="572" t="n"/>
      <c r="N76" s="566" t="n"/>
      <c r="O76" s="566" t="n"/>
      <c r="P76" s="515" t="n"/>
      <c r="Q76" s="516" t="n"/>
      <c r="R76" s="517" t="n"/>
      <c r="S76" s="517" t="n"/>
      <c r="T76" s="515" t="n"/>
      <c r="U76" s="518" t="n"/>
      <c r="V76" s="515" t="n"/>
      <c r="W76" s="516" t="n"/>
      <c r="X76" s="500" t="n"/>
      <c r="Y76" s="500" t="n"/>
      <c r="Z76" s="573" t="n"/>
      <c r="AA76" s="518" t="n"/>
      <c r="AB76" s="515" t="n"/>
      <c r="AC76" s="516" t="n"/>
      <c r="AD76" s="500" t="n"/>
      <c r="AE76" s="500" t="n"/>
      <c r="AF76" s="573" t="n"/>
      <c r="AG76" s="518" t="n"/>
    </row>
    <row r="77">
      <c r="F77" s="101" t="n"/>
      <c r="G77" s="102" t="n"/>
      <c r="H77" s="102" t="n"/>
      <c r="I77" s="103" t="n"/>
      <c r="J77" s="562" t="n"/>
      <c r="K77" s="571" t="n"/>
      <c r="L77" s="572" t="n"/>
      <c r="M77" s="572" t="n"/>
      <c r="N77" s="566" t="n"/>
      <c r="O77" s="566" t="n"/>
      <c r="P77" s="515" t="n"/>
      <c r="Q77" s="516" t="n"/>
      <c r="R77" s="517" t="n"/>
      <c r="S77" s="517" t="n"/>
      <c r="T77" s="515" t="n"/>
      <c r="U77" s="518" t="n"/>
      <c r="V77" s="515" t="n"/>
      <c r="W77" s="516" t="n"/>
      <c r="X77" s="500" t="n"/>
      <c r="Y77" s="500" t="n"/>
      <c r="Z77" s="573" t="n"/>
      <c r="AA77" s="518" t="n"/>
      <c r="AB77" s="515" t="n"/>
      <c r="AC77" s="516" t="n"/>
      <c r="AD77" s="500" t="n"/>
      <c r="AE77" s="500" t="n"/>
      <c r="AF77" s="573" t="n"/>
      <c r="AG77" s="518" t="n"/>
    </row>
    <row r="78">
      <c r="F78" s="35" t="n"/>
      <c r="G78" s="36" t="n"/>
      <c r="H78" s="36" t="n"/>
      <c r="I78" s="37" t="n"/>
      <c r="J78" s="584" t="n"/>
      <c r="K78" s="585" t="n"/>
      <c r="L78" s="586" t="n"/>
      <c r="M78" s="586" t="n"/>
      <c r="N78" s="587" t="n"/>
      <c r="O78" s="587" t="n"/>
      <c r="P78" s="546" t="n"/>
      <c r="Q78" s="547" t="n"/>
      <c r="R78" s="548" t="n"/>
      <c r="S78" s="548" t="n"/>
      <c r="T78" s="546" t="n"/>
      <c r="U78" s="549" t="n"/>
      <c r="V78" s="581" t="n"/>
      <c r="W78" s="588" t="n"/>
      <c r="X78" s="589" t="n"/>
      <c r="Y78" s="589" t="n"/>
      <c r="Z78" s="590" t="n"/>
      <c r="AA78" s="549" t="n"/>
      <c r="AB78" s="581" t="n"/>
      <c r="AC78" s="588" t="n"/>
      <c r="AD78" s="589" t="n"/>
      <c r="AE78" s="589" t="n"/>
      <c r="AF78" s="590" t="n"/>
      <c r="AG78" s="549" t="n"/>
    </row>
    <row r="79">
      <c r="W79" s="500" t="n"/>
      <c r="AC79" s="500" t="n"/>
    </row>
  </sheetData>
  <mergeCells count="3">
    <mergeCell ref="D31:D34"/>
    <mergeCell ref="D41:D44"/>
    <mergeCell ref="D51:D54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/>
  </sheetPr>
  <dimension ref="A1:AM78"/>
  <sheetViews>
    <sheetView showGridLines="0" zoomScale="55" zoomScaleNormal="55" workbookViewId="0">
      <selection activeCell="V37" sqref="V37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6.1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11.1875" bestFit="1" customWidth="1" style="497" min="18" max="18"/>
    <col width="7.375" bestFit="1" customWidth="1" style="497" min="19" max="19"/>
    <col width="13.5" bestFit="1" customWidth="1" style="497" min="20" max="20"/>
    <col width="11.875" bestFit="1" customWidth="1" style="497" min="21" max="22"/>
    <col width="14" bestFit="1" customWidth="1" style="497" min="23" max="23"/>
    <col width="14" customWidth="1" style="497" min="24" max="24"/>
    <col outlineLevel="1" width="14" customWidth="1" style="497" min="25" max="29"/>
    <col width="11.375" bestFit="1" customWidth="1" style="497" min="30" max="30"/>
    <col width="15.375" bestFit="1" customWidth="1" style="497" min="32" max="32"/>
    <col width="12.375" bestFit="1" customWidth="1" style="497" min="33" max="33"/>
    <col width="10.625" bestFit="1" customWidth="1" style="497" min="34" max="34"/>
    <col width="11.6875" bestFit="1" customWidth="1" style="497" min="38" max="38"/>
    <col width="10.625" bestFit="1" customWidth="1" style="497" min="39" max="39"/>
  </cols>
  <sheetData>
    <row r="1">
      <c r="G1" s="185">
        <f>H77-G5+1</f>
        <v/>
      </c>
      <c r="P1" s="206">
        <f>L2-P2=(AH16+AH21)*C7</f>
        <v/>
      </c>
      <c r="Q1" s="206">
        <f>M2-Q2=(AH17+AH22)*C7</f>
        <v/>
      </c>
      <c r="S1" s="206">
        <f>R24-G5</f>
        <v/>
      </c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중도해지 시 (v-)</t>
        </is>
      </c>
      <c r="S3" s="70" t="n"/>
      <c r="T3" s="254" t="n"/>
      <c r="U3" s="254" t="n"/>
      <c r="V3" s="254" t="n"/>
      <c r="W3" s="255" t="n"/>
      <c r="X3" s="254" t="n"/>
      <c r="Y3" s="75" t="inlineStr">
        <is>
          <t>중도해지 시 (v+)</t>
        </is>
      </c>
      <c r="Z3" s="70" t="n"/>
      <c r="AA3" s="70" t="n"/>
      <c r="AB3" s="70" t="n"/>
      <c r="AC3" s="71" t="n"/>
      <c r="AI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26" t="inlineStr">
        <is>
          <t>제품판정일</t>
        </is>
      </c>
      <c r="S4" s="9" t="inlineStr">
        <is>
          <t>경과일</t>
        </is>
      </c>
      <c r="T4" s="26" t="inlineStr">
        <is>
          <t>위약금</t>
        </is>
      </c>
      <c r="U4" s="15" t="inlineStr">
        <is>
          <t>사용분 청구</t>
        </is>
      </c>
      <c r="V4" s="15" t="inlineStr">
        <is>
          <t>할인금 회수</t>
        </is>
      </c>
      <c r="W4" s="15" t="inlineStr">
        <is>
          <t>선납잔액 환불</t>
        </is>
      </c>
      <c r="X4" s="27" t="inlineStr">
        <is>
          <t>등록비 청구</t>
        </is>
      </c>
      <c r="Y4" s="15" t="inlineStr">
        <is>
          <t>위약금</t>
        </is>
      </c>
      <c r="Z4" s="15" t="inlineStr">
        <is>
          <t>사용분 청구</t>
        </is>
      </c>
      <c r="AA4" s="15" t="inlineStr">
        <is>
          <t>할인금 회수</t>
        </is>
      </c>
      <c r="AB4" s="15" t="inlineStr">
        <is>
          <t>선납잔액 환불</t>
        </is>
      </c>
      <c r="AC4" s="27" t="inlineStr">
        <is>
          <t>등록비</t>
        </is>
      </c>
      <c r="AF4" s="273" t="inlineStr">
        <is>
          <t>사용분 청구 (v-)</t>
        </is>
      </c>
      <c r="AG4" s="274" t="n"/>
      <c r="AH4" s="274" t="n"/>
      <c r="AI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ROUNDDOWN(($C$11/$C$7-AH16-AH21)*(H5-G5+1)/DAY(H5),-2)</f>
        <v/>
      </c>
      <c r="Q5" s="519">
        <f>ROUNDDOWN(($C$12/$C$7-AH17-AH22)*(H5-G5+1)/DAY(H5),-2)</f>
        <v/>
      </c>
      <c r="R5" s="55" t="n"/>
      <c r="S5" s="54">
        <f>H5-G5+1</f>
        <v/>
      </c>
      <c r="T5" s="55" t="n"/>
      <c r="U5" s="626" t="n"/>
      <c r="V5" s="627" t="n"/>
      <c r="W5" s="251" t="n"/>
      <c r="X5" s="94" t="n"/>
      <c r="Y5" s="251" t="n"/>
      <c r="Z5" s="626" t="n"/>
      <c r="AA5" s="627" t="n"/>
      <c r="AB5" s="627" t="n"/>
      <c r="AC5" s="91" t="n"/>
      <c r="AF5" s="130" t="n"/>
      <c r="AG5" s="9" t="inlineStr">
        <is>
          <t>제품</t>
        </is>
      </c>
      <c r="AH5" s="9" t="inlineStr">
        <is>
          <t>케어</t>
        </is>
      </c>
      <c r="AI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$C$11/$C$7-$AH$16-$AH$21</f>
        <v/>
      </c>
      <c r="Q6" s="519">
        <f>$C$12/$C$7-$AH$17-$AH$22</f>
        <v/>
      </c>
      <c r="R6" s="92" t="n"/>
      <c r="S6" s="196">
        <f>H6-G6+1</f>
        <v/>
      </c>
      <c r="T6" s="92" t="n"/>
      <c r="U6" s="206" t="n"/>
      <c r="V6" s="206" t="n"/>
      <c r="W6" s="206" t="n"/>
      <c r="X6" s="94" t="n"/>
      <c r="Y6" s="206" t="n"/>
      <c r="Z6" s="206" t="n"/>
      <c r="AA6" s="206" t="n"/>
      <c r="AB6" s="206" t="n"/>
      <c r="AC6" s="94" t="n"/>
      <c r="AF6" s="527">
        <f>U24</f>
        <v/>
      </c>
      <c r="AG6" s="527">
        <f>AF6-AH6-AI6</f>
        <v/>
      </c>
      <c r="AH6" s="2">
        <f>ROUNDDOWN(P24*S24/DAY(H24),-2)</f>
        <v/>
      </c>
      <c r="AI6" s="2">
        <f>ROUNDDOWN(Q24*S24/DAY(H24),-2)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$C$11/$C$7-$AH$16-$AH$21</f>
        <v/>
      </c>
      <c r="Q7" s="519">
        <f>$C$12/$C$7-$AH$17-$AH$22</f>
        <v/>
      </c>
      <c r="R7" s="92" t="n"/>
      <c r="S7" s="196">
        <f>H7-G7+1</f>
        <v/>
      </c>
      <c r="T7" s="92" t="n"/>
      <c r="U7" s="206" t="n"/>
      <c r="V7" s="206" t="n"/>
      <c r="W7" s="206" t="n"/>
      <c r="X7" s="94" t="n"/>
      <c r="Y7" s="206" t="n"/>
      <c r="Z7" s="206" t="n"/>
      <c r="AA7" s="206" t="n"/>
      <c r="AB7" s="206" t="n"/>
      <c r="AC7" s="94" t="n"/>
      <c r="AF7" s="505" t="n"/>
      <c r="AG7" s="505" t="n"/>
      <c r="AH7" s="505" t="n"/>
      <c r="AI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$C$11/$C$7-$AH$16-$AH$21</f>
        <v/>
      </c>
      <c r="Q8" s="519">
        <f>$C$12/$C$7-$AH$17-$AH$22</f>
        <v/>
      </c>
      <c r="R8" s="92" t="n"/>
      <c r="S8" s="196">
        <f>H8-G8+1</f>
        <v/>
      </c>
      <c r="T8" s="92" t="n"/>
      <c r="U8" s="206" t="n"/>
      <c r="V8" s="206" t="n"/>
      <c r="W8" s="206" t="n"/>
      <c r="X8" s="94" t="n"/>
      <c r="Y8" s="206" t="n"/>
      <c r="Z8" s="206" t="n"/>
      <c r="AA8" s="206" t="n"/>
      <c r="AB8" s="206" t="n"/>
      <c r="AC8" s="94" t="n"/>
      <c r="AF8" s="206" t="inlineStr">
        <is>
          <t>* 분실료, 파손료는 비과세로 혜택가(v+)기준으로 계산</t>
        </is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$C$11/$C$7-$AH$16-$AH$21</f>
        <v/>
      </c>
      <c r="Q9" s="519">
        <f>$C$12/$C$7-$AH$17-$AH$22</f>
        <v/>
      </c>
      <c r="R9" s="92" t="n"/>
      <c r="S9" s="196">
        <f>H9-G9+1</f>
        <v/>
      </c>
      <c r="T9" s="92" t="n"/>
      <c r="U9" s="206" t="n"/>
      <c r="V9" s="206" t="n"/>
      <c r="W9" s="206" t="n"/>
      <c r="X9" s="94" t="n"/>
      <c r="Y9" s="206" t="n"/>
      <c r="Z9" s="206" t="n"/>
      <c r="AA9" s="206" t="n"/>
      <c r="AB9" s="206" t="n"/>
      <c r="AC9" s="94" t="n"/>
      <c r="AF9" s="9" t="inlineStr">
        <is>
          <t>분실료</t>
        </is>
      </c>
      <c r="AG9" s="9" t="inlineStr">
        <is>
          <t>파손료</t>
        </is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$C$11/$C$7-$AH$16-$AH$21</f>
        <v/>
      </c>
      <c r="Q10" s="519">
        <f>$C$12/$C$7-$AH$17-$AH$22</f>
        <v/>
      </c>
      <c r="R10" s="92" t="n"/>
      <c r="S10" s="196">
        <f>H10-G10+1</f>
        <v/>
      </c>
      <c r="T10" s="92" t="n"/>
      <c r="U10" s="206" t="n"/>
      <c r="V10" s="206" t="n"/>
      <c r="W10" s="206" t="n"/>
      <c r="X10" s="94" t="n"/>
      <c r="Y10" s="206" t="n"/>
      <c r="Z10" s="206" t="n"/>
      <c r="AA10" s="206" t="n"/>
      <c r="AB10" s="206" t="n"/>
      <c r="AC10" s="94" t="n"/>
      <c r="AF10" s="507">
        <f>ROUNDDOWN((C10*1.1)*(C8-SUM(S5:S24))/C8,-1)</f>
        <v/>
      </c>
      <c r="AG10" s="506">
        <f>ROUNDDOWN(AF10*50%,-1)</f>
        <v/>
      </c>
    </row>
    <row r="11">
      <c r="B11" s="9" t="inlineStr">
        <is>
          <t>케어서비스(v-)</t>
        </is>
      </c>
      <c r="C11" s="526">
        <f>5900*72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$C$11/$C$7-$AH$16-$AH$21</f>
        <v/>
      </c>
      <c r="Q11" s="519">
        <f>$C$12/$C$7-$AH$17-$AH$22</f>
        <v/>
      </c>
      <c r="R11" s="92" t="n"/>
      <c r="S11" s="196">
        <f>H11-G11+1</f>
        <v/>
      </c>
      <c r="T11" s="92" t="n"/>
      <c r="U11" s="206" t="n"/>
      <c r="V11" s="206" t="n"/>
      <c r="W11" s="206" t="n"/>
      <c r="X11" s="94" t="n"/>
      <c r="Y11" s="206" t="n"/>
      <c r="Z11" s="206" t="n"/>
      <c r="AA11" s="206" t="n"/>
      <c r="AB11" s="206" t="n"/>
      <c r="AC11" s="94" t="n"/>
      <c r="AF11" s="517">
        <f>ROUNDDOWN((C10*1.1)*(H77-R24+1)/C8,-1)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$C$11/$C$7-$AH$16-$AH$21</f>
        <v/>
      </c>
      <c r="Q12" s="519">
        <f>$C$12/$C$7-$AH$17-$AH$22</f>
        <v/>
      </c>
      <c r="R12" s="92" t="n"/>
      <c r="S12" s="196">
        <f>H12-G12+1</f>
        <v/>
      </c>
      <c r="T12" s="92" t="n"/>
      <c r="U12" s="206" t="n"/>
      <c r="V12" s="206" t="n"/>
      <c r="W12" s="206" t="n"/>
      <c r="X12" s="94" t="n"/>
      <c r="Y12" s="206" t="n"/>
      <c r="Z12" s="206" t="n"/>
      <c r="AA12" s="206" t="n"/>
      <c r="AB12" s="206" t="n"/>
      <c r="AC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$C$11/$C$7-$AH$16-$AH$21</f>
        <v/>
      </c>
      <c r="Q13" s="519">
        <f>$C$12/$C$7-$AH$17-$AH$22</f>
        <v/>
      </c>
      <c r="R13" s="92" t="n"/>
      <c r="S13" s="196">
        <f>H13-G13+1</f>
        <v/>
      </c>
      <c r="T13" s="92" t="n"/>
      <c r="U13" s="206" t="n"/>
      <c r="V13" s="206" t="n"/>
      <c r="W13" s="206" t="n"/>
      <c r="X13" s="94" t="n"/>
      <c r="Y13" s="206" t="n"/>
      <c r="Z13" s="206" t="n"/>
      <c r="AA13" s="206" t="n"/>
      <c r="AB13" s="206" t="n"/>
      <c r="AC13" s="94" t="n"/>
      <c r="AF13" s="206" t="inlineStr">
        <is>
          <t>v- 100단위 조정</t>
        </is>
      </c>
      <c r="AJ13" s="206" t="inlineStr">
        <is>
          <t>v- 소수점만 제거</t>
        </is>
      </c>
      <c r="AM13" s="206" t="inlineStr">
        <is>
          <t>V+</t>
        </is>
      </c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$C$11/$C$7-$AH$16-$AH$21</f>
        <v/>
      </c>
      <c r="Q14" s="519">
        <f>$C$12/$C$7-$AH$17-$AH$22</f>
        <v/>
      </c>
      <c r="R14" s="92" t="n"/>
      <c r="S14" s="196">
        <f>H14-G14+1</f>
        <v/>
      </c>
      <c r="T14" s="92" t="n"/>
      <c r="U14" s="206" t="n"/>
      <c r="V14" s="206" t="n"/>
      <c r="W14" s="206" t="n"/>
      <c r="X14" s="94" t="n"/>
      <c r="Y14" s="206" t="n"/>
      <c r="Z14" s="206" t="n"/>
      <c r="AA14" s="206" t="n"/>
      <c r="AB14" s="206" t="n"/>
      <c r="AC14" s="94" t="n"/>
      <c r="AF14" s="378" t="inlineStr">
        <is>
          <t>월 선납금(v-)</t>
        </is>
      </c>
      <c r="AG14" s="251" t="n"/>
      <c r="AH14" s="504">
        <f>C26/C7</f>
        <v/>
      </c>
      <c r="AJ14" s="378" t="inlineStr">
        <is>
          <t>월 선납금(v-)</t>
        </is>
      </c>
      <c r="AK14" s="251" t="n"/>
      <c r="AL14" s="504">
        <f>C26/C7</f>
        <v/>
      </c>
      <c r="AM14" s="505">
        <f>AL14*1.1</f>
        <v/>
      </c>
    </row>
    <row r="15">
      <c r="B15" s="9" t="inlineStr">
        <is>
          <t>월구독료(v-)</t>
        </is>
      </c>
      <c r="C15" s="526">
        <f>C14/C7</f>
        <v/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$C$11/$C$7-$AH$16-$AH$21</f>
        <v/>
      </c>
      <c r="Q15" s="519">
        <f>$C$12/$C$7-$AH$17-$AH$22</f>
        <v/>
      </c>
      <c r="R15" s="92" t="n"/>
      <c r="S15" s="196">
        <f>H15-G15+1</f>
        <v/>
      </c>
      <c r="T15" s="92" t="n"/>
      <c r="U15" s="206" t="n"/>
      <c r="V15" s="206" t="n"/>
      <c r="W15" s="206" t="n"/>
      <c r="X15" s="94" t="n"/>
      <c r="Y15" s="206" t="n"/>
      <c r="Z15" s="206" t="n"/>
      <c r="AA15" s="206" t="n"/>
      <c r="AB15" s="206" t="n"/>
      <c r="AC15" s="94" t="n"/>
      <c r="AF15" s="375" t="n"/>
      <c r="AG15" s="506" t="inlineStr">
        <is>
          <t>제품</t>
        </is>
      </c>
      <c r="AH15" s="507">
        <f>AH14-AH16-AH17</f>
        <v/>
      </c>
      <c r="AJ15" s="375" t="n"/>
      <c r="AK15" s="506" t="inlineStr">
        <is>
          <t>제품</t>
        </is>
      </c>
      <c r="AL15" s="507">
        <f>AL14-AL16-AL17</f>
        <v/>
      </c>
      <c r="AM15" s="505">
        <f>ROUND(AL15*1.1,)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$C$11/$C$7-$AH$16-$AH$21</f>
        <v/>
      </c>
      <c r="Q16" s="519">
        <f>$C$12/$C$7-$AH$17-$AH$22</f>
        <v/>
      </c>
      <c r="R16" s="92" t="n"/>
      <c r="S16" s="196">
        <f>H16-G16+1</f>
        <v/>
      </c>
      <c r="T16" s="92" t="n"/>
      <c r="U16" s="206" t="n"/>
      <c r="V16" s="206" t="n"/>
      <c r="W16" s="206" t="n"/>
      <c r="X16" s="94" t="n"/>
      <c r="Y16" s="206" t="n"/>
      <c r="Z16" s="206" t="n"/>
      <c r="AA16" s="206" t="n"/>
      <c r="AB16" s="206" t="n"/>
      <c r="AC16" s="94" t="n"/>
      <c r="AF16" s="375" t="n"/>
      <c r="AG16" s="506" t="inlineStr">
        <is>
          <t>케어</t>
        </is>
      </c>
      <c r="AH16" s="507">
        <f>ROUND(AH14*C11/$C$14,-2)</f>
        <v/>
      </c>
      <c r="AJ16" s="375" t="n"/>
      <c r="AK16" s="506" t="inlineStr">
        <is>
          <t>케어</t>
        </is>
      </c>
      <c r="AL16" s="507">
        <f>ROUND(AL14*$C$11/$C$14,0)</f>
        <v/>
      </c>
      <c r="AM16" s="505">
        <f>ROUND(AL16*1.1,)</f>
        <v/>
      </c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$C$11/$C$7-$AH$16-$AH$21</f>
        <v/>
      </c>
      <c r="Q17" s="519">
        <f>$C$12/$C$7-$AH$17-$AH$22</f>
        <v/>
      </c>
      <c r="R17" s="92" t="n"/>
      <c r="S17" s="196">
        <f>H17-G17+1</f>
        <v/>
      </c>
      <c r="T17" s="92" t="n"/>
      <c r="U17" s="206" t="n"/>
      <c r="V17" s="206" t="n"/>
      <c r="W17" s="206" t="n"/>
      <c r="X17" s="94" t="n"/>
      <c r="Y17" s="206" t="n"/>
      <c r="Z17" s="206" t="n"/>
      <c r="AA17" s="206" t="n"/>
      <c r="AB17" s="206" t="n"/>
      <c r="AC17" s="94" t="n"/>
      <c r="AF17" s="376" t="n"/>
      <c r="AG17" s="524" t="inlineStr">
        <is>
          <t>보증</t>
        </is>
      </c>
      <c r="AH17" s="507">
        <f>ROUND(AH14*C12/$C$14,-2)</f>
        <v/>
      </c>
      <c r="AJ17" s="376" t="n"/>
      <c r="AK17" s="524" t="inlineStr">
        <is>
          <t>보증</t>
        </is>
      </c>
      <c r="AL17" s="507">
        <f>ROUND(AL14*$C$12/$C$14,0)</f>
        <v/>
      </c>
      <c r="AM17" s="505">
        <f>ROUND(AL17*1.1,)</f>
        <v/>
      </c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$C$11/$C$7-$AH$16-$AH$21</f>
        <v/>
      </c>
      <c r="Q18" s="519">
        <f>$C$12/$C$7-$AH$17-$AH$22</f>
        <v/>
      </c>
      <c r="R18" s="92" t="n"/>
      <c r="S18" s="196">
        <f>H18-G18+1</f>
        <v/>
      </c>
      <c r="T18" s="92" t="n"/>
      <c r="U18" s="206" t="n"/>
      <c r="V18" s="206" t="n"/>
      <c r="W18" s="206" t="n"/>
      <c r="X18" s="94" t="n"/>
      <c r="Y18" s="206" t="n"/>
      <c r="Z18" s="206" t="n"/>
      <c r="AA18" s="206" t="n"/>
      <c r="AB18" s="206" t="n"/>
      <c r="AC18" s="94" t="n"/>
      <c r="AF18" s="399" t="n"/>
      <c r="AG18" s="500" t="n"/>
      <c r="AH18" s="206" t="n"/>
      <c r="AJ18" s="399" t="n"/>
      <c r="AK18" s="500" t="n"/>
      <c r="AL18" s="206" t="n"/>
      <c r="AM18" s="505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$C$11/$C$7-$AH$16-$AH$21</f>
        <v/>
      </c>
      <c r="Q19" s="519">
        <f>$C$12/$C$7-$AH$17-$AH$22</f>
        <v/>
      </c>
      <c r="R19" s="92" t="n"/>
      <c r="S19" s="196">
        <f>H19-G19+1</f>
        <v/>
      </c>
      <c r="T19" s="92" t="n"/>
      <c r="U19" s="206" t="n"/>
      <c r="V19" s="206" t="n"/>
      <c r="W19" s="206" t="n"/>
      <c r="X19" s="94" t="n"/>
      <c r="Y19" s="206" t="n"/>
      <c r="Z19" s="206" t="n"/>
      <c r="AA19" s="206" t="n"/>
      <c r="AB19" s="206" t="n"/>
      <c r="AC19" s="94" t="n"/>
      <c r="AF19" s="378" t="inlineStr">
        <is>
          <t>월 선납할인(V-)</t>
        </is>
      </c>
      <c r="AG19" s="251" t="n"/>
      <c r="AH19" s="525">
        <f>C30/C7</f>
        <v/>
      </c>
      <c r="AJ19" s="378" t="inlineStr">
        <is>
          <t>월 선납할인(V-)</t>
        </is>
      </c>
      <c r="AK19" s="251" t="n"/>
      <c r="AL19" s="525">
        <f>C30/C7</f>
        <v/>
      </c>
      <c r="AM19" s="505">
        <f>AL19*1.1</f>
        <v/>
      </c>
    </row>
    <row r="20">
      <c r="A20" s="48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$C$11/$C$7-$AH$16-$AH$21</f>
        <v/>
      </c>
      <c r="Q20" s="519">
        <f>$C$12/$C$7-$AH$17-$AH$22</f>
        <v/>
      </c>
      <c r="R20" s="92" t="n"/>
      <c r="S20" s="196">
        <f>H20-G20+1</f>
        <v/>
      </c>
      <c r="T20" s="92" t="n"/>
      <c r="U20" s="206" t="n"/>
      <c r="V20" s="206" t="n"/>
      <c r="W20" s="206" t="n"/>
      <c r="X20" s="94" t="n"/>
      <c r="Y20" s="206" t="n"/>
      <c r="Z20" s="206" t="n"/>
      <c r="AA20" s="206" t="n"/>
      <c r="AB20" s="206" t="n"/>
      <c r="AC20" s="94" t="n"/>
      <c r="AF20" s="375" t="n"/>
      <c r="AG20" s="506" t="inlineStr">
        <is>
          <t>제품</t>
        </is>
      </c>
      <c r="AH20" s="507">
        <f>AH19-AH21-AH22</f>
        <v/>
      </c>
      <c r="AJ20" s="375" t="n"/>
      <c r="AK20" s="506" t="inlineStr">
        <is>
          <t>제품</t>
        </is>
      </c>
      <c r="AL20" s="507">
        <f>AL19-AL21-AL22</f>
        <v/>
      </c>
      <c r="AM20" s="505">
        <f>ROUND(AL20*1.1,)</f>
        <v/>
      </c>
    </row>
    <row r="21">
      <c r="A21" s="628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$C$11/$C$7-$AH$16-$AH$21</f>
        <v/>
      </c>
      <c r="Q21" s="519">
        <f>$C$12/$C$7-$AH$17-$AH$22</f>
        <v/>
      </c>
      <c r="R21" s="92" t="n"/>
      <c r="S21" s="196">
        <f>H21-G21+1</f>
        <v/>
      </c>
      <c r="T21" s="92" t="n"/>
      <c r="U21" s="206" t="n"/>
      <c r="V21" s="206" t="n"/>
      <c r="W21" s="206" t="n"/>
      <c r="X21" s="94" t="n"/>
      <c r="Y21" s="206" t="n"/>
      <c r="Z21" s="206" t="n"/>
      <c r="AA21" s="206" t="n"/>
      <c r="AB21" s="206" t="n"/>
      <c r="AC21" s="94" t="n"/>
      <c r="AF21" s="375" t="n"/>
      <c r="AG21" s="506" t="inlineStr">
        <is>
          <t>케어</t>
        </is>
      </c>
      <c r="AH21" s="507">
        <f>ROUND(AH19*$C$11/$C$14,-2)</f>
        <v/>
      </c>
      <c r="AJ21" s="375" t="n"/>
      <c r="AK21" s="506" t="inlineStr">
        <is>
          <t>케어</t>
        </is>
      </c>
      <c r="AL21" s="507">
        <f>ROUND(AL19*$C$11/$C$14,0)</f>
        <v/>
      </c>
      <c r="AM21" s="505">
        <f>ROUND(AL21*1.1,)</f>
        <v/>
      </c>
    </row>
    <row r="22">
      <c r="A22" s="628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$C$11/$C$7-$AH$16-$AH$21</f>
        <v/>
      </c>
      <c r="Q22" s="519">
        <f>$C$12/$C$7-$AH$17-$AH$22</f>
        <v/>
      </c>
      <c r="R22" s="92" t="n"/>
      <c r="S22" s="196">
        <f>H22-G22+1</f>
        <v/>
      </c>
      <c r="T22" s="629" t="n"/>
      <c r="U22" s="206" t="n"/>
      <c r="V22" s="206" t="n"/>
      <c r="W22" s="206" t="n"/>
      <c r="X22" s="94" t="n"/>
      <c r="Y22" s="206" t="n"/>
      <c r="Z22" s="206" t="n"/>
      <c r="AA22" s="206" t="n"/>
      <c r="AB22" s="206" t="n"/>
      <c r="AC22" s="94" t="n"/>
      <c r="AD22" s="517" t="n"/>
      <c r="AF22" s="376" t="n"/>
      <c r="AG22" s="524" t="inlineStr">
        <is>
          <t>보증</t>
        </is>
      </c>
      <c r="AH22" s="507">
        <f>ROUND(AH19*$C$12/$C$14,-2)</f>
        <v/>
      </c>
      <c r="AJ22" s="376" t="n"/>
      <c r="AK22" s="524" t="inlineStr">
        <is>
          <t>보증</t>
        </is>
      </c>
      <c r="AL22" s="507">
        <f>ROUND(AL19*$C$12/$C$14,0)</f>
        <v/>
      </c>
      <c r="AM22" s="505">
        <f>ROUND(AL22*1.1,)</f>
        <v/>
      </c>
    </row>
    <row r="23">
      <c r="A23" s="628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$C$11/$C$7-$AH$16-$AH$21</f>
        <v/>
      </c>
      <c r="Q23" s="519">
        <f>$C$12/$C$7-$AH$17-$AH$22</f>
        <v/>
      </c>
      <c r="R23" s="92" t="n"/>
      <c r="S23" s="196">
        <f>H23-G23+1</f>
        <v/>
      </c>
      <c r="T23" s="92" t="inlineStr">
        <is>
          <t>* 위약금은 비과세로 총구독료(v+)기준으로 계산</t>
        </is>
      </c>
      <c r="U23" s="206" t="n"/>
      <c r="V23" s="206" t="n"/>
      <c r="W23" s="206" t="n"/>
      <c r="X23" s="94" t="n"/>
      <c r="Y23" s="206" t="n"/>
      <c r="Z23" s="206" t="n"/>
      <c r="AA23" s="206" t="n"/>
      <c r="AB23" s="206" t="n"/>
      <c r="AC23" s="94" t="n"/>
    </row>
    <row r="24">
      <c r="A24" s="628" t="n"/>
      <c r="B24" s="9" t="inlineStr">
        <is>
          <t>(최종) 선납금 반영 월 구독료 (V-)</t>
        </is>
      </c>
      <c r="C24" s="506">
        <f>C15-C22</f>
        <v/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$C$11/$C$7-$AH$16-$AH$21</f>
        <v/>
      </c>
      <c r="Q24" s="635">
        <f>$C$12/$C$7-$AH$17-$AH$22</f>
        <v/>
      </c>
      <c r="R24" s="99" t="n">
        <v>46494</v>
      </c>
      <c r="S24" s="415">
        <f>R24-G24</f>
        <v/>
      </c>
      <c r="T24" s="636">
        <f>ROUNDDOWN(((C16)*(C8-SUM(S5:S24))/C8)*20%,-1)</f>
        <v/>
      </c>
      <c r="U24" s="632">
        <f>ROUNDDOWN(N24*S24/DAY(H24),-2)</f>
        <v/>
      </c>
      <c r="V24" s="632">
        <f>ROUNDDOWN(C30*SUM(S5:S24)/C8,-2)</f>
        <v/>
      </c>
      <c r="W24" s="637">
        <f>-ROUNDUP((C26*(C8-SUM(S5:S24))/C8),-2)</f>
        <v/>
      </c>
      <c r="X24" s="638">
        <f>ROUNDDOWN(C38/1.1*SUM(S5:S24)/C8,-2)</f>
        <v/>
      </c>
      <c r="Y24" s="639">
        <f>T24</f>
        <v/>
      </c>
      <c r="Z24" s="632">
        <f>U24*1.1</f>
        <v/>
      </c>
      <c r="AA24" s="632">
        <f>V24*1.1</f>
        <v/>
      </c>
      <c r="AB24" s="637">
        <f>W24*1.1</f>
        <v/>
      </c>
      <c r="AC24" s="638">
        <f>X24*1.1</f>
        <v/>
      </c>
      <c r="AD24" s="206" t="inlineStr">
        <is>
          <t>* 위약금, 할인회수, 선납잔액 환불, 등록비 청구 기준: 일수비율</t>
        </is>
      </c>
    </row>
    <row r="25">
      <c r="A25" s="628" t="n"/>
      <c r="B25" s="9" t="inlineStr">
        <is>
          <t>(최종) 선납금 반영 총 구독료 (V-)</t>
        </is>
      </c>
      <c r="C25" s="506">
        <f>C14-C22*C7</f>
        <v/>
      </c>
      <c r="D25" s="206">
        <f>C25=C14-C26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$C$11/$C$7-$AH$16-$AH$21</f>
        <v/>
      </c>
      <c r="Q25" s="519">
        <f>$C$12/$C$7-$AH$17-$AH$22</f>
        <v/>
      </c>
      <c r="R25" s="92" t="n"/>
      <c r="S25" s="196" t="inlineStr">
        <is>
          <t>* 사용일 기준: 제품판정일 전날까지 사용</t>
        </is>
      </c>
      <c r="T25" s="92" t="n"/>
      <c r="U25" s="539" t="n"/>
      <c r="V25" s="206" t="n"/>
      <c r="W25" s="206" t="n"/>
      <c r="X25" s="94" t="n"/>
      <c r="Y25" s="206" t="inlineStr">
        <is>
          <t>* 비과세</t>
        </is>
      </c>
      <c r="Z25" s="539" t="n"/>
      <c r="AA25" s="206" t="n"/>
      <c r="AB25" s="206" t="n"/>
      <c r="AC25" s="94" t="n"/>
    </row>
    <row r="26">
      <c r="A26" s="628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$C$11/$C$7-$AH$16-$AH$21</f>
        <v/>
      </c>
      <c r="Q26" s="519">
        <f>$C$12/$C$7-$AH$17-$AH$22</f>
        <v/>
      </c>
      <c r="R26" s="92" t="n"/>
      <c r="S26" s="196" t="n"/>
      <c r="T26" s="92" t="n"/>
      <c r="U26" s="206" t="n"/>
      <c r="V26" s="206" t="n"/>
      <c r="W26" s="206" t="n"/>
      <c r="X26" s="94" t="n"/>
      <c r="Y26" s="206" t="n"/>
      <c r="Z26" s="206" t="n"/>
      <c r="AA26" s="206" t="n"/>
      <c r="AB26" s="517">
        <f>-ROUNDUP((C26*1.1*(C8-SUM(S5:S24))/C8),-1)</f>
        <v/>
      </c>
      <c r="AC26" s="94" t="n"/>
    </row>
    <row r="27">
      <c r="B27" s="9" t="inlineStr">
        <is>
          <t>(계산용) 선납 할인금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$C$11/$C$7-$AH$16-$AH$21</f>
        <v/>
      </c>
      <c r="Q27" s="519">
        <f>$C$12/$C$7-$AH$17-$AH$22</f>
        <v/>
      </c>
      <c r="R27" s="92" t="n"/>
      <c r="S27" s="196" t="n"/>
      <c r="T27" s="92" t="n"/>
      <c r="U27" s="206" t="n"/>
      <c r="V27" s="500" t="n"/>
      <c r="W27" s="206" t="n"/>
      <c r="X27" s="94" t="n"/>
      <c r="Y27" s="206" t="n"/>
      <c r="Z27" s="206" t="n"/>
      <c r="AA27" s="206" t="n"/>
      <c r="AB27" s="206" t="n"/>
      <c r="AC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$C$11/$C$7-$AH$16-$AH$21</f>
        <v/>
      </c>
      <c r="Q28" s="519">
        <f>$C$12/$C$7-$AH$17-$AH$22</f>
        <v/>
      </c>
      <c r="R28" s="92" t="n"/>
      <c r="S28" s="196" t="n"/>
      <c r="T28" s="92" t="n"/>
      <c r="U28" s="206" t="n"/>
      <c r="V28" s="206" t="n"/>
      <c r="W28" s="206" t="n"/>
      <c r="X28" s="94" t="n"/>
      <c r="Y28" s="206" t="n"/>
      <c r="Z28" s="206" t="n"/>
      <c r="AA28" s="206" t="n"/>
      <c r="AB28" s="206" t="n"/>
      <c r="AC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$C$11/$C$7-$AH$16-$AH$21</f>
        <v/>
      </c>
      <c r="Q29" s="519">
        <f>$C$12/$C$7-$AH$17-$AH$22</f>
        <v/>
      </c>
      <c r="R29" s="92" t="n"/>
      <c r="S29" s="196" t="n"/>
      <c r="T29" s="92" t="n"/>
      <c r="U29" s="206" t="n"/>
      <c r="V29" s="206" t="n"/>
      <c r="W29" s="206" t="n"/>
      <c r="X29" s="94" t="n"/>
      <c r="Y29" s="206" t="n"/>
      <c r="Z29" s="206" t="n"/>
      <c r="AA29" s="206" t="n"/>
      <c r="AB29" s="206" t="n"/>
      <c r="AC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$C$11/$C$7-$AH$16-$AH$21</f>
        <v/>
      </c>
      <c r="Q30" s="519">
        <f>$C$12/$C$7-$AH$17-$AH$22</f>
        <v/>
      </c>
      <c r="R30" s="92" t="n"/>
      <c r="S30" s="196" t="n"/>
      <c r="T30" s="92" t="n"/>
      <c r="U30" s="206" t="n"/>
      <c r="V30" s="206" t="n"/>
      <c r="W30" s="206" t="n"/>
      <c r="X30" s="94" t="n"/>
      <c r="Y30" s="206" t="n"/>
      <c r="Z30" s="206" t="n"/>
      <c r="AA30" s="206" t="n"/>
      <c r="AB30" s="206" t="n"/>
      <c r="AC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$C$11/$C$7-$AH$16-$AH$21</f>
        <v/>
      </c>
      <c r="Q31" s="519">
        <f>$C$12/$C$7-$AH$17-$AH$22</f>
        <v/>
      </c>
      <c r="R31" s="92" t="n"/>
      <c r="S31" s="196" t="n"/>
      <c r="T31" s="92" t="n"/>
      <c r="U31" s="206" t="n"/>
      <c r="V31" s="206" t="n"/>
      <c r="W31" s="206" t="n"/>
      <c r="X31" s="94" t="n"/>
      <c r="Y31" s="206" t="n"/>
      <c r="Z31" s="206" t="n"/>
      <c r="AA31" s="206" t="n"/>
      <c r="AB31" s="206" t="n"/>
      <c r="AC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$C$11/$C$7-$AH$16-$AH$21</f>
        <v/>
      </c>
      <c r="Q32" s="519">
        <f>$C$12/$C$7-$AH$17-$AH$22</f>
        <v/>
      </c>
      <c r="R32" s="92" t="n"/>
      <c r="S32" s="196" t="n"/>
      <c r="T32" s="92" t="n"/>
      <c r="U32" s="206" t="n"/>
      <c r="V32" s="206" t="n"/>
      <c r="W32" s="206" t="n"/>
      <c r="X32" s="94" t="n"/>
      <c r="Y32" s="206" t="n"/>
      <c r="Z32" s="206" t="n"/>
      <c r="AA32" s="206" t="n"/>
      <c r="AB32" s="206" t="n"/>
      <c r="AC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$C$11/$C$7-$AH$16-$AH$21</f>
        <v/>
      </c>
      <c r="Q33" s="519">
        <f>$C$12/$C$7-$AH$17-$AH$22</f>
        <v/>
      </c>
      <c r="R33" s="92" t="n"/>
      <c r="S33" s="196" t="n"/>
      <c r="T33" s="92" t="n"/>
      <c r="U33" s="206" t="n"/>
      <c r="V33" s="206" t="n"/>
      <c r="W33" s="206" t="n"/>
      <c r="X33" s="94" t="n"/>
      <c r="Y33" s="206" t="n"/>
      <c r="Z33" s="206" t="n"/>
      <c r="AA33" s="206" t="n"/>
      <c r="AB33" s="206" t="n"/>
      <c r="AC33" s="94" t="n"/>
    </row>
    <row r="34">
      <c r="B34" s="9" t="inlineStr">
        <is>
          <t>선납금+선납 할인 반영 순수 구독료 (V-)</t>
        </is>
      </c>
      <c r="C34" s="506">
        <f>C32-C11-C12+SUM(AH16:AH17,AH21:AH22)*C7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$C$11/$C$7-$AH$16-$AH$21</f>
        <v/>
      </c>
      <c r="Q34" s="519">
        <f>$C$12/$C$7-$AH$17-$AH$22</f>
        <v/>
      </c>
      <c r="R34" s="92" t="n"/>
      <c r="S34" s="196" t="n"/>
      <c r="T34" s="92" t="n"/>
      <c r="U34" s="206" t="n"/>
      <c r="V34" s="206" t="n"/>
      <c r="W34" s="206" t="n"/>
      <c r="X34" s="94" t="n"/>
      <c r="Y34" s="206" t="n"/>
      <c r="Z34" s="206" t="n"/>
      <c r="AA34" s="206" t="n"/>
      <c r="AB34" s="206" t="n"/>
      <c r="AC34" s="94" t="n"/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$C$11/$C$7-$AH$16-$AH$21</f>
        <v/>
      </c>
      <c r="Q35" s="519">
        <f>$C$12/$C$7-$AH$17-$AH$22</f>
        <v/>
      </c>
      <c r="R35" s="92" t="n"/>
      <c r="S35" s="196" t="n"/>
      <c r="T35" s="92" t="n"/>
      <c r="U35" s="206" t="n"/>
      <c r="V35" s="206" t="n"/>
      <c r="W35" s="206" t="n"/>
      <c r="X35" s="94" t="n"/>
      <c r="Y35" s="206" t="n"/>
      <c r="Z35" s="206" t="n"/>
      <c r="AA35" s="206" t="n"/>
      <c r="AB35" s="206" t="n"/>
      <c r="AC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$C$11/$C$7-$AH$16-$AH$21</f>
        <v/>
      </c>
      <c r="Q36" s="519">
        <f>$C$12/$C$7-$AH$17-$AH$22</f>
        <v/>
      </c>
      <c r="R36" s="92" t="n"/>
      <c r="S36" s="196" t="n"/>
      <c r="T36" s="92" t="n"/>
      <c r="U36" s="206" t="n"/>
      <c r="V36" s="206" t="n"/>
      <c r="W36" s="206" t="n"/>
      <c r="X36" s="94" t="n"/>
      <c r="Y36" s="206" t="n"/>
      <c r="Z36" s="206" t="n"/>
      <c r="AA36" s="206" t="n"/>
      <c r="AB36" s="206" t="n"/>
      <c r="AC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$C$11/$C$7-$AH$16-$AH$21</f>
        <v/>
      </c>
      <c r="Q37" s="519">
        <f>$C$12/$C$7-$AH$17-$AH$22</f>
        <v/>
      </c>
      <c r="R37" s="92" t="n"/>
      <c r="S37" s="196" t="n"/>
      <c r="T37" s="92" t="n"/>
      <c r="U37" s="206" t="n"/>
      <c r="V37" s="206" t="n"/>
      <c r="W37" s="206" t="n"/>
      <c r="X37" s="94" t="n"/>
      <c r="Y37" s="206" t="n"/>
      <c r="Z37" s="206" t="n"/>
      <c r="AA37" s="206" t="n"/>
      <c r="AB37" s="206" t="n"/>
      <c r="AC37" s="94" t="n"/>
    </row>
    <row r="38">
      <c r="B38" s="256" t="inlineStr">
        <is>
          <t>등록비 (V+)</t>
        </is>
      </c>
      <c r="C38" s="526" t="n">
        <v>100000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$C$11/$C$7-$AH$16-$AH$21</f>
        <v/>
      </c>
      <c r="Q38" s="519">
        <f>$C$12/$C$7-$AH$17-$AH$22</f>
        <v/>
      </c>
      <c r="R38" s="92" t="n"/>
      <c r="S38" s="196" t="n"/>
      <c r="T38" s="92" t="n"/>
      <c r="U38" s="206" t="n"/>
      <c r="V38" s="206" t="n"/>
      <c r="W38" s="206" t="n"/>
      <c r="X38" s="94" t="n"/>
      <c r="Y38" s="206" t="n"/>
      <c r="Z38" s="206" t="n"/>
      <c r="AA38" s="206" t="n"/>
      <c r="AB38" s="206" t="n"/>
      <c r="AC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$C$11/$C$7-$AH$16-$AH$21</f>
        <v/>
      </c>
      <c r="Q39" s="519">
        <f>$C$12/$C$7-$AH$17-$AH$22</f>
        <v/>
      </c>
      <c r="R39" s="92" t="n"/>
      <c r="S39" s="196" t="n"/>
      <c r="T39" s="92" t="n"/>
      <c r="U39" s="206" t="n"/>
      <c r="V39" s="206" t="n"/>
      <c r="W39" s="206" t="n"/>
      <c r="X39" s="94" t="n"/>
      <c r="Y39" s="206" t="n"/>
      <c r="Z39" s="206" t="n"/>
      <c r="AA39" s="206" t="n"/>
      <c r="AB39" s="206" t="n"/>
      <c r="AC39" s="94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$C$11/$C$7-$AH$16-$AH$21</f>
        <v/>
      </c>
      <c r="Q40" s="519">
        <f>$C$12/$C$7-$AH$17-$AH$22</f>
        <v/>
      </c>
      <c r="R40" s="92" t="n"/>
      <c r="S40" s="196" t="n"/>
      <c r="T40" s="92" t="n"/>
      <c r="U40" s="206" t="n"/>
      <c r="V40" s="206" t="n"/>
      <c r="W40" s="206" t="n"/>
      <c r="X40" s="94" t="n"/>
      <c r="Y40" s="206" t="n"/>
      <c r="Z40" s="206" t="n"/>
      <c r="AA40" s="206" t="n"/>
      <c r="AB40" s="206" t="n"/>
      <c r="AC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$C$11/$C$7-$AH$16-$AH$21</f>
        <v/>
      </c>
      <c r="Q41" s="519">
        <f>$C$12/$C$7-$AH$17-$AH$22</f>
        <v/>
      </c>
      <c r="R41" s="92" t="n"/>
      <c r="S41" s="196" t="n"/>
      <c r="T41" s="92" t="n"/>
      <c r="U41" s="206" t="n"/>
      <c r="V41" s="206" t="n"/>
      <c r="W41" s="206" t="n"/>
      <c r="X41" s="94" t="n"/>
      <c r="Y41" s="206" t="n"/>
      <c r="Z41" s="206" t="n"/>
      <c r="AA41" s="206" t="n"/>
      <c r="AB41" s="206" t="n"/>
      <c r="AC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$C$11/$C$7-$AH$16-$AH$21</f>
        <v/>
      </c>
      <c r="Q42" s="519">
        <f>$C$12/$C$7-$AH$17-$AH$22</f>
        <v/>
      </c>
      <c r="R42" s="92" t="n"/>
      <c r="S42" s="196" t="n"/>
      <c r="T42" s="92" t="n"/>
      <c r="U42" s="206" t="n"/>
      <c r="V42" s="206" t="n"/>
      <c r="W42" s="206" t="n"/>
      <c r="X42" s="94" t="n"/>
      <c r="Y42" s="206" t="n"/>
      <c r="Z42" s="206" t="n"/>
      <c r="AA42" s="206" t="n"/>
      <c r="AB42" s="206" t="n"/>
      <c r="AC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$C$11/$C$7-$AH$16-$AH$21</f>
        <v/>
      </c>
      <c r="Q43" s="519">
        <f>$C$12/$C$7-$AH$17-$AH$22</f>
        <v/>
      </c>
      <c r="R43" s="92" t="n"/>
      <c r="S43" s="196" t="n"/>
      <c r="T43" s="92" t="n"/>
      <c r="U43" s="206" t="n"/>
      <c r="V43" s="206" t="n"/>
      <c r="W43" s="206" t="n"/>
      <c r="X43" s="94" t="n"/>
      <c r="Y43" s="206" t="n"/>
      <c r="Z43" s="206" t="n"/>
      <c r="AA43" s="206" t="n"/>
      <c r="AB43" s="206" t="n"/>
      <c r="AC43" s="94" t="n"/>
    </row>
    <row r="44">
      <c r="C44" s="500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$C$11/$C$7-$AH$16-$AH$21</f>
        <v/>
      </c>
      <c r="Q44" s="519">
        <f>$C$12/$C$7-$AH$17-$AH$22</f>
        <v/>
      </c>
      <c r="R44" s="92" t="n"/>
      <c r="S44" s="196" t="n"/>
      <c r="T44" s="92" t="n"/>
      <c r="U44" s="206" t="n"/>
      <c r="V44" s="206" t="n"/>
      <c r="W44" s="206" t="n"/>
      <c r="X44" s="94" t="n"/>
      <c r="Y44" s="206" t="n"/>
      <c r="Z44" s="206" t="n"/>
      <c r="AA44" s="206" t="n"/>
      <c r="AB44" s="206" t="n"/>
      <c r="AC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$C$11/$C$7-$AH$16-$AH$21</f>
        <v/>
      </c>
      <c r="Q45" s="519">
        <f>$C$12/$C$7-$AH$17-$AH$22</f>
        <v/>
      </c>
      <c r="R45" s="92" t="n"/>
      <c r="S45" s="196" t="n"/>
      <c r="T45" s="92" t="n"/>
      <c r="U45" s="206" t="n"/>
      <c r="V45" s="206" t="n"/>
      <c r="W45" s="206" t="n"/>
      <c r="X45" s="94" t="n"/>
      <c r="Y45" s="206" t="n"/>
      <c r="Z45" s="206" t="n"/>
      <c r="AA45" s="206" t="n"/>
      <c r="AB45" s="206" t="n"/>
      <c r="AC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$C$11/$C$7-$AH$16-$AH$21</f>
        <v/>
      </c>
      <c r="Q46" s="519">
        <f>$C$12/$C$7-$AH$17-$AH$22</f>
        <v/>
      </c>
      <c r="R46" s="92" t="n"/>
      <c r="S46" s="196" t="n"/>
      <c r="T46" s="92" t="n"/>
      <c r="U46" s="206" t="n"/>
      <c r="V46" s="206" t="n"/>
      <c r="W46" s="206" t="n"/>
      <c r="X46" s="94" t="n"/>
      <c r="Y46" s="206" t="n"/>
      <c r="Z46" s="206" t="n"/>
      <c r="AA46" s="206" t="n"/>
      <c r="AB46" s="206" t="n"/>
      <c r="AC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$C$11/$C$7-$AH$16-$AH$21</f>
        <v/>
      </c>
      <c r="Q47" s="519">
        <f>$C$12/$C$7-$AH$17-$AH$22</f>
        <v/>
      </c>
      <c r="R47" s="92" t="n"/>
      <c r="S47" s="196" t="n"/>
      <c r="T47" s="92" t="n"/>
      <c r="U47" s="206" t="n"/>
      <c r="V47" s="206" t="n"/>
      <c r="W47" s="206" t="n"/>
      <c r="X47" s="94" t="n"/>
      <c r="Y47" s="206" t="n"/>
      <c r="Z47" s="206" t="n"/>
      <c r="AA47" s="206" t="n"/>
      <c r="AB47" s="206" t="n"/>
      <c r="AC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$C$11/$C$7-$AH$16-$AH$21</f>
        <v/>
      </c>
      <c r="Q48" s="519">
        <f>$C$12/$C$7-$AH$17-$AH$22</f>
        <v/>
      </c>
      <c r="R48" s="92" t="n"/>
      <c r="S48" s="196" t="n"/>
      <c r="T48" s="92" t="n"/>
      <c r="U48" s="206" t="n"/>
      <c r="V48" s="206" t="n"/>
      <c r="W48" s="206" t="n"/>
      <c r="X48" s="94" t="n"/>
      <c r="Y48" s="206" t="n"/>
      <c r="Z48" s="206" t="n"/>
      <c r="AA48" s="206" t="n"/>
      <c r="AB48" s="206" t="n"/>
      <c r="AC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$C$11/$C$7-$AH$16-$AH$21</f>
        <v/>
      </c>
      <c r="Q49" s="519">
        <f>$C$12/$C$7-$AH$17-$AH$22</f>
        <v/>
      </c>
      <c r="R49" s="92" t="n"/>
      <c r="S49" s="196" t="n"/>
      <c r="T49" s="92" t="n"/>
      <c r="U49" s="206" t="n"/>
      <c r="V49" s="206" t="n"/>
      <c r="W49" s="206" t="n"/>
      <c r="X49" s="94" t="n"/>
      <c r="Y49" s="206" t="n"/>
      <c r="Z49" s="206" t="n"/>
      <c r="AA49" s="206" t="n"/>
      <c r="AB49" s="206" t="n"/>
      <c r="AC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$C$11/$C$7-$AH$16-$AH$21</f>
        <v/>
      </c>
      <c r="Q50" s="519">
        <f>$C$12/$C$7-$AH$17-$AH$22</f>
        <v/>
      </c>
      <c r="R50" s="92" t="n"/>
      <c r="S50" s="196" t="n"/>
      <c r="T50" s="92" t="n"/>
      <c r="U50" s="206" t="n"/>
      <c r="V50" s="206" t="n"/>
      <c r="W50" s="206" t="n"/>
      <c r="X50" s="94" t="n"/>
      <c r="Y50" s="206" t="n"/>
      <c r="Z50" s="206" t="n"/>
      <c r="AA50" s="206" t="n"/>
      <c r="AB50" s="206" t="n"/>
      <c r="AC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$C$11/$C$7-$AH$16-$AH$21</f>
        <v/>
      </c>
      <c r="Q51" s="519">
        <f>$C$12/$C$7-$AH$17-$AH$22</f>
        <v/>
      </c>
      <c r="R51" s="92" t="n"/>
      <c r="S51" s="196" t="n"/>
      <c r="T51" s="92" t="n"/>
      <c r="U51" s="206" t="n"/>
      <c r="V51" s="206" t="n"/>
      <c r="W51" s="206" t="n"/>
      <c r="X51" s="94" t="n"/>
      <c r="Y51" s="206" t="n"/>
      <c r="Z51" s="206" t="n"/>
      <c r="AA51" s="206" t="n"/>
      <c r="AB51" s="206" t="n"/>
      <c r="AC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$C$11/$C$7-$AH$16-$AH$21</f>
        <v/>
      </c>
      <c r="Q52" s="519">
        <f>$C$12/$C$7-$AH$17-$AH$22</f>
        <v/>
      </c>
      <c r="R52" s="92" t="n"/>
      <c r="S52" s="196" t="n"/>
      <c r="T52" s="92" t="n"/>
      <c r="U52" s="206" t="n"/>
      <c r="V52" s="206" t="n"/>
      <c r="W52" s="206" t="n"/>
      <c r="X52" s="94" t="n"/>
      <c r="Y52" s="206" t="n"/>
      <c r="Z52" s="206" t="n"/>
      <c r="AA52" s="206" t="n"/>
      <c r="AB52" s="206" t="n"/>
      <c r="AC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$C$11/$C$7-$AH$16-$AH$21</f>
        <v/>
      </c>
      <c r="Q53" s="519">
        <f>$C$12/$C$7-$AH$17-$AH$22</f>
        <v/>
      </c>
      <c r="R53" s="92" t="n"/>
      <c r="S53" s="196" t="n"/>
      <c r="T53" s="92" t="n"/>
      <c r="U53" s="206" t="n"/>
      <c r="V53" s="206" t="n"/>
      <c r="W53" s="206" t="n"/>
      <c r="X53" s="94" t="n"/>
      <c r="Y53" s="206" t="n"/>
      <c r="Z53" s="206" t="n"/>
      <c r="AA53" s="206" t="n"/>
      <c r="AB53" s="206" t="n"/>
      <c r="AC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$C$11/$C$7-$AH$16-$AH$21</f>
        <v/>
      </c>
      <c r="Q54" s="519">
        <f>$C$12/$C$7-$AH$17-$AH$22</f>
        <v/>
      </c>
      <c r="R54" s="92" t="n"/>
      <c r="S54" s="196" t="n"/>
      <c r="T54" s="92" t="n"/>
      <c r="U54" s="206" t="n"/>
      <c r="V54" s="206" t="n"/>
      <c r="W54" s="206" t="n"/>
      <c r="X54" s="94" t="n"/>
      <c r="Y54" s="206" t="n"/>
      <c r="Z54" s="206" t="n"/>
      <c r="AA54" s="206" t="n"/>
      <c r="AB54" s="206" t="n"/>
      <c r="AC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$C$11/$C$7-$AH$16-$AH$21</f>
        <v/>
      </c>
      <c r="Q55" s="519">
        <f>$C$12/$C$7-$AH$17-$AH$22</f>
        <v/>
      </c>
      <c r="R55" s="92" t="n"/>
      <c r="S55" s="196" t="n"/>
      <c r="T55" s="92" t="n"/>
      <c r="U55" s="206" t="n"/>
      <c r="V55" s="206" t="n"/>
      <c r="W55" s="206" t="n"/>
      <c r="X55" s="94" t="n"/>
      <c r="Y55" s="206" t="n"/>
      <c r="Z55" s="206" t="n"/>
      <c r="AA55" s="206" t="n"/>
      <c r="AB55" s="206" t="n"/>
      <c r="AC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$C$11/$C$7-$AH$16-$AH$21</f>
        <v/>
      </c>
      <c r="Q56" s="519">
        <f>$C$12/$C$7-$AH$17-$AH$22</f>
        <v/>
      </c>
      <c r="R56" s="92" t="n"/>
      <c r="S56" s="196" t="n"/>
      <c r="T56" s="92" t="n"/>
      <c r="U56" s="206" t="n"/>
      <c r="V56" s="206" t="n"/>
      <c r="W56" s="206" t="n"/>
      <c r="X56" s="94" t="n"/>
      <c r="Y56" s="206" t="n"/>
      <c r="Z56" s="206" t="n"/>
      <c r="AA56" s="206" t="n"/>
      <c r="AB56" s="206" t="n"/>
      <c r="AC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$C$11/$C$7-$AH$16-$AH$21</f>
        <v/>
      </c>
      <c r="Q57" s="519">
        <f>$C$12/$C$7-$AH$17-$AH$22</f>
        <v/>
      </c>
      <c r="R57" s="92" t="n"/>
      <c r="S57" s="196" t="n"/>
      <c r="T57" s="92" t="n"/>
      <c r="U57" s="206" t="n"/>
      <c r="V57" s="206" t="n"/>
      <c r="W57" s="206" t="n"/>
      <c r="X57" s="94" t="n"/>
      <c r="Y57" s="206" t="n"/>
      <c r="Z57" s="206" t="n"/>
      <c r="AA57" s="206" t="n"/>
      <c r="AB57" s="206" t="n"/>
      <c r="AC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$C$11/$C$7-$AH$16-$AH$21</f>
        <v/>
      </c>
      <c r="Q58" s="519">
        <f>$C$12/$C$7-$AH$17-$AH$22</f>
        <v/>
      </c>
      <c r="R58" s="92" t="n"/>
      <c r="S58" s="196" t="n"/>
      <c r="T58" s="92" t="n"/>
      <c r="U58" s="206" t="n"/>
      <c r="V58" s="206" t="n"/>
      <c r="W58" s="206" t="n"/>
      <c r="X58" s="94" t="n"/>
      <c r="Y58" s="206" t="n"/>
      <c r="Z58" s="206" t="n"/>
      <c r="AA58" s="206" t="n"/>
      <c r="AB58" s="206" t="n"/>
      <c r="AC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$C$11/$C$7-$AH$16-$AH$21</f>
        <v/>
      </c>
      <c r="Q59" s="519">
        <f>$C$12/$C$7-$AH$17-$AH$22</f>
        <v/>
      </c>
      <c r="R59" s="92" t="n"/>
      <c r="S59" s="196" t="n"/>
      <c r="T59" s="92" t="n"/>
      <c r="U59" s="206" t="n"/>
      <c r="V59" s="206" t="n"/>
      <c r="W59" s="206" t="n"/>
      <c r="X59" s="94" t="n"/>
      <c r="Y59" s="206" t="n"/>
      <c r="Z59" s="206" t="n"/>
      <c r="AA59" s="206" t="n"/>
      <c r="AB59" s="206" t="n"/>
      <c r="AC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$C$11/$C$7-$AH$16-$AH$21</f>
        <v/>
      </c>
      <c r="Q60" s="519">
        <f>$C$12/$C$7-$AH$17-$AH$22</f>
        <v/>
      </c>
      <c r="R60" s="92" t="n"/>
      <c r="S60" s="196" t="n"/>
      <c r="T60" s="92" t="n"/>
      <c r="U60" s="206" t="n"/>
      <c r="V60" s="206" t="n"/>
      <c r="W60" s="206" t="n"/>
      <c r="X60" s="94" t="n"/>
      <c r="Y60" s="206" t="n"/>
      <c r="Z60" s="206" t="n"/>
      <c r="AA60" s="206" t="n"/>
      <c r="AB60" s="206" t="n"/>
      <c r="AC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$C$11/$C$7-$AH$16-$AH$21</f>
        <v/>
      </c>
      <c r="Q61" s="519">
        <f>$C$12/$C$7-$AH$17-$AH$22</f>
        <v/>
      </c>
      <c r="R61" s="92" t="n"/>
      <c r="S61" s="196" t="n"/>
      <c r="T61" s="92" t="n"/>
      <c r="U61" s="206" t="n"/>
      <c r="V61" s="206" t="n"/>
      <c r="W61" s="206" t="n"/>
      <c r="X61" s="94" t="n"/>
      <c r="Y61" s="206" t="n"/>
      <c r="Z61" s="206" t="n"/>
      <c r="AA61" s="206" t="n"/>
      <c r="AB61" s="206" t="n"/>
      <c r="AC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$C$11/$C$7-$AH$16-$AH$21</f>
        <v/>
      </c>
      <c r="Q62" s="519">
        <f>$C$12/$C$7-$AH$17-$AH$22</f>
        <v/>
      </c>
      <c r="R62" s="92" t="n"/>
      <c r="S62" s="196" t="n"/>
      <c r="T62" s="92" t="n"/>
      <c r="U62" s="206" t="n"/>
      <c r="V62" s="206" t="n"/>
      <c r="W62" s="206" t="n"/>
      <c r="X62" s="94" t="n"/>
      <c r="Y62" s="206" t="n"/>
      <c r="Z62" s="206" t="n"/>
      <c r="AA62" s="206" t="n"/>
      <c r="AB62" s="206" t="n"/>
      <c r="AC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$C$11/$C$7-$AH$16-$AH$21</f>
        <v/>
      </c>
      <c r="Q63" s="519">
        <f>$C$12/$C$7-$AH$17-$AH$22</f>
        <v/>
      </c>
      <c r="R63" s="92" t="n"/>
      <c r="S63" s="196" t="n"/>
      <c r="T63" s="92" t="n"/>
      <c r="U63" s="206" t="n"/>
      <c r="V63" s="206" t="n"/>
      <c r="W63" s="206" t="n"/>
      <c r="X63" s="94" t="n"/>
      <c r="Y63" s="206" t="n"/>
      <c r="Z63" s="206" t="n"/>
      <c r="AA63" s="206" t="n"/>
      <c r="AB63" s="206" t="n"/>
      <c r="AC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$C$11/$C$7-$AH$16-$AH$21</f>
        <v/>
      </c>
      <c r="Q64" s="519">
        <f>$C$12/$C$7-$AH$17-$AH$22</f>
        <v/>
      </c>
      <c r="R64" s="92" t="n"/>
      <c r="S64" s="196" t="n"/>
      <c r="T64" s="92" t="n"/>
      <c r="U64" s="206" t="n"/>
      <c r="V64" s="206" t="n"/>
      <c r="W64" s="206" t="n"/>
      <c r="X64" s="94" t="n"/>
      <c r="Y64" s="206" t="n"/>
      <c r="Z64" s="206" t="n"/>
      <c r="AA64" s="206" t="n"/>
      <c r="AB64" s="206" t="n"/>
      <c r="AC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$C$11/$C$7-$AH$16-$AH$21</f>
        <v/>
      </c>
      <c r="Q65" s="519">
        <f>$C$12/$C$7-$AH$17-$AH$22</f>
        <v/>
      </c>
      <c r="R65" s="92" t="n"/>
      <c r="S65" s="196" t="n"/>
      <c r="T65" s="92" t="n"/>
      <c r="U65" s="206" t="n"/>
      <c r="V65" s="206" t="n"/>
      <c r="W65" s="206" t="n"/>
      <c r="X65" s="94" t="n"/>
      <c r="Y65" s="206" t="n"/>
      <c r="Z65" s="206" t="n"/>
      <c r="AA65" s="206" t="n"/>
      <c r="AB65" s="206" t="n"/>
      <c r="AC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$C$11/$C$7-$AH$16-$AH$21</f>
        <v/>
      </c>
      <c r="Q66" s="519">
        <f>$C$12/$C$7-$AH$17-$AH$22</f>
        <v/>
      </c>
      <c r="R66" s="92" t="n"/>
      <c r="S66" s="196" t="n"/>
      <c r="T66" s="92" t="n"/>
      <c r="U66" s="206" t="n"/>
      <c r="V66" s="206" t="n"/>
      <c r="W66" s="206" t="n"/>
      <c r="X66" s="94" t="n"/>
      <c r="Y66" s="206" t="n"/>
      <c r="Z66" s="206" t="n"/>
      <c r="AA66" s="206" t="n"/>
      <c r="AB66" s="206" t="n"/>
      <c r="AC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$C$11/$C$7-$AH$16-$AH$21</f>
        <v/>
      </c>
      <c r="Q67" s="519">
        <f>$C$12/$C$7-$AH$17-$AH$22</f>
        <v/>
      </c>
      <c r="R67" s="92" t="n"/>
      <c r="S67" s="196" t="n"/>
      <c r="T67" s="92" t="n"/>
      <c r="U67" s="206" t="n"/>
      <c r="V67" s="206" t="n"/>
      <c r="W67" s="206" t="n"/>
      <c r="X67" s="94" t="n"/>
      <c r="Y67" s="206" t="n"/>
      <c r="Z67" s="206" t="n"/>
      <c r="AA67" s="206" t="n"/>
      <c r="AB67" s="206" t="n"/>
      <c r="AC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$C$11/$C$7-$AH$16-$AH$21</f>
        <v/>
      </c>
      <c r="Q68" s="519">
        <f>$C$12/$C$7-$AH$17-$AH$22</f>
        <v/>
      </c>
      <c r="R68" s="92" t="n"/>
      <c r="S68" s="196" t="n"/>
      <c r="T68" s="92" t="n"/>
      <c r="U68" s="206" t="n"/>
      <c r="V68" s="206" t="n"/>
      <c r="W68" s="206" t="n"/>
      <c r="X68" s="94" t="n"/>
      <c r="Y68" s="206" t="n"/>
      <c r="Z68" s="206" t="n"/>
      <c r="AA68" s="206" t="n"/>
      <c r="AB68" s="206" t="n"/>
      <c r="AC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$C$11/$C$7-$AH$16-$AH$21</f>
        <v/>
      </c>
      <c r="Q69" s="519">
        <f>$C$12/$C$7-$AH$17-$AH$22</f>
        <v/>
      </c>
      <c r="R69" s="92" t="n"/>
      <c r="S69" s="196" t="n"/>
      <c r="T69" s="92" t="n"/>
      <c r="U69" s="206" t="n"/>
      <c r="V69" s="206" t="n"/>
      <c r="W69" s="206" t="n"/>
      <c r="X69" s="94" t="n"/>
      <c r="Y69" s="206" t="n"/>
      <c r="Z69" s="206" t="n"/>
      <c r="AA69" s="206" t="n"/>
      <c r="AB69" s="206" t="n"/>
      <c r="AC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$C$11/$C$7-$AH$16-$AH$21</f>
        <v/>
      </c>
      <c r="Q70" s="519">
        <f>$C$12/$C$7-$AH$17-$AH$22</f>
        <v/>
      </c>
      <c r="R70" s="92" t="n"/>
      <c r="S70" s="196" t="n"/>
      <c r="T70" s="92" t="n"/>
      <c r="U70" s="206" t="n"/>
      <c r="V70" s="206" t="n"/>
      <c r="W70" s="206" t="n"/>
      <c r="X70" s="94" t="n"/>
      <c r="Y70" s="206" t="n"/>
      <c r="Z70" s="206" t="n"/>
      <c r="AA70" s="206" t="n"/>
      <c r="AB70" s="206" t="n"/>
      <c r="AC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$C$11/$C$7-$AH$16-$AH$21</f>
        <v/>
      </c>
      <c r="Q71" s="519">
        <f>$C$12/$C$7-$AH$17-$AH$22</f>
        <v/>
      </c>
      <c r="R71" s="92" t="n"/>
      <c r="S71" s="196" t="n"/>
      <c r="T71" s="92" t="n"/>
      <c r="U71" s="206" t="n"/>
      <c r="V71" s="206" t="n"/>
      <c r="W71" s="206" t="n"/>
      <c r="X71" s="94" t="n"/>
      <c r="Y71" s="206" t="n"/>
      <c r="Z71" s="206" t="n"/>
      <c r="AA71" s="206" t="n"/>
      <c r="AB71" s="206" t="n"/>
      <c r="AC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$C$11/$C$7-$AH$16-$AH$21</f>
        <v/>
      </c>
      <c r="Q72" s="519">
        <f>$C$12/$C$7-$AH$17-$AH$22</f>
        <v/>
      </c>
      <c r="R72" s="92" t="n"/>
      <c r="S72" s="196" t="n"/>
      <c r="T72" s="92" t="n"/>
      <c r="U72" s="206" t="n"/>
      <c r="V72" s="206" t="n"/>
      <c r="W72" s="206" t="n"/>
      <c r="X72" s="94" t="n"/>
      <c r="Y72" s="206" t="n"/>
      <c r="Z72" s="206" t="n"/>
      <c r="AA72" s="206" t="n"/>
      <c r="AB72" s="206" t="n"/>
      <c r="AC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$C$11/$C$7-$AH$16-$AH$21</f>
        <v/>
      </c>
      <c r="Q73" s="519">
        <f>$C$12/$C$7-$AH$17-$AH$22</f>
        <v/>
      </c>
      <c r="R73" s="92" t="n"/>
      <c r="S73" s="196" t="n"/>
      <c r="T73" s="92" t="n"/>
      <c r="U73" s="206" t="n"/>
      <c r="V73" s="206" t="n"/>
      <c r="W73" s="206" t="n"/>
      <c r="X73" s="94" t="n"/>
      <c r="Y73" s="206" t="n"/>
      <c r="Z73" s="206" t="n"/>
      <c r="AA73" s="206" t="n"/>
      <c r="AB73" s="206" t="n"/>
      <c r="AC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$C$11/$C$7-$AH$16-$AH$21</f>
        <v/>
      </c>
      <c r="Q74" s="519">
        <f>$C$12/$C$7-$AH$17-$AH$22</f>
        <v/>
      </c>
      <c r="R74" s="92" t="n"/>
      <c r="S74" s="196" t="n"/>
      <c r="T74" s="92" t="n"/>
      <c r="U74" s="206" t="n"/>
      <c r="V74" s="206" t="n"/>
      <c r="W74" s="206" t="n"/>
      <c r="X74" s="94" t="n"/>
      <c r="Y74" s="206" t="n"/>
      <c r="Z74" s="206" t="n"/>
      <c r="AA74" s="206" t="n"/>
      <c r="AB74" s="206" t="n"/>
      <c r="AC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$C$11/$C$7-$AH$16-$AH$21</f>
        <v/>
      </c>
      <c r="Q75" s="519">
        <f>$C$12/$C$7-$AH$17-$AH$22</f>
        <v/>
      </c>
      <c r="R75" s="92" t="n"/>
      <c r="S75" s="196" t="n"/>
      <c r="T75" s="92" t="n"/>
      <c r="U75" s="206" t="n"/>
      <c r="V75" s="206" t="n"/>
      <c r="W75" s="206" t="n"/>
      <c r="X75" s="94" t="n"/>
      <c r="Y75" s="206" t="n"/>
      <c r="Z75" s="206" t="n"/>
      <c r="AA75" s="206" t="n"/>
      <c r="AB75" s="206" t="n"/>
      <c r="AC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$C$11/$C$7-$AH$16-$AH$21</f>
        <v/>
      </c>
      <c r="Q76" s="519">
        <f>$C$12/$C$7-$AH$17-$AH$22</f>
        <v/>
      </c>
      <c r="R76" s="92" t="n"/>
      <c r="S76" s="196" t="n"/>
      <c r="T76" s="92" t="n"/>
      <c r="U76" s="206" t="n"/>
      <c r="V76" s="206" t="n"/>
      <c r="W76" s="206" t="n"/>
      <c r="X76" s="94" t="n"/>
      <c r="Y76" s="206" t="n"/>
      <c r="Z76" s="206" t="n"/>
      <c r="AA76" s="206" t="n"/>
      <c r="AB76" s="206" t="n"/>
      <c r="AC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($C$11/$C$7-$AH$16-$AH$21)-P5</f>
        <v/>
      </c>
      <c r="Q77" s="642">
        <f>($C$12/$C$7-$AH$17-$AH$22)-Q5</f>
        <v/>
      </c>
      <c r="R77" s="59" t="n"/>
      <c r="S77" s="12" t="n"/>
      <c r="T77" s="59" t="n"/>
      <c r="U77" s="95" t="n"/>
      <c r="V77" s="95" t="n"/>
      <c r="W77" s="95" t="n"/>
      <c r="X77" s="97" t="n"/>
      <c r="Y77" s="95" t="n"/>
      <c r="Z77" s="95" t="n"/>
      <c r="AA77" s="95" t="n"/>
      <c r="AB77" s="95" t="n"/>
      <c r="AC77" s="97" t="n"/>
    </row>
    <row r="78">
      <c r="O78" s="500" t="n"/>
    </row>
  </sheetData>
  <mergeCells count="1">
    <mergeCell ref="A20:A26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/>
  </sheetPr>
  <dimension ref="A2:AO79"/>
  <sheetViews>
    <sheetView showGridLines="0" topLeftCell="I1" zoomScale="60" zoomScaleNormal="60" workbookViewId="0">
      <selection activeCell="AG33" sqref="AG33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5.3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0"/>
    <col width="13" customWidth="1" style="497" min="11" max="11"/>
    <col width="13" bestFit="1" customWidth="1" style="497" min="12" max="12"/>
    <col width="11.6875" bestFit="1" customWidth="1" style="497" min="13" max="13"/>
    <col width="10.1875" bestFit="1" customWidth="1" style="497" min="14" max="14"/>
    <col width="10.1875" customWidth="1" style="497" min="15" max="15"/>
    <col width="11.6875" bestFit="1" customWidth="1" style="497" min="16" max="16"/>
    <col width="11.6875" customWidth="1" style="497" min="17" max="17"/>
    <col width="11.6875" bestFit="1" customWidth="1" style="497" min="18" max="19"/>
    <col width="9.375" bestFit="1" customWidth="1" style="497" min="20" max="20"/>
    <col width="9.375" customWidth="1" style="497" min="21" max="21"/>
    <col width="11.1875" bestFit="1" customWidth="1" style="497" min="22" max="22"/>
    <col width="7.375" bestFit="1" customWidth="1" style="497" min="23" max="23"/>
    <col width="13.5" bestFit="1" customWidth="1" style="497" min="24" max="24"/>
    <col width="11.875" bestFit="1" customWidth="1" style="497" min="25" max="26"/>
    <col width="14" bestFit="1" customWidth="1" style="497" min="27" max="27"/>
    <col outlineLevel="1" width="14" customWidth="1" style="497" min="28" max="31"/>
    <col width="11.375" bestFit="1" customWidth="1" style="497" min="32" max="32"/>
    <col width="15.375" bestFit="1" customWidth="1" style="497" min="34" max="34"/>
    <col width="12.375" bestFit="1" customWidth="1" style="497" min="35" max="35"/>
    <col width="11.125" bestFit="1" customWidth="1" style="497" min="36" max="36"/>
    <col width="12.375" bestFit="1" customWidth="1" style="497" min="40" max="40"/>
    <col width="11.125" bestFit="1" customWidth="1" style="497" min="41" max="41"/>
  </cols>
  <sheetData>
    <row r="2">
      <c r="I2" s="8" t="inlineStr">
        <is>
          <t>SUM =</t>
        </is>
      </c>
      <c r="J2" s="500">
        <f>SUM(J6:J78)</f>
        <v/>
      </c>
      <c r="K2" s="500">
        <f>SUM(K6:K78)</f>
        <v/>
      </c>
      <c r="L2" s="500">
        <f>SUM(L6:L78)</f>
        <v/>
      </c>
      <c r="M2" s="500">
        <f>SUM(M6:M78)</f>
        <v/>
      </c>
      <c r="N2" s="500">
        <f>SUM(N6:N78)</f>
        <v/>
      </c>
      <c r="O2" s="500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X2" s="206" t="inlineStr">
        <is>
          <t>* 위약금은 비과세로 총구독료(v+)기준으로 계산</t>
        </is>
      </c>
    </row>
    <row r="3">
      <c r="I3" s="8" t="n"/>
      <c r="J3" s="501" t="inlineStr">
        <is>
          <t>기본 (v-)</t>
        </is>
      </c>
      <c r="K3" s="502" t="n"/>
      <c r="L3" s="502" t="n"/>
      <c r="M3" s="502" t="n"/>
      <c r="N3" s="503" t="n"/>
      <c r="O3" s="502" t="n"/>
      <c r="P3" s="75" t="inlineStr">
        <is>
          <t>선납+선납할인 시 (v-)</t>
        </is>
      </c>
      <c r="Q3" s="76" t="n"/>
      <c r="R3" s="76" t="n"/>
      <c r="S3" s="76" t="n"/>
      <c r="T3" s="76" t="n"/>
      <c r="U3" s="76" t="n"/>
      <c r="V3" s="75" t="inlineStr">
        <is>
          <t>중도해지 시 (v-)</t>
        </is>
      </c>
      <c r="W3" s="70" t="n"/>
      <c r="X3" s="70" t="n"/>
      <c r="Y3" s="70" t="n"/>
      <c r="Z3" s="70" t="n"/>
      <c r="AA3" s="71" t="n"/>
      <c r="AB3" s="75" t="inlineStr">
        <is>
          <t>중도해지 시 (v+)</t>
        </is>
      </c>
      <c r="AC3" s="70" t="n"/>
      <c r="AD3" s="70" t="n"/>
      <c r="AE3" s="71" t="n"/>
      <c r="AK3" s="500" t="n"/>
    </row>
    <row r="4">
      <c r="I4" s="8" t="n"/>
      <c r="J4" s="264" t="inlineStr">
        <is>
          <t>구독료청구</t>
        </is>
      </c>
      <c r="K4" s="643" t="inlineStr">
        <is>
          <t>파손 제외 구독료</t>
        </is>
      </c>
      <c r="L4" s="560" t="n"/>
      <c r="M4" s="560" t="n"/>
      <c r="N4" s="561" t="n"/>
      <c r="O4" s="644" t="inlineStr">
        <is>
          <t>파손보험</t>
        </is>
      </c>
      <c r="P4" s="264" t="inlineStr">
        <is>
          <t>구독료청구</t>
        </is>
      </c>
      <c r="Q4" s="643" t="inlineStr">
        <is>
          <t>파손 제외 구독료</t>
        </is>
      </c>
      <c r="R4" s="560" t="n"/>
      <c r="S4" s="560" t="n"/>
      <c r="T4" s="561" t="n"/>
      <c r="U4" s="645" t="inlineStr">
        <is>
          <t>파손보험</t>
        </is>
      </c>
      <c r="V4" s="264" t="inlineStr">
        <is>
          <t>제품판정일</t>
        </is>
      </c>
      <c r="W4" s="264" t="inlineStr">
        <is>
          <t>경과일</t>
        </is>
      </c>
      <c r="X4" s="261" t="inlineStr">
        <is>
          <t>위약금</t>
        </is>
      </c>
      <c r="Y4" s="121" t="inlineStr">
        <is>
          <t>사용분 청구</t>
        </is>
      </c>
      <c r="Z4" s="121" t="inlineStr">
        <is>
          <t>할인금 회수</t>
        </is>
      </c>
      <c r="AA4" s="269" t="inlineStr">
        <is>
          <t>선납잔액 환불</t>
        </is>
      </c>
      <c r="AB4" s="261" t="inlineStr">
        <is>
          <t>위약금</t>
        </is>
      </c>
      <c r="AC4" s="121" t="inlineStr">
        <is>
          <t>사용분 청구</t>
        </is>
      </c>
      <c r="AD4" s="121" t="inlineStr">
        <is>
          <t>할인금 회수</t>
        </is>
      </c>
      <c r="AE4" s="269" t="inlineStr">
        <is>
          <t>선납잔액 환불</t>
        </is>
      </c>
      <c r="AK4" s="500" t="n"/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65" t="n"/>
      <c r="K5" s="270" t="n"/>
      <c r="L5" s="26" t="inlineStr">
        <is>
          <t>제품</t>
        </is>
      </c>
      <c r="M5" s="15" t="inlineStr">
        <is>
          <t>케어</t>
        </is>
      </c>
      <c r="N5" s="27" t="inlineStr">
        <is>
          <t>보증</t>
        </is>
      </c>
      <c r="O5" s="265" t="n"/>
      <c r="P5" s="265" t="n"/>
      <c r="Q5" s="270" t="n"/>
      <c r="R5" s="26" t="inlineStr">
        <is>
          <t>제품</t>
        </is>
      </c>
      <c r="S5" s="15" t="inlineStr">
        <is>
          <t>케어</t>
        </is>
      </c>
      <c r="T5" s="27" t="inlineStr">
        <is>
          <t>보증</t>
        </is>
      </c>
      <c r="U5" s="265" t="n"/>
      <c r="V5" s="265" t="n"/>
      <c r="W5" s="265" t="n"/>
      <c r="X5" s="270" t="n"/>
      <c r="Y5" s="271" t="n"/>
      <c r="Z5" s="271" t="n"/>
      <c r="AA5" s="272" t="n"/>
      <c r="AB5" s="270" t="n"/>
      <c r="AC5" s="271" t="n"/>
      <c r="AD5" s="271" t="n"/>
      <c r="AE5" s="272" t="n"/>
      <c r="AH5" s="273" t="inlineStr">
        <is>
          <t>사용분 청구 (v-)</t>
        </is>
      </c>
      <c r="AI5" s="274" t="n"/>
      <c r="AJ5" s="274" t="n"/>
      <c r="AK5" s="274" t="n"/>
      <c r="AL5" s="124" t="n"/>
    </row>
    <row r="6">
      <c r="B6" s="9" t="inlineStr">
        <is>
          <t>모델코드</t>
        </is>
      </c>
      <c r="C6" s="6" t="inlineStr">
        <is>
          <t>SM-X920NZAAKOO</t>
        </is>
      </c>
      <c r="F6" s="101" t="inlineStr">
        <is>
          <t>1회차</t>
        </is>
      </c>
      <c r="G6" s="102" t="n">
        <v>45912</v>
      </c>
      <c r="H6" s="102" t="n">
        <v>45930</v>
      </c>
      <c r="I6" s="103">
        <f>EOMONTH(G6,0)+15</f>
        <v/>
      </c>
      <c r="J6" s="515">
        <f>K6+O6</f>
        <v/>
      </c>
      <c r="K6" s="646">
        <f>ROUNDDOWN(($C$20/1.1/$C$8)*(H6-G6+1)/DAY(H6),-2)</f>
        <v/>
      </c>
      <c r="L6" s="516">
        <f>K6-M6-N6</f>
        <v/>
      </c>
      <c r="M6" s="517">
        <f>ROUNDDOWN(($C$12/$C$8)*(H6-G6+1)/DAY(H6),-2)</f>
        <v/>
      </c>
      <c r="N6" s="518">
        <f>ROUNDDOWN(($C$13/$C$8)*(H6-G6+1)/DAY(H6),-2)</f>
        <v/>
      </c>
      <c r="O6" s="518">
        <f>ROUNDDOWN(($C$14/$C$8)*(H6-G6+1)/DAY(H6),-2)</f>
        <v/>
      </c>
      <c r="P6" s="515">
        <f>Q6+U6</f>
        <v/>
      </c>
      <c r="Q6" s="646">
        <f>ROUNDDOWN(($C$41/1.1/$C$8)*(H6-G6+1)/DAY(H6),-2)</f>
        <v/>
      </c>
      <c r="R6" s="516">
        <f>Q6-S6-T6</f>
        <v/>
      </c>
      <c r="S6" s="500">
        <f>ROUNDDOWN(($C$12/$C$8-AJ17-AJ22)*(H6-G6+1)/DAY(H6),-2)</f>
        <v/>
      </c>
      <c r="T6" s="519">
        <f>ROUNDDOWN(($C$13/$C$8-AJ18-AJ23)*(H6-G6+1)/DAY(H6),-2)</f>
        <v/>
      </c>
      <c r="U6" s="500">
        <f>O6</f>
        <v/>
      </c>
      <c r="V6" s="55" t="n"/>
      <c r="W6" s="54">
        <f>H6-G6+1</f>
        <v/>
      </c>
      <c r="X6" s="55" t="n"/>
      <c r="Y6" s="626" t="n"/>
      <c r="Z6" s="627" t="n"/>
      <c r="AA6" s="91" t="n"/>
      <c r="AB6" s="55" t="n"/>
      <c r="AC6" s="626" t="n"/>
      <c r="AD6" s="627" t="n"/>
      <c r="AE6" s="91" t="n"/>
      <c r="AH6" s="130" t="n"/>
      <c r="AI6" s="9" t="inlineStr">
        <is>
          <t>제품</t>
        </is>
      </c>
      <c r="AJ6" s="9" t="inlineStr">
        <is>
          <t>케어</t>
        </is>
      </c>
      <c r="AK6" s="9" t="inlineStr">
        <is>
          <t>보증</t>
        </is>
      </c>
      <c r="AL6" s="9" t="inlineStr">
        <is>
          <t>파손</t>
        </is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K7+O7</f>
        <v/>
      </c>
      <c r="K7" s="646">
        <f>$C$20/1.1/$C$8</f>
        <v/>
      </c>
      <c r="L7" s="516">
        <f>K7-M7-N7</f>
        <v/>
      </c>
      <c r="M7" s="517">
        <f>$C$12/$C$8</f>
        <v/>
      </c>
      <c r="N7" s="518">
        <f>$C$13/$C$8</f>
        <v/>
      </c>
      <c r="O7" s="518">
        <f>$C$14/$C$8</f>
        <v/>
      </c>
      <c r="P7" s="515">
        <f>Q7+U7</f>
        <v/>
      </c>
      <c r="Q7" s="646">
        <f>$C$41/1.1/$C$8</f>
        <v/>
      </c>
      <c r="R7" s="516">
        <f>Q7-S7-T7</f>
        <v/>
      </c>
      <c r="S7" s="500">
        <f>$C$12/$C$8-$AJ$17-$AJ$22</f>
        <v/>
      </c>
      <c r="T7" s="519">
        <f>$C$13/$C$8-$AJ$18-$AJ$23</f>
        <v/>
      </c>
      <c r="U7" s="500">
        <f>O7</f>
        <v/>
      </c>
      <c r="V7" s="92" t="n"/>
      <c r="W7" s="196">
        <f>H7-G7+1</f>
        <v/>
      </c>
      <c r="X7" s="92" t="n"/>
      <c r="AA7" s="94" t="n"/>
      <c r="AB7" s="92" t="n"/>
      <c r="AE7" s="94" t="n"/>
      <c r="AH7" s="527">
        <f>Y25</f>
        <v/>
      </c>
      <c r="AI7" s="527">
        <f>ROUNDDOWN(Q25*W25/DAY(H25),-2)-AJ7-AK7</f>
        <v/>
      </c>
      <c r="AJ7" s="2">
        <f>ROUNDDOWN(S25*W25/DAY(H25),-2)</f>
        <v/>
      </c>
      <c r="AK7" s="2">
        <f>ROUNDDOWN(T25*W25/DAY(H25),-2)</f>
        <v/>
      </c>
      <c r="AL7" s="2">
        <f>ROUNDDOWN(U25*W25/DAY(H25),-1)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K8+O8</f>
        <v/>
      </c>
      <c r="K8" s="646">
        <f>$C$20/1.1/$C$8</f>
        <v/>
      </c>
      <c r="L8" s="516">
        <f>K8-M8-N8</f>
        <v/>
      </c>
      <c r="M8" s="517">
        <f>$C$12/$C$8</f>
        <v/>
      </c>
      <c r="N8" s="518">
        <f>$C$13/$C$8</f>
        <v/>
      </c>
      <c r="O8" s="518">
        <f>$C$14/$C$8</f>
        <v/>
      </c>
      <c r="P8" s="515">
        <f>Q8+U8</f>
        <v/>
      </c>
      <c r="Q8" s="646">
        <f>$C$41/1.1/$C$8</f>
        <v/>
      </c>
      <c r="R8" s="516">
        <f>Q8-S8-T8</f>
        <v/>
      </c>
      <c r="S8" s="500">
        <f>$C$12/$C$8-$AJ$17-$AJ$22</f>
        <v/>
      </c>
      <c r="T8" s="519">
        <f>$C$13/$C$8-$AJ$18-$AJ$23</f>
        <v/>
      </c>
      <c r="U8" s="500">
        <f>O8</f>
        <v/>
      </c>
      <c r="V8" s="92" t="n"/>
      <c r="W8" s="196">
        <f>H8-G8+1</f>
        <v/>
      </c>
      <c r="X8" s="92" t="n"/>
      <c r="AA8" s="94" t="n"/>
      <c r="AB8" s="92" t="n"/>
      <c r="AE8" s="94" t="n"/>
      <c r="AH8" s="505" t="n"/>
      <c r="AI8" s="505" t="n"/>
      <c r="AJ8" s="505" t="n"/>
      <c r="AK8" s="505" t="n"/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K9+O9</f>
        <v/>
      </c>
      <c r="K9" s="646">
        <f>$C$20/1.1/$C$8</f>
        <v/>
      </c>
      <c r="L9" s="516">
        <f>K9-M9-N9</f>
        <v/>
      </c>
      <c r="M9" s="517">
        <f>$C$12/$C$8</f>
        <v/>
      </c>
      <c r="N9" s="518">
        <f>$C$13/$C$8</f>
        <v/>
      </c>
      <c r="O9" s="518">
        <f>$C$14/$C$8</f>
        <v/>
      </c>
      <c r="P9" s="515">
        <f>Q9+U9</f>
        <v/>
      </c>
      <c r="Q9" s="646">
        <f>$C$41/1.1/$C$8</f>
        <v/>
      </c>
      <c r="R9" s="516">
        <f>Q9-S9-T9</f>
        <v/>
      </c>
      <c r="S9" s="500">
        <f>$C$12/$C$8-$AJ$17-$AJ$22</f>
        <v/>
      </c>
      <c r="T9" s="519">
        <f>$C$13/$C$8-$AJ$18-$AJ$23</f>
        <v/>
      </c>
      <c r="U9" s="500">
        <f>O9</f>
        <v/>
      </c>
      <c r="V9" s="92" t="n"/>
      <c r="W9" s="196">
        <f>H9-G9+1</f>
        <v/>
      </c>
      <c r="X9" s="92" t="n"/>
      <c r="AA9" s="94" t="n"/>
      <c r="AB9" s="92" t="n"/>
      <c r="AE9" s="94" t="n"/>
      <c r="AH9" s="206" t="inlineStr">
        <is>
          <t>* 분실료, 파손료는 비과세로 혜택가(v+)기준으로 계산</t>
        </is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K10+O10</f>
        <v/>
      </c>
      <c r="K10" s="646">
        <f>$C$20/1.1/$C$8</f>
        <v/>
      </c>
      <c r="L10" s="516">
        <f>K10-M10-N10</f>
        <v/>
      </c>
      <c r="M10" s="517">
        <f>$C$12/$C$8</f>
        <v/>
      </c>
      <c r="N10" s="518">
        <f>$C$13/$C$8</f>
        <v/>
      </c>
      <c r="O10" s="518">
        <f>$C$14/$C$8</f>
        <v/>
      </c>
      <c r="P10" s="515">
        <f>Q10+U10</f>
        <v/>
      </c>
      <c r="Q10" s="646">
        <f>$C$41/1.1/$C$8</f>
        <v/>
      </c>
      <c r="R10" s="516">
        <f>Q10-S10-T10</f>
        <v/>
      </c>
      <c r="S10" s="500">
        <f>$C$12/$C$8-$AJ$17-$AJ$22</f>
        <v/>
      </c>
      <c r="T10" s="519">
        <f>$C$13/$C$8-$AJ$18-$AJ$23</f>
        <v/>
      </c>
      <c r="U10" s="500">
        <f>O10</f>
        <v/>
      </c>
      <c r="V10" s="92" t="n"/>
      <c r="W10" s="196">
        <f>H10-G10+1</f>
        <v/>
      </c>
      <c r="X10" s="92" t="n"/>
      <c r="AA10" s="94" t="n"/>
      <c r="AB10" s="92" t="n"/>
      <c r="AE10" s="94" t="n"/>
      <c r="AH10" s="9" t="inlineStr">
        <is>
          <t>분실료</t>
        </is>
      </c>
      <c r="AI10" s="9" t="inlineStr">
        <is>
          <t>파손료</t>
        </is>
      </c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K11+O11</f>
        <v/>
      </c>
      <c r="K11" s="646">
        <f>$C$20/1.1/$C$8</f>
        <v/>
      </c>
      <c r="L11" s="516">
        <f>K11-M11-N11</f>
        <v/>
      </c>
      <c r="M11" s="517">
        <f>$C$12/$C$8</f>
        <v/>
      </c>
      <c r="N11" s="518">
        <f>$C$13/$C$8</f>
        <v/>
      </c>
      <c r="O11" s="518">
        <f>$C$14/$C$8</f>
        <v/>
      </c>
      <c r="P11" s="515">
        <f>Q11+U11</f>
        <v/>
      </c>
      <c r="Q11" s="646">
        <f>$C$41/1.1/$C$8</f>
        <v/>
      </c>
      <c r="R11" s="516">
        <f>Q11-S11-T11</f>
        <v/>
      </c>
      <c r="S11" s="500">
        <f>$C$12/$C$8-$AJ$17-$AJ$22</f>
        <v/>
      </c>
      <c r="T11" s="519">
        <f>$C$13/$C$8-$AJ$18-$AJ$23</f>
        <v/>
      </c>
      <c r="U11" s="500">
        <f>O11</f>
        <v/>
      </c>
      <c r="V11" s="92" t="n"/>
      <c r="W11" s="196">
        <f>H11-G11+1</f>
        <v/>
      </c>
      <c r="X11" s="92" t="n"/>
      <c r="AA11" s="94" t="n"/>
      <c r="AB11" s="92" t="n"/>
      <c r="AE11" s="94" t="n"/>
      <c r="AH11" s="507">
        <f>ROUNDDOWN((C11*1.1)*(C9-SUM(W6:W25))/C9,-1)</f>
        <v/>
      </c>
      <c r="AI11" s="506">
        <f>ROUNDDOWN(AH11*50%,-1)</f>
        <v/>
      </c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K12+O12</f>
        <v/>
      </c>
      <c r="K12" s="646">
        <f>$C$20/1.1/$C$8</f>
        <v/>
      </c>
      <c r="L12" s="516">
        <f>K12-M12-N12</f>
        <v/>
      </c>
      <c r="M12" s="517">
        <f>$C$12/$C$8</f>
        <v/>
      </c>
      <c r="N12" s="518">
        <f>$C$13/$C$8</f>
        <v/>
      </c>
      <c r="O12" s="518">
        <f>$C$14/$C$8</f>
        <v/>
      </c>
      <c r="P12" s="515">
        <f>Q12+U12</f>
        <v/>
      </c>
      <c r="Q12" s="646">
        <f>$C$41/1.1/$C$8</f>
        <v/>
      </c>
      <c r="R12" s="516">
        <f>Q12-S12-T12</f>
        <v/>
      </c>
      <c r="S12" s="500">
        <f>$C$12/$C$8-$AJ$17-$AJ$22</f>
        <v/>
      </c>
      <c r="T12" s="519">
        <f>$C$13/$C$8-$AJ$18-$AJ$23</f>
        <v/>
      </c>
      <c r="U12" s="500">
        <f>O12</f>
        <v/>
      </c>
      <c r="V12" s="92" t="n"/>
      <c r="W12" s="196">
        <f>H12-G12+1</f>
        <v/>
      </c>
      <c r="X12" s="92" t="n"/>
      <c r="AA12" s="94" t="n"/>
      <c r="AB12" s="92" t="n"/>
      <c r="AE12" s="94" t="n"/>
      <c r="AH12" s="517">
        <f>ROUNDDOWN((C11*1.1)*(H78-V25+1)/C9,-1)</f>
        <v/>
      </c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K13+O13</f>
        <v/>
      </c>
      <c r="K13" s="646">
        <f>$C$20/1.1/$C$8</f>
        <v/>
      </c>
      <c r="L13" s="516">
        <f>K13-M13-N13</f>
        <v/>
      </c>
      <c r="M13" s="517">
        <f>$C$12/$C$8</f>
        <v/>
      </c>
      <c r="N13" s="518">
        <f>$C$13/$C$8</f>
        <v/>
      </c>
      <c r="O13" s="518">
        <f>$C$14/$C$8</f>
        <v/>
      </c>
      <c r="P13" s="515">
        <f>Q13+U13</f>
        <v/>
      </c>
      <c r="Q13" s="646">
        <f>$C$41/1.1/$C$8</f>
        <v/>
      </c>
      <c r="R13" s="516">
        <f>Q13-S13-T13</f>
        <v/>
      </c>
      <c r="S13" s="500">
        <f>$C$12/$C$8-$AJ$17-$AJ$22</f>
        <v/>
      </c>
      <c r="T13" s="519">
        <f>$C$13/$C$8-$AJ$18-$AJ$23</f>
        <v/>
      </c>
      <c r="U13" s="500">
        <f>O13</f>
        <v/>
      </c>
      <c r="V13" s="92" t="n"/>
      <c r="W13" s="196">
        <f>H13-G13+1</f>
        <v/>
      </c>
      <c r="X13" s="92" t="n"/>
      <c r="AA13" s="94" t="n"/>
      <c r="AB13" s="92" t="n"/>
      <c r="AE13" s="94" t="n"/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K14+O14</f>
        <v/>
      </c>
      <c r="K14" s="646">
        <f>$C$20/1.1/$C$8</f>
        <v/>
      </c>
      <c r="L14" s="516">
        <f>K14-M14-N14</f>
        <v/>
      </c>
      <c r="M14" s="517">
        <f>$C$12/$C$8</f>
        <v/>
      </c>
      <c r="N14" s="518">
        <f>$C$13/$C$8</f>
        <v/>
      </c>
      <c r="O14" s="518">
        <f>$C$14/$C$8</f>
        <v/>
      </c>
      <c r="P14" s="515">
        <f>Q14+U14</f>
        <v/>
      </c>
      <c r="Q14" s="646">
        <f>$C$41/1.1/$C$8</f>
        <v/>
      </c>
      <c r="R14" s="516">
        <f>Q14-S14-T14</f>
        <v/>
      </c>
      <c r="S14" s="500">
        <f>$C$12/$C$8-$AJ$17-$AJ$22</f>
        <v/>
      </c>
      <c r="T14" s="519">
        <f>$C$13/$C$8-$AJ$18-$AJ$23</f>
        <v/>
      </c>
      <c r="U14" s="500">
        <f>O14</f>
        <v/>
      </c>
      <c r="V14" s="92" t="n"/>
      <c r="W14" s="196">
        <f>H14-G14+1</f>
        <v/>
      </c>
      <c r="X14" s="92" t="n"/>
      <c r="AA14" s="94" t="n"/>
      <c r="AB14" s="92" t="n"/>
      <c r="AE14" s="94" t="n"/>
      <c r="AH14" s="206" t="inlineStr">
        <is>
          <t>v- 100단위 조정</t>
        </is>
      </c>
      <c r="AL14" s="206" t="inlineStr">
        <is>
          <t>v- 소수점만 제거</t>
        </is>
      </c>
      <c r="AO14" s="206" t="inlineStr">
        <is>
          <t>V+</t>
        </is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K15+O15</f>
        <v/>
      </c>
      <c r="K15" s="646">
        <f>$C$20/1.1/$C$8</f>
        <v/>
      </c>
      <c r="L15" s="516">
        <f>K15-M15-N15</f>
        <v/>
      </c>
      <c r="M15" s="517">
        <f>$C$12/$C$8</f>
        <v/>
      </c>
      <c r="N15" s="518">
        <f>$C$13/$C$8</f>
        <v/>
      </c>
      <c r="O15" s="518">
        <f>$C$14/$C$8</f>
        <v/>
      </c>
      <c r="P15" s="515">
        <f>Q15+U15</f>
        <v/>
      </c>
      <c r="Q15" s="646">
        <f>$C$41/1.1/$C$8</f>
        <v/>
      </c>
      <c r="R15" s="516">
        <f>Q15-S15-T15</f>
        <v/>
      </c>
      <c r="S15" s="500">
        <f>$C$12/$C$8-$AJ$17-$AJ$22</f>
        <v/>
      </c>
      <c r="T15" s="519">
        <f>$C$13/$C$8-$AJ$18-$AJ$23</f>
        <v/>
      </c>
      <c r="U15" s="500">
        <f>O15</f>
        <v/>
      </c>
      <c r="V15" s="92" t="n"/>
      <c r="W15" s="196">
        <f>H15-G15+1</f>
        <v/>
      </c>
      <c r="X15" s="92" t="n"/>
      <c r="AA15" s="94" t="n"/>
      <c r="AB15" s="92" t="n"/>
      <c r="AE15" s="94" t="n"/>
      <c r="AH15" s="378" t="inlineStr">
        <is>
          <t>월 선납금(v-)</t>
        </is>
      </c>
      <c r="AI15" s="251" t="n"/>
      <c r="AJ15" s="504">
        <f>C28/C8</f>
        <v/>
      </c>
      <c r="AL15" s="378" t="inlineStr">
        <is>
          <t>월 선납금(v-)</t>
        </is>
      </c>
      <c r="AM15" s="251" t="n"/>
      <c r="AN15" s="504">
        <f>C28/C8</f>
        <v/>
      </c>
      <c r="AO15" s="505">
        <f>AN15*1.1</f>
        <v/>
      </c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K16+O16</f>
        <v/>
      </c>
      <c r="K16" s="646">
        <f>$C$20/1.1/$C$8</f>
        <v/>
      </c>
      <c r="L16" s="516">
        <f>K16-M16-N16</f>
        <v/>
      </c>
      <c r="M16" s="517">
        <f>$C$12/$C$8</f>
        <v/>
      </c>
      <c r="N16" s="518">
        <f>$C$13/$C$8</f>
        <v/>
      </c>
      <c r="O16" s="518">
        <f>$C$14/$C$8</f>
        <v/>
      </c>
      <c r="P16" s="515">
        <f>Q16+U16</f>
        <v/>
      </c>
      <c r="Q16" s="646">
        <f>$C$41/1.1/$C$8</f>
        <v/>
      </c>
      <c r="R16" s="516">
        <f>Q16-S16-T16</f>
        <v/>
      </c>
      <c r="S16" s="500">
        <f>$C$12/$C$8-$AJ$17-$AJ$22</f>
        <v/>
      </c>
      <c r="T16" s="519">
        <f>$C$13/$C$8-$AJ$18-$AJ$23</f>
        <v/>
      </c>
      <c r="U16" s="500">
        <f>O16</f>
        <v/>
      </c>
      <c r="V16" s="92" t="n"/>
      <c r="W16" s="196">
        <f>H16-G16+1</f>
        <v/>
      </c>
      <c r="X16" s="92" t="n"/>
      <c r="AA16" s="94" t="n"/>
      <c r="AB16" s="92" t="n"/>
      <c r="AE16" s="94" t="n"/>
      <c r="AH16" s="375" t="n"/>
      <c r="AI16" s="506" t="inlineStr">
        <is>
          <t>제품</t>
        </is>
      </c>
      <c r="AJ16" s="507">
        <f>AJ15-AJ17-AJ18</f>
        <v/>
      </c>
      <c r="AL16" s="375" t="n"/>
      <c r="AM16" s="506" t="inlineStr">
        <is>
          <t>제품</t>
        </is>
      </c>
      <c r="AN16" s="507">
        <f>AN15-AN17-AN18</f>
        <v/>
      </c>
      <c r="AO16" s="505">
        <f>ROUND(AN16*1.1,)</f>
        <v/>
      </c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K17+O17</f>
        <v/>
      </c>
      <c r="K17" s="646">
        <f>$C$20/1.1/$C$8</f>
        <v/>
      </c>
      <c r="L17" s="516">
        <f>K17-M17-N17</f>
        <v/>
      </c>
      <c r="M17" s="517">
        <f>$C$12/$C$8</f>
        <v/>
      </c>
      <c r="N17" s="518">
        <f>$C$13/$C$8</f>
        <v/>
      </c>
      <c r="O17" s="518">
        <f>$C$14/$C$8</f>
        <v/>
      </c>
      <c r="P17" s="515">
        <f>Q17+U17</f>
        <v/>
      </c>
      <c r="Q17" s="646">
        <f>$C$41/1.1/$C$8</f>
        <v/>
      </c>
      <c r="R17" s="516">
        <f>Q17-S17-T17</f>
        <v/>
      </c>
      <c r="S17" s="500">
        <f>$C$12/$C$8-$AJ$17-$AJ$22</f>
        <v/>
      </c>
      <c r="T17" s="519">
        <f>$C$13/$C$8-$AJ$18-$AJ$23</f>
        <v/>
      </c>
      <c r="U17" s="500">
        <f>O17</f>
        <v/>
      </c>
      <c r="V17" s="92" t="n"/>
      <c r="W17" s="196">
        <f>H17-G17+1</f>
        <v/>
      </c>
      <c r="X17" s="92" t="n"/>
      <c r="AA17" s="94" t="n"/>
      <c r="AB17" s="92" t="n"/>
      <c r="AE17" s="94" t="n"/>
      <c r="AH17" s="375" t="n"/>
      <c r="AI17" s="506" t="inlineStr">
        <is>
          <t>케어</t>
        </is>
      </c>
      <c r="AJ17" s="507">
        <f>ROUND(AJ15*C12/($C$16-$C$14),-2)</f>
        <v/>
      </c>
      <c r="AL17" s="375" t="n"/>
      <c r="AM17" s="506" t="inlineStr">
        <is>
          <t>케어</t>
        </is>
      </c>
      <c r="AN17" s="507">
        <f>ROUND(AN15*$C$12/($C$16-$C$14),0)</f>
        <v/>
      </c>
      <c r="AO17" s="505">
        <f>ROUND(AN17*1.1,)</f>
        <v/>
      </c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K18+O18</f>
        <v/>
      </c>
      <c r="K18" s="646">
        <f>$C$20/1.1/$C$8</f>
        <v/>
      </c>
      <c r="L18" s="516">
        <f>K18-M18-N18</f>
        <v/>
      </c>
      <c r="M18" s="517">
        <f>$C$12/$C$8</f>
        <v/>
      </c>
      <c r="N18" s="518">
        <f>$C$13/$C$8</f>
        <v/>
      </c>
      <c r="O18" s="518">
        <f>$C$14/$C$8</f>
        <v/>
      </c>
      <c r="P18" s="515">
        <f>Q18+U18</f>
        <v/>
      </c>
      <c r="Q18" s="646">
        <f>$C$41/1.1/$C$8</f>
        <v/>
      </c>
      <c r="R18" s="516">
        <f>Q18-S18-T18</f>
        <v/>
      </c>
      <c r="S18" s="500">
        <f>$C$12/$C$8-$AJ$17-$AJ$22</f>
        <v/>
      </c>
      <c r="T18" s="519">
        <f>$C$13/$C$8-$AJ$18-$AJ$23</f>
        <v/>
      </c>
      <c r="U18" s="500">
        <f>O18</f>
        <v/>
      </c>
      <c r="V18" s="92" t="n"/>
      <c r="W18" s="196">
        <f>H18-G18+1</f>
        <v/>
      </c>
      <c r="X18" s="92" t="n"/>
      <c r="AA18" s="94" t="n"/>
      <c r="AB18" s="92" t="n"/>
      <c r="AE18" s="94" t="n"/>
      <c r="AH18" s="376" t="n"/>
      <c r="AI18" s="524" t="inlineStr">
        <is>
          <t>보증</t>
        </is>
      </c>
      <c r="AJ18" s="507">
        <f>ROUND(AJ15*C13/($C$16-$C$14),-2)</f>
        <v/>
      </c>
      <c r="AL18" s="376" t="n"/>
      <c r="AM18" s="524" t="inlineStr">
        <is>
          <t>보증</t>
        </is>
      </c>
      <c r="AN18" s="507">
        <f>ROUND(AN15*$C$13/($C$16-$C$14),0)</f>
        <v/>
      </c>
      <c r="AO18" s="505">
        <f>ROUND(AN18*1.1,)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K19+O19</f>
        <v/>
      </c>
      <c r="K19" s="646">
        <f>$C$20/1.1/$C$8</f>
        <v/>
      </c>
      <c r="L19" s="516">
        <f>K19-M19-N19</f>
        <v/>
      </c>
      <c r="M19" s="517">
        <f>$C$12/$C$8</f>
        <v/>
      </c>
      <c r="N19" s="518">
        <f>$C$13/$C$8</f>
        <v/>
      </c>
      <c r="O19" s="518">
        <f>$C$14/$C$8</f>
        <v/>
      </c>
      <c r="P19" s="515">
        <f>Q19+U19</f>
        <v/>
      </c>
      <c r="Q19" s="646">
        <f>$C$41/1.1/$C$8</f>
        <v/>
      </c>
      <c r="R19" s="516">
        <f>Q19-S19-T19</f>
        <v/>
      </c>
      <c r="S19" s="500">
        <f>$C$12/$C$8-$AJ$17-$AJ$22</f>
        <v/>
      </c>
      <c r="T19" s="519">
        <f>$C$13/$C$8-$AJ$18-$AJ$23</f>
        <v/>
      </c>
      <c r="U19" s="500">
        <f>O19</f>
        <v/>
      </c>
      <c r="V19" s="92" t="n"/>
      <c r="W19" s="196">
        <f>H19-G19+1</f>
        <v/>
      </c>
      <c r="X19" s="92" t="n"/>
      <c r="AA19" s="94" t="n"/>
      <c r="AB19" s="92" t="n"/>
      <c r="AE19" s="94" t="n"/>
      <c r="AH19" s="399" t="n"/>
      <c r="AI19" s="500" t="n"/>
      <c r="AJ19" s="206" t="n"/>
      <c r="AL19" s="399" t="n"/>
      <c r="AM19" s="500" t="n"/>
      <c r="AN19" s="206" t="n"/>
      <c r="AO19" s="505" t="n"/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K20+O20</f>
        <v/>
      </c>
      <c r="K20" s="646">
        <f>$C$20/1.1/$C$8</f>
        <v/>
      </c>
      <c r="L20" s="516">
        <f>K20-M20-N20</f>
        <v/>
      </c>
      <c r="M20" s="517">
        <f>$C$12/$C$8</f>
        <v/>
      </c>
      <c r="N20" s="518">
        <f>$C$13/$C$8</f>
        <v/>
      </c>
      <c r="O20" s="518">
        <f>$C$14/$C$8</f>
        <v/>
      </c>
      <c r="P20" s="515">
        <f>Q20+U20</f>
        <v/>
      </c>
      <c r="Q20" s="646">
        <f>$C$41/1.1/$C$8</f>
        <v/>
      </c>
      <c r="R20" s="516">
        <f>Q20-S20-T20</f>
        <v/>
      </c>
      <c r="S20" s="500">
        <f>$C$12/$C$8-$AJ$17-$AJ$22</f>
        <v/>
      </c>
      <c r="T20" s="519">
        <f>$C$13/$C$8-$AJ$18-$AJ$23</f>
        <v/>
      </c>
      <c r="U20" s="500">
        <f>O20</f>
        <v/>
      </c>
      <c r="V20" s="92" t="n"/>
      <c r="W20" s="196">
        <f>H20-G20+1</f>
        <v/>
      </c>
      <c r="X20" s="92" t="n"/>
      <c r="AA20" s="94" t="n"/>
      <c r="AB20" s="92" t="n"/>
      <c r="AE20" s="94" t="n"/>
      <c r="AH20" s="378" t="inlineStr">
        <is>
          <t>월 선납할인(V-)</t>
        </is>
      </c>
      <c r="AI20" s="251" t="n"/>
      <c r="AJ20" s="525">
        <f>C32/C8</f>
        <v/>
      </c>
      <c r="AL20" s="378" t="inlineStr">
        <is>
          <t>월 선납할인(V-)</t>
        </is>
      </c>
      <c r="AM20" s="251" t="n"/>
      <c r="AN20" s="525">
        <f>C32/C8</f>
        <v/>
      </c>
      <c r="AO20" s="505">
        <f>AN20*1.1</f>
        <v/>
      </c>
    </row>
    <row r="21" ht="17.45" customHeight="1" s="497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K21+O21</f>
        <v/>
      </c>
      <c r="K21" s="646">
        <f>$C$20/1.1/$C$8</f>
        <v/>
      </c>
      <c r="L21" s="516">
        <f>K21-M21-N21</f>
        <v/>
      </c>
      <c r="M21" s="517">
        <f>$C$12/$C$8</f>
        <v/>
      </c>
      <c r="N21" s="518">
        <f>$C$13/$C$8</f>
        <v/>
      </c>
      <c r="O21" s="518">
        <f>$C$14/$C$8</f>
        <v/>
      </c>
      <c r="P21" s="515">
        <f>Q21+U21</f>
        <v/>
      </c>
      <c r="Q21" s="646">
        <f>$C$41/1.1/$C$8</f>
        <v/>
      </c>
      <c r="R21" s="516">
        <f>Q21-S21-T21</f>
        <v/>
      </c>
      <c r="S21" s="500">
        <f>$C$12/$C$8-$AJ$17-$AJ$22</f>
        <v/>
      </c>
      <c r="T21" s="519">
        <f>$C$13/$C$8-$AJ$18-$AJ$23</f>
        <v/>
      </c>
      <c r="U21" s="500">
        <f>O21</f>
        <v/>
      </c>
      <c r="V21" s="92" t="n"/>
      <c r="W21" s="196">
        <f>H21-G21+1</f>
        <v/>
      </c>
      <c r="X21" s="92" t="n"/>
      <c r="AA21" s="94" t="n"/>
      <c r="AB21" s="92" t="n"/>
      <c r="AE21" s="94" t="n"/>
      <c r="AH21" s="375" t="n"/>
      <c r="AI21" s="506" t="inlineStr">
        <is>
          <t>제품</t>
        </is>
      </c>
      <c r="AJ21" s="507">
        <f>AJ20-AJ22-AJ23</f>
        <v/>
      </c>
      <c r="AL21" s="375" t="n"/>
      <c r="AM21" s="506" t="inlineStr">
        <is>
          <t>제품</t>
        </is>
      </c>
      <c r="AN21" s="507">
        <f>AN20-AN22-AN23</f>
        <v/>
      </c>
      <c r="AO21" s="505">
        <f>ROUND(AN21*1.1,)</f>
        <v/>
      </c>
    </row>
    <row r="22" ht="17.45" customHeight="1" s="497">
      <c r="A22" s="176" t="n"/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K22+O22</f>
        <v/>
      </c>
      <c r="K22" s="646">
        <f>$C$20/1.1/$C$8</f>
        <v/>
      </c>
      <c r="L22" s="516">
        <f>K22-M22-N22</f>
        <v/>
      </c>
      <c r="M22" s="517">
        <f>$C$12/$C$8</f>
        <v/>
      </c>
      <c r="N22" s="518">
        <f>$C$13/$C$8</f>
        <v/>
      </c>
      <c r="O22" s="518">
        <f>$C$14/$C$8</f>
        <v/>
      </c>
      <c r="P22" s="515">
        <f>Q22+U22</f>
        <v/>
      </c>
      <c r="Q22" s="646">
        <f>$C$41/1.1/$C$8</f>
        <v/>
      </c>
      <c r="R22" s="516">
        <f>Q22-S22-T22</f>
        <v/>
      </c>
      <c r="S22" s="500">
        <f>$C$12/$C$8-$AJ$17-$AJ$22</f>
        <v/>
      </c>
      <c r="T22" s="519">
        <f>$C$13/$C$8-$AJ$18-$AJ$23</f>
        <v/>
      </c>
      <c r="U22" s="500">
        <f>O22</f>
        <v/>
      </c>
      <c r="V22" s="92" t="n"/>
      <c r="W22" s="196">
        <f>H22-G22+1</f>
        <v/>
      </c>
      <c r="X22" s="92" t="n"/>
      <c r="AA22" s="94" t="n"/>
      <c r="AB22" s="92" t="n"/>
      <c r="AE22" s="94" t="n"/>
      <c r="AH22" s="375" t="n"/>
      <c r="AI22" s="506" t="inlineStr">
        <is>
          <t>케어</t>
        </is>
      </c>
      <c r="AJ22" s="507">
        <f>ROUND(AJ20*$C$12/($C$16-$C$14),-2)</f>
        <v/>
      </c>
      <c r="AL22" s="375" t="n"/>
      <c r="AM22" s="506" t="inlineStr">
        <is>
          <t>케어</t>
        </is>
      </c>
      <c r="AN22" s="507">
        <f>ROUND(AN20*$C$12/($C$16-$C$14),0)</f>
        <v/>
      </c>
      <c r="AO22" s="505">
        <f>ROUND(AN22*1.1,)</f>
        <v/>
      </c>
    </row>
    <row r="23">
      <c r="A23" s="176" t="n"/>
      <c r="B23" s="9" t="inlineStr">
        <is>
          <t>(계산용) 선납금(v-) (총구독료 v+ 기준)</t>
        </is>
      </c>
      <c r="C23" s="506">
        <f>C18*C22/1.1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K23+O23</f>
        <v/>
      </c>
      <c r="K23" s="646">
        <f>$C$20/1.1/$C$8</f>
        <v/>
      </c>
      <c r="L23" s="516">
        <f>K23-M23-N23</f>
        <v/>
      </c>
      <c r="M23" s="517">
        <f>$C$12/$C$8</f>
        <v/>
      </c>
      <c r="N23" s="518">
        <f>$C$13/$C$8</f>
        <v/>
      </c>
      <c r="O23" s="518">
        <f>$C$14/$C$8</f>
        <v/>
      </c>
      <c r="P23" s="515">
        <f>Q23+U23</f>
        <v/>
      </c>
      <c r="Q23" s="646">
        <f>$C$41/1.1/$C$8</f>
        <v/>
      </c>
      <c r="R23" s="516">
        <f>Q23-S23-T23</f>
        <v/>
      </c>
      <c r="S23" s="500">
        <f>$C$12/$C$8-$AJ$17-$AJ$22</f>
        <v/>
      </c>
      <c r="T23" s="519">
        <f>$C$13/$C$8-$AJ$18-$AJ$23</f>
        <v/>
      </c>
      <c r="U23" s="500">
        <f>O23</f>
        <v/>
      </c>
      <c r="V23" s="92" t="n"/>
      <c r="W23" s="196">
        <f>H23-G23+1</f>
        <v/>
      </c>
      <c r="X23" s="629" t="n"/>
      <c r="AA23" s="94" t="n"/>
      <c r="AB23" s="92" t="n"/>
      <c r="AE23" s="94" t="n"/>
      <c r="AF23" s="517" t="n"/>
      <c r="AH23" s="376" t="n"/>
      <c r="AI23" s="524" t="inlineStr">
        <is>
          <t>보증</t>
        </is>
      </c>
      <c r="AJ23" s="507">
        <f>ROUND(AJ20*$C$13/($C$16-$C$14),-2)</f>
        <v/>
      </c>
      <c r="AL23" s="376" t="n"/>
      <c r="AM23" s="524" t="inlineStr">
        <is>
          <t>보증</t>
        </is>
      </c>
      <c r="AN23" s="507">
        <f>ROUND(AN20*$C$13/($C$16-$C$14),0)</f>
        <v/>
      </c>
      <c r="AO23" s="505">
        <f>ROUND(AN23*1.1,)</f>
        <v/>
      </c>
    </row>
    <row r="24">
      <c r="A24" s="176" t="n"/>
      <c r="B24" s="9" t="inlineStr">
        <is>
          <t>(계산용) 월 선납금(V-)</t>
        </is>
      </c>
      <c r="C24" s="506">
        <f>ROUND(C23/C8,-2)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K24+O24</f>
        <v/>
      </c>
      <c r="K24" s="646">
        <f>$C$20/1.1/$C$8</f>
        <v/>
      </c>
      <c r="L24" s="516">
        <f>K24-M24-N24</f>
        <v/>
      </c>
      <c r="M24" s="517">
        <f>$C$12/$C$8</f>
        <v/>
      </c>
      <c r="N24" s="518">
        <f>$C$13/$C$8</f>
        <v/>
      </c>
      <c r="O24" s="518">
        <f>$C$14/$C$8</f>
        <v/>
      </c>
      <c r="P24" s="515">
        <f>Q24+U24</f>
        <v/>
      </c>
      <c r="Q24" s="646">
        <f>$C$41/1.1/$C$8</f>
        <v/>
      </c>
      <c r="R24" s="516">
        <f>Q24-S24-T24</f>
        <v/>
      </c>
      <c r="S24" s="500">
        <f>$C$12/$C$8-$AJ$17-$AJ$22</f>
        <v/>
      </c>
      <c r="T24" s="519">
        <f>$C$13/$C$8-$AJ$18-$AJ$23</f>
        <v/>
      </c>
      <c r="U24" s="500">
        <f>O24</f>
        <v/>
      </c>
      <c r="V24" s="92" t="n"/>
      <c r="W24" s="196">
        <f>H24-G24+1</f>
        <v/>
      </c>
      <c r="X24" s="206" t="inlineStr">
        <is>
          <t>* 위약금은 비과세로 총구독료(v+)기준으로 계산</t>
        </is>
      </c>
      <c r="AA24" s="94" t="n"/>
      <c r="AB24" s="92" t="n"/>
      <c r="AE24" s="94" t="n"/>
    </row>
    <row r="25">
      <c r="A25" s="176" t="n"/>
      <c r="B25" s="9" t="inlineStr">
        <is>
          <t>(계산용) 월 선납금(V+)</t>
        </is>
      </c>
      <c r="C25" s="506">
        <f>C24*1.1</f>
        <v/>
      </c>
      <c r="F25" s="80" t="inlineStr">
        <is>
          <t>20회차</t>
        </is>
      </c>
      <c r="G25" s="81">
        <f>H24+1</f>
        <v/>
      </c>
      <c r="H25" s="81">
        <f>EOMONTH(G25,0)</f>
        <v/>
      </c>
      <c r="I25" s="82">
        <f>EDATE(I24,1)</f>
        <v/>
      </c>
      <c r="J25" s="630">
        <f>K25+O25</f>
        <v/>
      </c>
      <c r="K25" s="647">
        <f>$C$20/1.1/$C$8</f>
        <v/>
      </c>
      <c r="L25" s="631">
        <f>K25-M25-N25</f>
        <v/>
      </c>
      <c r="M25" s="632">
        <f>$C$12/$C$8</f>
        <v/>
      </c>
      <c r="N25" s="633">
        <f>$C$13/$C$8</f>
        <v/>
      </c>
      <c r="O25" s="633">
        <f>$C$14/$C$8</f>
        <v/>
      </c>
      <c r="P25" s="630">
        <f>Q25+U25</f>
        <v/>
      </c>
      <c r="Q25" s="647">
        <f>$C$41/1.1/$C$8</f>
        <v/>
      </c>
      <c r="R25" s="631">
        <f>Q25-S25-T25</f>
        <v/>
      </c>
      <c r="S25" s="634">
        <f>$C$12/$C$8-$AJ$17-$AJ$22</f>
        <v/>
      </c>
      <c r="T25" s="635">
        <f>$C$13/$C$8-$AJ$18-$AJ$23</f>
        <v/>
      </c>
      <c r="U25" s="634">
        <f>O25</f>
        <v/>
      </c>
      <c r="V25" s="99" t="n">
        <v>46494</v>
      </c>
      <c r="W25" s="415">
        <f>V25-G25</f>
        <v/>
      </c>
      <c r="X25" s="636">
        <f>ROUNDDOWN(((C18)*(C9-SUM(W6:W25))/C9)*20%,-1)</f>
        <v/>
      </c>
      <c r="Y25" s="648">
        <f>ROUNDDOWN(Q25*W25/DAY(H25),-2)+ROUNDDOWN(U25*W25/DAY(H25),-1)</f>
        <v/>
      </c>
      <c r="Z25" s="632">
        <f>ROUNDDOWN(C32*SUM(W6:W25)/C9,-2)</f>
        <v/>
      </c>
      <c r="AA25" s="638">
        <f>-ROUNDUP((C28*(C9-SUM(W6:W25))/C9),-2)</f>
        <v/>
      </c>
      <c r="AB25" s="636">
        <f>X25</f>
        <v/>
      </c>
      <c r="AC25" s="632">
        <f>ROUNDDOWN(Q25*W25/DAY(H25),-2)*1.1+ROUNDDOWN(U25*W25/DAY(H25),-1)</f>
        <v/>
      </c>
      <c r="AD25" s="632">
        <f>Z25*1.1</f>
        <v/>
      </c>
      <c r="AE25" s="638">
        <f>AA25*1.1</f>
        <v/>
      </c>
      <c r="AF25" s="206" t="inlineStr">
        <is>
          <t>* 위약금, 할인회수, 선납잔액 환불 기준: 일수비율</t>
        </is>
      </c>
    </row>
    <row r="26">
      <c r="A26" s="176" t="n"/>
      <c r="B26" s="9" t="inlineStr">
        <is>
          <t>(최종) 선납금 반영 월 구독료 (V-)</t>
        </is>
      </c>
      <c r="C26" s="506">
        <f>C17-C24</f>
        <v/>
      </c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K26+O26</f>
        <v/>
      </c>
      <c r="K26" s="646">
        <f>$C$20/1.1/$C$8</f>
        <v/>
      </c>
      <c r="L26" s="516">
        <f>K26-M26-N26</f>
        <v/>
      </c>
      <c r="M26" s="517">
        <f>$C$12/$C$8</f>
        <v/>
      </c>
      <c r="N26" s="518">
        <f>$C$13/$C$8</f>
        <v/>
      </c>
      <c r="O26" s="518">
        <f>$C$14/$C$8</f>
        <v/>
      </c>
      <c r="P26" s="515">
        <f>Q26+U26</f>
        <v/>
      </c>
      <c r="Q26" s="646">
        <f>$C$41/1.1/$C$8</f>
        <v/>
      </c>
      <c r="R26" s="516">
        <f>Q26-S26-T26</f>
        <v/>
      </c>
      <c r="S26" s="500">
        <f>$C$12/$C$8-$AJ$17-$AJ$22</f>
        <v/>
      </c>
      <c r="T26" s="519">
        <f>$C$13/$C$8-$AJ$18-$AJ$23</f>
        <v/>
      </c>
      <c r="U26" s="500">
        <f>O26</f>
        <v/>
      </c>
      <c r="V26" s="92" t="n"/>
      <c r="W26" s="196" t="inlineStr">
        <is>
          <t>* 사용일 기준: 제품판정일 전날까지 사용</t>
        </is>
      </c>
      <c r="X26" s="92" t="n"/>
      <c r="Y26" s="539" t="n"/>
      <c r="AA26" s="94" t="n"/>
      <c r="AB26" s="92" t="inlineStr">
        <is>
          <t>* 비과세</t>
        </is>
      </c>
      <c r="AC26" s="539" t="n"/>
      <c r="AE26" s="94" t="n"/>
    </row>
    <row r="27">
      <c r="A27" s="176" t="n"/>
      <c r="B27" s="9" t="inlineStr">
        <is>
          <t>(최종) 선납금 반영 총 구독료 (V-)</t>
        </is>
      </c>
      <c r="C27" s="506">
        <f>C26*C8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K27+O27</f>
        <v/>
      </c>
      <c r="K27" s="646">
        <f>$C$20/1.1/$C$8</f>
        <v/>
      </c>
      <c r="L27" s="516">
        <f>K27-M27-N27</f>
        <v/>
      </c>
      <c r="M27" s="517">
        <f>$C$12/$C$8</f>
        <v/>
      </c>
      <c r="N27" s="518">
        <f>$C$13/$C$8</f>
        <v/>
      </c>
      <c r="O27" s="518">
        <f>$C$14/$C$8</f>
        <v/>
      </c>
      <c r="P27" s="515">
        <f>Q27+U27</f>
        <v/>
      </c>
      <c r="Q27" s="646">
        <f>$C$41/1.1/$C$8</f>
        <v/>
      </c>
      <c r="R27" s="516">
        <f>Q27-S27-T27</f>
        <v/>
      </c>
      <c r="S27" s="500">
        <f>$C$12/$C$8-$AJ$17-$AJ$22</f>
        <v/>
      </c>
      <c r="T27" s="519">
        <f>$C$13/$C$8-$AJ$18-$AJ$23</f>
        <v/>
      </c>
      <c r="U27" s="500">
        <f>O27</f>
        <v/>
      </c>
      <c r="V27" s="92" t="n"/>
      <c r="W27" s="196" t="n"/>
      <c r="X27" s="92" t="n"/>
      <c r="AA27" s="94" t="n"/>
      <c r="AB27" s="92" t="n"/>
      <c r="AE27" s="94" t="n"/>
    </row>
    <row r="28">
      <c r="A28" s="176" t="n"/>
      <c r="B28" s="63" t="inlineStr">
        <is>
          <t>(최종) 선납금 (V-)</t>
        </is>
      </c>
      <c r="C28" s="649">
        <f>C24*C8</f>
        <v/>
      </c>
      <c r="D28" s="505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K28+O28</f>
        <v/>
      </c>
      <c r="K28" s="646">
        <f>$C$20/1.1/$C$8</f>
        <v/>
      </c>
      <c r="L28" s="516">
        <f>K28-M28-N28</f>
        <v/>
      </c>
      <c r="M28" s="517">
        <f>$C$12/$C$8</f>
        <v/>
      </c>
      <c r="N28" s="518">
        <f>$C$13/$C$8</f>
        <v/>
      </c>
      <c r="O28" s="518">
        <f>$C$14/$C$8</f>
        <v/>
      </c>
      <c r="P28" s="515">
        <f>Q28+U28</f>
        <v/>
      </c>
      <c r="Q28" s="646">
        <f>$C$41/1.1/$C$8</f>
        <v/>
      </c>
      <c r="R28" s="516">
        <f>Q28-S28-T28</f>
        <v/>
      </c>
      <c r="S28" s="500">
        <f>$C$12/$C$8-$AJ$17-$AJ$22</f>
        <v/>
      </c>
      <c r="T28" s="519">
        <f>$C$13/$C$8-$AJ$18-$AJ$23</f>
        <v/>
      </c>
      <c r="U28" s="500">
        <f>O28</f>
        <v/>
      </c>
      <c r="V28" s="92" t="n"/>
      <c r="W28" s="196" t="n"/>
      <c r="X28" s="92" t="n"/>
      <c r="AA28" s="94" t="n"/>
      <c r="AB28" s="92" t="n"/>
      <c r="AE28" s="94" t="n"/>
    </row>
    <row r="29">
      <c r="B29" s="170" t="inlineStr">
        <is>
          <t>(계산용) 선납 할인금 (V-) (총구독료 v+기준)</t>
        </is>
      </c>
      <c r="C29" s="650">
        <f>C18*4%/1.1</f>
        <v/>
      </c>
      <c r="D29" s="500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K29+O29</f>
        <v/>
      </c>
      <c r="K29" s="646">
        <f>$C$20/1.1/$C$8</f>
        <v/>
      </c>
      <c r="L29" s="516">
        <f>K29-M29-N29</f>
        <v/>
      </c>
      <c r="M29" s="517">
        <f>$C$12/$C$8</f>
        <v/>
      </c>
      <c r="N29" s="518">
        <f>$C$13/$C$8</f>
        <v/>
      </c>
      <c r="O29" s="518">
        <f>$C$14/$C$8</f>
        <v/>
      </c>
      <c r="P29" s="515">
        <f>Q29+U29</f>
        <v/>
      </c>
      <c r="Q29" s="646">
        <f>$C$41/1.1/$C$8</f>
        <v/>
      </c>
      <c r="R29" s="516">
        <f>Q29-S29-T29</f>
        <v/>
      </c>
      <c r="S29" s="500">
        <f>$C$12/$C$8-$AJ$17-$AJ$22</f>
        <v/>
      </c>
      <c r="T29" s="519">
        <f>$C$13/$C$8-$AJ$18-$AJ$23</f>
        <v/>
      </c>
      <c r="U29" s="500">
        <f>O29</f>
        <v/>
      </c>
      <c r="V29" s="92" t="n"/>
      <c r="W29" s="196" t="n"/>
      <c r="X29" s="92" t="n"/>
      <c r="AA29" s="94" t="n"/>
      <c r="AB29" s="92" t="n"/>
      <c r="AE29" s="94" t="inlineStr">
        <is>
          <t> </t>
        </is>
      </c>
    </row>
    <row r="30">
      <c r="B30" s="9" t="inlineStr">
        <is>
          <t>(계산용) 선납 할인금 월할 (V-)</t>
        </is>
      </c>
      <c r="C30" s="506">
        <f>C29/C8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K30+O30</f>
        <v/>
      </c>
      <c r="K30" s="646">
        <f>$C$20/1.1/$C$8</f>
        <v/>
      </c>
      <c r="L30" s="516">
        <f>K30-M30-N30</f>
        <v/>
      </c>
      <c r="M30" s="517">
        <f>$C$12/$C$8</f>
        <v/>
      </c>
      <c r="N30" s="518">
        <f>$C$13/$C$8</f>
        <v/>
      </c>
      <c r="O30" s="518">
        <f>$C$14/$C$8</f>
        <v/>
      </c>
      <c r="P30" s="515">
        <f>Q30+U30</f>
        <v/>
      </c>
      <c r="Q30" s="646">
        <f>$C$41/1.1/$C$8</f>
        <v/>
      </c>
      <c r="R30" s="516">
        <f>Q30-S30-T30</f>
        <v/>
      </c>
      <c r="S30" s="500">
        <f>$C$12/$C$8-$AJ$17-$AJ$22</f>
        <v/>
      </c>
      <c r="T30" s="519">
        <f>$C$13/$C$8-$AJ$18-$AJ$23</f>
        <v/>
      </c>
      <c r="U30" s="500">
        <f>O30</f>
        <v/>
      </c>
      <c r="V30" s="92" t="n"/>
      <c r="W30" s="196" t="n"/>
      <c r="X30" s="92" t="n"/>
      <c r="AA30" s="94" t="n"/>
      <c r="AB30" s="92" t="n"/>
      <c r="AE30" s="94" t="n"/>
    </row>
    <row r="31">
      <c r="B31" s="9" t="inlineStr">
        <is>
          <t>(계산용) 선납 할인금 월할 보정 (V-)</t>
        </is>
      </c>
      <c r="C31" s="506">
        <f>ROUNDUP(C30,-2)</f>
        <v/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K31+O31</f>
        <v/>
      </c>
      <c r="K31" s="646">
        <f>$C$20/1.1/$C$8</f>
        <v/>
      </c>
      <c r="L31" s="516">
        <f>K31-M31-N31</f>
        <v/>
      </c>
      <c r="M31" s="517">
        <f>$C$12/$C$8</f>
        <v/>
      </c>
      <c r="N31" s="518">
        <f>$C$13/$C$8</f>
        <v/>
      </c>
      <c r="O31" s="518">
        <f>$C$14/$C$8</f>
        <v/>
      </c>
      <c r="P31" s="515">
        <f>Q31+U31</f>
        <v/>
      </c>
      <c r="Q31" s="646">
        <f>$C$41/1.1/$C$8</f>
        <v/>
      </c>
      <c r="R31" s="516">
        <f>Q31-S31-T31</f>
        <v/>
      </c>
      <c r="S31" s="500">
        <f>$C$12/$C$8-$AJ$17-$AJ$22</f>
        <v/>
      </c>
      <c r="T31" s="519">
        <f>$C$13/$C$8-$AJ$18-$AJ$23</f>
        <v/>
      </c>
      <c r="U31" s="500">
        <f>O31</f>
        <v/>
      </c>
      <c r="V31" s="92" t="n"/>
      <c r="W31" s="196" t="n"/>
      <c r="X31" s="92" t="n"/>
      <c r="AA31" s="94" t="n"/>
      <c r="AB31" s="92" t="n"/>
      <c r="AE31" s="94" t="n"/>
    </row>
    <row r="32">
      <c r="B32" s="63" t="inlineStr">
        <is>
          <t>(최종) 선납 할인금 (V-)</t>
        </is>
      </c>
      <c r="C32" s="649">
        <f>C31*C8</f>
        <v/>
      </c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K32+O32</f>
        <v/>
      </c>
      <c r="K32" s="646">
        <f>$C$20/1.1/$C$8</f>
        <v/>
      </c>
      <c r="L32" s="516">
        <f>K32-M32-N32</f>
        <v/>
      </c>
      <c r="M32" s="517">
        <f>$C$12/$C$8</f>
        <v/>
      </c>
      <c r="N32" s="518">
        <f>$C$13/$C$8</f>
        <v/>
      </c>
      <c r="O32" s="518">
        <f>$C$14/$C$8</f>
        <v/>
      </c>
      <c r="P32" s="515">
        <f>Q32+U32</f>
        <v/>
      </c>
      <c r="Q32" s="646">
        <f>$C$41/1.1/$C$8</f>
        <v/>
      </c>
      <c r="R32" s="516">
        <f>Q32-S32-T32</f>
        <v/>
      </c>
      <c r="S32" s="500">
        <f>$C$12/$C$8-$AJ$17-$AJ$22</f>
        <v/>
      </c>
      <c r="T32" s="519">
        <f>$C$13/$C$8-$AJ$18-$AJ$23</f>
        <v/>
      </c>
      <c r="U32" s="500">
        <f>O32</f>
        <v/>
      </c>
      <c r="V32" s="92" t="n"/>
      <c r="W32" s="196" t="n"/>
      <c r="X32" s="92" t="n"/>
      <c r="AA32" s="94" t="n"/>
      <c r="AB32" s="92" t="n"/>
      <c r="AE32" s="94" t="n"/>
    </row>
    <row r="33">
      <c r="B33" s="9" t="inlineStr">
        <is>
          <t>(최종) 선납 할인금 (V+)</t>
        </is>
      </c>
      <c r="C33" s="506">
        <f>C32*1.1</f>
        <v/>
      </c>
      <c r="D33" s="505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K33+O33</f>
        <v/>
      </c>
      <c r="K33" s="646">
        <f>$C$20/1.1/$C$8</f>
        <v/>
      </c>
      <c r="L33" s="516">
        <f>K33-M33-N33</f>
        <v/>
      </c>
      <c r="M33" s="517">
        <f>$C$12/$C$8</f>
        <v/>
      </c>
      <c r="N33" s="518">
        <f>$C$13/$C$8</f>
        <v/>
      </c>
      <c r="O33" s="518">
        <f>$C$14/$C$8</f>
        <v/>
      </c>
      <c r="P33" s="515">
        <f>Q33+U33</f>
        <v/>
      </c>
      <c r="Q33" s="646">
        <f>$C$41/1.1/$C$8</f>
        <v/>
      </c>
      <c r="R33" s="516">
        <f>Q33-S33-T33</f>
        <v/>
      </c>
      <c r="S33" s="500">
        <f>$C$12/$C$8-$AJ$17-$AJ$22</f>
        <v/>
      </c>
      <c r="T33" s="519">
        <f>$C$13/$C$8-$AJ$18-$AJ$23</f>
        <v/>
      </c>
      <c r="U33" s="500">
        <f>O33</f>
        <v/>
      </c>
      <c r="V33" s="92" t="n"/>
      <c r="W33" s="196" t="n"/>
      <c r="X33" s="92" t="n"/>
      <c r="AA33" s="94" t="n"/>
      <c r="AB33" s="92" t="n"/>
      <c r="AE33" s="94" t="n"/>
    </row>
    <row r="34">
      <c r="B34" s="182" t="inlineStr">
        <is>
          <t>(최종) 선납금+선납 할인 반영 월 구독료 (V-)</t>
        </is>
      </c>
      <c r="C34" s="651">
        <f>((C15-C28-C32)+C13+C14)/48</f>
        <v/>
      </c>
      <c r="D34" s="539">
        <f>(C16-C28-C32)/C8=C34</f>
        <v/>
      </c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K34+O34</f>
        <v/>
      </c>
      <c r="K34" s="646">
        <f>$C$20/1.1/$C$8</f>
        <v/>
      </c>
      <c r="L34" s="516">
        <f>K34-M34-N34</f>
        <v/>
      </c>
      <c r="M34" s="517">
        <f>$C$12/$C$8</f>
        <v/>
      </c>
      <c r="N34" s="518">
        <f>$C$13/$C$8</f>
        <v/>
      </c>
      <c r="O34" s="518">
        <f>$C$14/$C$8</f>
        <v/>
      </c>
      <c r="P34" s="515">
        <f>Q34+U34</f>
        <v/>
      </c>
      <c r="Q34" s="646">
        <f>$C$41/1.1/$C$8</f>
        <v/>
      </c>
      <c r="R34" s="516">
        <f>Q34-S34-T34</f>
        <v/>
      </c>
      <c r="S34" s="500">
        <f>$C$12/$C$8-$AJ$17-$AJ$22</f>
        <v/>
      </c>
      <c r="T34" s="519">
        <f>$C$13/$C$8-$AJ$18-$AJ$23</f>
        <v/>
      </c>
      <c r="U34" s="500">
        <f>O34</f>
        <v/>
      </c>
      <c r="V34" s="92" t="n"/>
      <c r="W34" s="196" t="n"/>
      <c r="X34" s="92" t="n"/>
      <c r="AA34" s="94" t="n"/>
      <c r="AB34" s="92" t="n"/>
      <c r="AE34" s="94" t="n"/>
    </row>
    <row r="35">
      <c r="B35" s="182" t="inlineStr">
        <is>
          <t>(최종) 선납금+선납 할인 반영 총 구독료 (V-)</t>
        </is>
      </c>
      <c r="C35" s="651">
        <f>C34*C8</f>
        <v/>
      </c>
      <c r="D35" s="539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K35+O35</f>
        <v/>
      </c>
      <c r="K35" s="646">
        <f>$C$20/1.1/$C$8</f>
        <v/>
      </c>
      <c r="L35" s="516">
        <f>K35-M35-N35</f>
        <v/>
      </c>
      <c r="M35" s="517">
        <f>$C$12/$C$8</f>
        <v/>
      </c>
      <c r="N35" s="518">
        <f>$C$13/$C$8</f>
        <v/>
      </c>
      <c r="O35" s="518">
        <f>$C$14/$C$8</f>
        <v/>
      </c>
      <c r="P35" s="515">
        <f>Q35+U35</f>
        <v/>
      </c>
      <c r="Q35" s="646">
        <f>$C$41/1.1/$C$8</f>
        <v/>
      </c>
      <c r="R35" s="516">
        <f>Q35-S35-T35</f>
        <v/>
      </c>
      <c r="S35" s="500">
        <f>$C$12/$C$8-$AJ$17-$AJ$22</f>
        <v/>
      </c>
      <c r="T35" s="519">
        <f>$C$13/$C$8-$AJ$18-$AJ$23</f>
        <v/>
      </c>
      <c r="U35" s="500">
        <f>O35</f>
        <v/>
      </c>
      <c r="V35" s="92" t="n"/>
      <c r="W35" s="196" t="n"/>
      <c r="X35" s="92" t="n"/>
      <c r="AA35" s="94" t="n"/>
      <c r="AB35" s="92" t="n"/>
      <c r="AE35" s="94" t="n"/>
    </row>
    <row r="36">
      <c r="B36" s="182" t="inlineStr">
        <is>
          <t>(최종) 선납금+선납 할인 반영 월 구독료 (V+)</t>
        </is>
      </c>
      <c r="C36" s="651">
        <f>((C15-C28-C32)*1.1+C13*1.1+C14)/48</f>
        <v/>
      </c>
      <c r="D36" s="517">
        <f>C36=(C18-C28*1.1-C33)/C8</f>
        <v/>
      </c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K36+O36</f>
        <v/>
      </c>
      <c r="K36" s="646">
        <f>$C$20/1.1/$C$8</f>
        <v/>
      </c>
      <c r="L36" s="516">
        <f>K36-M36-N36</f>
        <v/>
      </c>
      <c r="M36" s="517">
        <f>$C$12/$C$8</f>
        <v/>
      </c>
      <c r="N36" s="518">
        <f>$C$13/$C$8</f>
        <v/>
      </c>
      <c r="O36" s="518">
        <f>$C$14/$C$8</f>
        <v/>
      </c>
      <c r="P36" s="515">
        <f>Q36+U36</f>
        <v/>
      </c>
      <c r="Q36" s="646">
        <f>$C$41/1.1/$C$8</f>
        <v/>
      </c>
      <c r="R36" s="516">
        <f>Q36-S36-T36</f>
        <v/>
      </c>
      <c r="S36" s="500">
        <f>$C$12/$C$8-$AJ$17-$AJ$22</f>
        <v/>
      </c>
      <c r="T36" s="519">
        <f>$C$13/$C$8-$AJ$18-$AJ$23</f>
        <v/>
      </c>
      <c r="U36" s="500">
        <f>O36</f>
        <v/>
      </c>
      <c r="V36" s="92" t="n"/>
      <c r="W36" s="196" t="n"/>
      <c r="X36" s="92" t="n"/>
      <c r="AA36" s="94" t="n"/>
      <c r="AB36" s="92" t="n"/>
      <c r="AE36" s="94" t="n"/>
    </row>
    <row r="37">
      <c r="B37" s="182" t="inlineStr">
        <is>
          <t>(최종) 선납금+선납 할인 반영 총 구독료 (V+)</t>
        </is>
      </c>
      <c r="C37" s="651">
        <f>C36*C8</f>
        <v/>
      </c>
      <c r="D37" s="505">
        <f>(C15-C28-C32+C13)*1.1+C14</f>
        <v/>
      </c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K37+O37</f>
        <v/>
      </c>
      <c r="K37" s="646">
        <f>$C$20/1.1/$C$8</f>
        <v/>
      </c>
      <c r="L37" s="516">
        <f>K37-M37-N37</f>
        <v/>
      </c>
      <c r="M37" s="517">
        <f>$C$12/$C$8</f>
        <v/>
      </c>
      <c r="N37" s="518">
        <f>$C$13/$C$8</f>
        <v/>
      </c>
      <c r="O37" s="518">
        <f>$C$14/$C$8</f>
        <v/>
      </c>
      <c r="P37" s="515">
        <f>Q37+U37</f>
        <v/>
      </c>
      <c r="Q37" s="646">
        <f>$C$41/1.1/$C$8</f>
        <v/>
      </c>
      <c r="R37" s="516">
        <f>Q37-S37-T37</f>
        <v/>
      </c>
      <c r="S37" s="500">
        <f>$C$12/$C$8-$AJ$17-$AJ$22</f>
        <v/>
      </c>
      <c r="T37" s="519">
        <f>$C$13/$C$8-$AJ$18-$AJ$23</f>
        <v/>
      </c>
      <c r="U37" s="500">
        <f>O37</f>
        <v/>
      </c>
      <c r="V37" s="92" t="n"/>
      <c r="W37" s="196" t="n"/>
      <c r="X37" s="92" t="n"/>
      <c r="AA37" s="94" t="n"/>
      <c r="AB37" s="92" t="n"/>
      <c r="AE37" s="94" t="n"/>
    </row>
    <row r="38">
      <c r="C38" s="505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K38+O38</f>
        <v/>
      </c>
      <c r="K38" s="646">
        <f>$C$20/1.1/$C$8</f>
        <v/>
      </c>
      <c r="L38" s="516">
        <f>K38-M38-N38</f>
        <v/>
      </c>
      <c r="M38" s="517">
        <f>$C$12/$C$8</f>
        <v/>
      </c>
      <c r="N38" s="518">
        <f>$C$13/$C$8</f>
        <v/>
      </c>
      <c r="O38" s="518">
        <f>$C$14/$C$8</f>
        <v/>
      </c>
      <c r="P38" s="515">
        <f>Q38+U38</f>
        <v/>
      </c>
      <c r="Q38" s="646">
        <f>$C$41/1.1/$C$8</f>
        <v/>
      </c>
      <c r="R38" s="516">
        <f>Q38-S38-T38</f>
        <v/>
      </c>
      <c r="S38" s="500">
        <f>$C$12/$C$8-$AJ$17-$AJ$22</f>
        <v/>
      </c>
      <c r="T38" s="519">
        <f>$C$13/$C$8-$AJ$18-$AJ$23</f>
        <v/>
      </c>
      <c r="U38" s="500">
        <f>O38</f>
        <v/>
      </c>
      <c r="V38" s="92" t="n"/>
      <c r="W38" s="196" t="n"/>
      <c r="X38" s="92" t="n"/>
      <c r="AA38" s="94" t="n"/>
      <c r="AB38" s="92" t="n"/>
      <c r="AE38" s="94" t="n"/>
    </row>
    <row r="39">
      <c r="B39" s="9" t="inlineStr">
        <is>
          <t>선납금+선납 할인 반영 순수 구독료 (V-)</t>
        </is>
      </c>
      <c r="C39" s="652">
        <f>C35-C12-C13-C14+SUM(AJ17:AJ18,AJ22:AJ23)*C8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K39+O39</f>
        <v/>
      </c>
      <c r="K39" s="646">
        <f>$C$20/1.1/$C$8</f>
        <v/>
      </c>
      <c r="L39" s="516">
        <f>K39-M39-N39</f>
        <v/>
      </c>
      <c r="M39" s="517">
        <f>$C$12/$C$8</f>
        <v/>
      </c>
      <c r="N39" s="518">
        <f>$C$13/$C$8</f>
        <v/>
      </c>
      <c r="O39" s="518">
        <f>$C$14/$C$8</f>
        <v/>
      </c>
      <c r="P39" s="515">
        <f>Q39+U39</f>
        <v/>
      </c>
      <c r="Q39" s="646">
        <f>$C$41/1.1/$C$8</f>
        <v/>
      </c>
      <c r="R39" s="516">
        <f>Q39-S39-T39</f>
        <v/>
      </c>
      <c r="S39" s="500">
        <f>$C$12/$C$8-$AJ$17-$AJ$22</f>
        <v/>
      </c>
      <c r="T39" s="519">
        <f>$C$13/$C$8-$AJ$18-$AJ$23</f>
        <v/>
      </c>
      <c r="U39" s="500">
        <f>O39</f>
        <v/>
      </c>
      <c r="V39" s="92" t="n"/>
      <c r="W39" s="196" t="n"/>
      <c r="X39" s="92" t="n"/>
      <c r="AA39" s="94" t="n"/>
      <c r="AB39" s="92" t="n"/>
      <c r="AE39" s="94" t="n"/>
    </row>
    <row r="40">
      <c r="B40" s="9" t="inlineStr">
        <is>
          <t>선납금+선납 할인 반영 순수 구독료 월할 (V-)</t>
        </is>
      </c>
      <c r="C40" s="506">
        <f>C39/C8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K40+O40</f>
        <v/>
      </c>
      <c r="K40" s="646">
        <f>$C$20/1.1/$C$8</f>
        <v/>
      </c>
      <c r="L40" s="516">
        <f>K40-M40-N40</f>
        <v/>
      </c>
      <c r="M40" s="517">
        <f>$C$12/$C$8</f>
        <v/>
      </c>
      <c r="N40" s="518">
        <f>$C$13/$C$8</f>
        <v/>
      </c>
      <c r="O40" s="518">
        <f>$C$14/$C$8</f>
        <v/>
      </c>
      <c r="P40" s="515">
        <f>Q40+U40</f>
        <v/>
      </c>
      <c r="Q40" s="646">
        <f>$C$41/1.1/$C$8</f>
        <v/>
      </c>
      <c r="R40" s="516">
        <f>Q40-S40-T40</f>
        <v/>
      </c>
      <c r="S40" s="500">
        <f>$C$12/$C$8-$AJ$17-$AJ$22</f>
        <v/>
      </c>
      <c r="T40" s="519">
        <f>$C$13/$C$8-$AJ$18-$AJ$23</f>
        <v/>
      </c>
      <c r="U40" s="500">
        <f>O40</f>
        <v/>
      </c>
      <c r="V40" s="92" t="n"/>
      <c r="W40" s="196" t="n"/>
      <c r="X40" s="92" t="n"/>
      <c r="AA40" s="94" t="n"/>
      <c r="AB40" s="92" t="n"/>
      <c r="AE40" s="94" t="n"/>
    </row>
    <row r="41">
      <c r="B41" s="250" t="inlineStr">
        <is>
          <t>선납금+선납 할인 반영 파손제외 구독료 (v+)</t>
        </is>
      </c>
      <c r="C41" s="527">
        <f>C37-C14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K41+O41</f>
        <v/>
      </c>
      <c r="K41" s="646">
        <f>$C$20/1.1/$C$8</f>
        <v/>
      </c>
      <c r="L41" s="516">
        <f>K41-M41-N41</f>
        <v/>
      </c>
      <c r="M41" s="517">
        <f>$C$12/$C$8</f>
        <v/>
      </c>
      <c r="N41" s="518">
        <f>$C$13/$C$8</f>
        <v/>
      </c>
      <c r="O41" s="518">
        <f>$C$14/$C$8</f>
        <v/>
      </c>
      <c r="P41" s="515">
        <f>Q41+U41</f>
        <v/>
      </c>
      <c r="Q41" s="646">
        <f>$C$41/1.1/$C$8</f>
        <v/>
      </c>
      <c r="R41" s="516">
        <f>Q41-S41-T41</f>
        <v/>
      </c>
      <c r="S41" s="500">
        <f>$C$12/$C$8-$AJ$17-$AJ$22</f>
        <v/>
      </c>
      <c r="T41" s="519">
        <f>$C$13/$C$8-$AJ$18-$AJ$23</f>
        <v/>
      </c>
      <c r="U41" s="500">
        <f>O41</f>
        <v/>
      </c>
      <c r="V41" s="92" t="n"/>
      <c r="W41" s="196" t="n"/>
      <c r="X41" s="92" t="n"/>
      <c r="AA41" s="94" t="n"/>
      <c r="AB41" s="92" t="n"/>
      <c r="AE41" s="94" t="n"/>
    </row>
    <row r="42"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K42+O42</f>
        <v/>
      </c>
      <c r="K42" s="646">
        <f>$C$20/1.1/$C$8</f>
        <v/>
      </c>
      <c r="L42" s="516">
        <f>K42-M42-N42</f>
        <v/>
      </c>
      <c r="M42" s="517">
        <f>$C$12/$C$8</f>
        <v/>
      </c>
      <c r="N42" s="518">
        <f>$C$13/$C$8</f>
        <v/>
      </c>
      <c r="O42" s="518">
        <f>$C$14/$C$8</f>
        <v/>
      </c>
      <c r="P42" s="515">
        <f>Q42+U42</f>
        <v/>
      </c>
      <c r="Q42" s="646">
        <f>$C$41/1.1/$C$8</f>
        <v/>
      </c>
      <c r="R42" s="516">
        <f>Q42-S42-T42</f>
        <v/>
      </c>
      <c r="S42" s="500">
        <f>$C$12/$C$8-$AJ$17-$AJ$22</f>
        <v/>
      </c>
      <c r="T42" s="519">
        <f>$C$13/$C$8-$AJ$18-$AJ$23</f>
        <v/>
      </c>
      <c r="U42" s="500">
        <f>O42</f>
        <v/>
      </c>
      <c r="V42" s="92" t="n"/>
      <c r="W42" s="196" t="n"/>
      <c r="X42" s="92" t="n"/>
      <c r="AA42" s="94" t="n"/>
      <c r="AB42" s="92" t="n"/>
      <c r="AE42" s="94" t="n"/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K43+O43</f>
        <v/>
      </c>
      <c r="K43" s="646">
        <f>$C$20/1.1/$C$8</f>
        <v/>
      </c>
      <c r="L43" s="516">
        <f>K43-M43-N43</f>
        <v/>
      </c>
      <c r="M43" s="517">
        <f>$C$12/$C$8</f>
        <v/>
      </c>
      <c r="N43" s="518">
        <f>$C$13/$C$8</f>
        <v/>
      </c>
      <c r="O43" s="518">
        <f>$C$14/$C$8</f>
        <v/>
      </c>
      <c r="P43" s="515">
        <f>Q43+U43</f>
        <v/>
      </c>
      <c r="Q43" s="646">
        <f>$C$41/1.1/$C$8</f>
        <v/>
      </c>
      <c r="R43" s="516">
        <f>Q43-S43-T43</f>
        <v/>
      </c>
      <c r="S43" s="500">
        <f>$C$12/$C$8-$AJ$17-$AJ$22</f>
        <v/>
      </c>
      <c r="T43" s="519">
        <f>$C$13/$C$8-$AJ$18-$AJ$23</f>
        <v/>
      </c>
      <c r="U43" s="500">
        <f>O43</f>
        <v/>
      </c>
      <c r="V43" s="92" t="n"/>
      <c r="W43" s="196" t="n"/>
      <c r="X43" s="92" t="n"/>
      <c r="AA43" s="94" t="n"/>
      <c r="AB43" s="92" t="n"/>
      <c r="AE43" s="94" t="n"/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K44+O44</f>
        <v/>
      </c>
      <c r="K44" s="646">
        <f>$C$20/1.1/$C$8</f>
        <v/>
      </c>
      <c r="L44" s="516">
        <f>K44-M44-N44</f>
        <v/>
      </c>
      <c r="M44" s="517">
        <f>$C$12/$C$8</f>
        <v/>
      </c>
      <c r="N44" s="518">
        <f>$C$13/$C$8</f>
        <v/>
      </c>
      <c r="O44" s="518">
        <f>$C$14/$C$8</f>
        <v/>
      </c>
      <c r="P44" s="515">
        <f>Q44+U44</f>
        <v/>
      </c>
      <c r="Q44" s="646">
        <f>$C$41/1.1/$C$8</f>
        <v/>
      </c>
      <c r="R44" s="516">
        <f>Q44-S44-T44</f>
        <v/>
      </c>
      <c r="S44" s="500">
        <f>$C$12/$C$8-$AJ$17-$AJ$22</f>
        <v/>
      </c>
      <c r="T44" s="519">
        <f>$C$13/$C$8-$AJ$18-$AJ$23</f>
        <v/>
      </c>
      <c r="U44" s="500">
        <f>O44</f>
        <v/>
      </c>
      <c r="V44" s="92" t="n"/>
      <c r="W44" s="196" t="n"/>
      <c r="X44" s="92" t="n"/>
      <c r="AA44" s="94" t="n"/>
      <c r="AB44" s="92" t="n"/>
      <c r="AE44" s="94" t="n"/>
    </row>
    <row r="45">
      <c r="C45" s="500" t="n"/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K45+O45</f>
        <v/>
      </c>
      <c r="K45" s="646">
        <f>$C$20/1.1/$C$8</f>
        <v/>
      </c>
      <c r="L45" s="516">
        <f>K45-M45-N45</f>
        <v/>
      </c>
      <c r="M45" s="517">
        <f>$C$12/$C$8</f>
        <v/>
      </c>
      <c r="N45" s="518">
        <f>$C$13/$C$8</f>
        <v/>
      </c>
      <c r="O45" s="518">
        <f>$C$14/$C$8</f>
        <v/>
      </c>
      <c r="P45" s="515">
        <f>Q45+U45</f>
        <v/>
      </c>
      <c r="Q45" s="646">
        <f>$C$41/1.1/$C$8</f>
        <v/>
      </c>
      <c r="R45" s="516">
        <f>Q45-S45-T45</f>
        <v/>
      </c>
      <c r="S45" s="500">
        <f>$C$12/$C$8-$AJ$17-$AJ$22</f>
        <v/>
      </c>
      <c r="T45" s="519">
        <f>$C$13/$C$8-$AJ$18-$AJ$23</f>
        <v/>
      </c>
      <c r="U45" s="500">
        <f>O45</f>
        <v/>
      </c>
      <c r="V45" s="92" t="n"/>
      <c r="W45" s="196" t="n"/>
      <c r="X45" s="92" t="n"/>
      <c r="AA45" s="94" t="n"/>
      <c r="AB45" s="92" t="n"/>
      <c r="AE45" s="94" t="n"/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K46+O46</f>
        <v/>
      </c>
      <c r="K46" s="646">
        <f>$C$20/1.1/$C$8</f>
        <v/>
      </c>
      <c r="L46" s="516">
        <f>K46-M46-N46</f>
        <v/>
      </c>
      <c r="M46" s="517">
        <f>$C$12/$C$8</f>
        <v/>
      </c>
      <c r="N46" s="518">
        <f>$C$13/$C$8</f>
        <v/>
      </c>
      <c r="O46" s="518">
        <f>$C$14/$C$8</f>
        <v/>
      </c>
      <c r="P46" s="515">
        <f>Q46+U46</f>
        <v/>
      </c>
      <c r="Q46" s="646">
        <f>$C$41/1.1/$C$8</f>
        <v/>
      </c>
      <c r="R46" s="516">
        <f>Q46-S46-T46</f>
        <v/>
      </c>
      <c r="S46" s="500">
        <f>$C$12/$C$8-$AJ$17-$AJ$22</f>
        <v/>
      </c>
      <c r="T46" s="519">
        <f>$C$13/$C$8-$AJ$18-$AJ$23</f>
        <v/>
      </c>
      <c r="U46" s="500">
        <f>O46</f>
        <v/>
      </c>
      <c r="V46" s="92" t="n"/>
      <c r="W46" s="196" t="n"/>
      <c r="X46" s="92" t="n"/>
      <c r="AA46" s="94" t="n"/>
      <c r="AB46" s="92" t="n"/>
      <c r="AE46" s="94" t="n"/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K47+O47</f>
        <v/>
      </c>
      <c r="K47" s="646">
        <f>$C$20/1.1/$C$8</f>
        <v/>
      </c>
      <c r="L47" s="516">
        <f>K47-M47-N47</f>
        <v/>
      </c>
      <c r="M47" s="517">
        <f>$C$12/$C$8</f>
        <v/>
      </c>
      <c r="N47" s="518">
        <f>$C$13/$C$8</f>
        <v/>
      </c>
      <c r="O47" s="518">
        <f>$C$14/$C$8</f>
        <v/>
      </c>
      <c r="P47" s="515">
        <f>Q47+U47</f>
        <v/>
      </c>
      <c r="Q47" s="646">
        <f>$C$41/1.1/$C$8</f>
        <v/>
      </c>
      <c r="R47" s="516">
        <f>Q47-S47-T47</f>
        <v/>
      </c>
      <c r="S47" s="500">
        <f>$C$12/$C$8-$AJ$17-$AJ$22</f>
        <v/>
      </c>
      <c r="T47" s="519">
        <f>$C$13/$C$8-$AJ$18-$AJ$23</f>
        <v/>
      </c>
      <c r="U47" s="500">
        <f>O47</f>
        <v/>
      </c>
      <c r="V47" s="92" t="n"/>
      <c r="W47" s="196" t="n"/>
      <c r="X47" s="92" t="n"/>
      <c r="AA47" s="94" t="n"/>
      <c r="AB47" s="92" t="n"/>
      <c r="AE47" s="94" t="n"/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K48+O48</f>
        <v/>
      </c>
      <c r="K48" s="646">
        <f>$C$20/1.1/$C$8</f>
        <v/>
      </c>
      <c r="L48" s="516">
        <f>K48-M48-N48</f>
        <v/>
      </c>
      <c r="M48" s="517">
        <f>$C$12/$C$8</f>
        <v/>
      </c>
      <c r="N48" s="518">
        <f>$C$13/$C$8</f>
        <v/>
      </c>
      <c r="O48" s="518">
        <f>$C$14/$C$8</f>
        <v/>
      </c>
      <c r="P48" s="515">
        <f>Q48+U48</f>
        <v/>
      </c>
      <c r="Q48" s="646">
        <f>$C$41/1.1/$C$8</f>
        <v/>
      </c>
      <c r="R48" s="516">
        <f>Q48-S48-T48</f>
        <v/>
      </c>
      <c r="S48" s="500">
        <f>$C$12/$C$8-$AJ$17-$AJ$22</f>
        <v/>
      </c>
      <c r="T48" s="519">
        <f>$C$13/$C$8-$AJ$18-$AJ$23</f>
        <v/>
      </c>
      <c r="U48" s="500">
        <f>O48</f>
        <v/>
      </c>
      <c r="V48" s="92" t="n"/>
      <c r="W48" s="196" t="n"/>
      <c r="X48" s="92" t="n"/>
      <c r="AA48" s="94" t="n"/>
      <c r="AB48" s="92" t="n"/>
      <c r="AE48" s="94" t="n"/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K49+O49</f>
        <v/>
      </c>
      <c r="K49" s="646">
        <f>$C$20/1.1/$C$8</f>
        <v/>
      </c>
      <c r="L49" s="516">
        <f>K49-M49-N49</f>
        <v/>
      </c>
      <c r="M49" s="517">
        <f>$C$12/$C$8</f>
        <v/>
      </c>
      <c r="N49" s="518">
        <f>$C$13/$C$8</f>
        <v/>
      </c>
      <c r="O49" s="518">
        <f>$C$14/$C$8</f>
        <v/>
      </c>
      <c r="P49" s="515">
        <f>Q49+U49</f>
        <v/>
      </c>
      <c r="Q49" s="646">
        <f>$C$41/1.1/$C$8</f>
        <v/>
      </c>
      <c r="R49" s="516">
        <f>Q49-S49-T49</f>
        <v/>
      </c>
      <c r="S49" s="500">
        <f>$C$12/$C$8-$AJ$17-$AJ$22</f>
        <v/>
      </c>
      <c r="T49" s="519">
        <f>$C$13/$C$8-$AJ$18-$AJ$23</f>
        <v/>
      </c>
      <c r="U49" s="500">
        <f>O49</f>
        <v/>
      </c>
      <c r="V49" s="92" t="n"/>
      <c r="W49" s="196" t="n"/>
      <c r="X49" s="92" t="n"/>
      <c r="AA49" s="94" t="n"/>
      <c r="AB49" s="92" t="n"/>
      <c r="AE49" s="94" t="n"/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K50+O50</f>
        <v/>
      </c>
      <c r="K50" s="646">
        <f>$C$20/1.1/$C$8</f>
        <v/>
      </c>
      <c r="L50" s="516">
        <f>K50-M50-N50</f>
        <v/>
      </c>
      <c r="M50" s="517">
        <f>$C$12/$C$8</f>
        <v/>
      </c>
      <c r="N50" s="518">
        <f>$C$13/$C$8</f>
        <v/>
      </c>
      <c r="O50" s="518">
        <f>$C$14/$C$8</f>
        <v/>
      </c>
      <c r="P50" s="515">
        <f>Q50+U50</f>
        <v/>
      </c>
      <c r="Q50" s="646">
        <f>$C$41/1.1/$C$8</f>
        <v/>
      </c>
      <c r="R50" s="516">
        <f>Q50-S50-T50</f>
        <v/>
      </c>
      <c r="S50" s="500">
        <f>$C$12/$C$8-$AJ$17-$AJ$22</f>
        <v/>
      </c>
      <c r="T50" s="519">
        <f>$C$13/$C$8-$AJ$18-$AJ$23</f>
        <v/>
      </c>
      <c r="U50" s="500">
        <f>O50</f>
        <v/>
      </c>
      <c r="V50" s="92" t="n"/>
      <c r="W50" s="196" t="n"/>
      <c r="X50" s="92" t="n"/>
      <c r="AA50" s="94" t="n"/>
      <c r="AB50" s="92" t="n"/>
      <c r="AE50" s="94" t="n"/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K51+O51</f>
        <v/>
      </c>
      <c r="K51" s="646">
        <f>$C$20/1.1/$C$8</f>
        <v/>
      </c>
      <c r="L51" s="516">
        <f>K51-M51-N51</f>
        <v/>
      </c>
      <c r="M51" s="517">
        <f>$C$12/$C$8</f>
        <v/>
      </c>
      <c r="N51" s="518">
        <f>$C$13/$C$8</f>
        <v/>
      </c>
      <c r="O51" s="518">
        <f>$C$14/$C$8</f>
        <v/>
      </c>
      <c r="P51" s="515">
        <f>Q51+U51</f>
        <v/>
      </c>
      <c r="Q51" s="646">
        <f>$C$41/1.1/$C$8</f>
        <v/>
      </c>
      <c r="R51" s="516">
        <f>Q51-S51-T51</f>
        <v/>
      </c>
      <c r="S51" s="500">
        <f>$C$12/$C$8-$AJ$17-$AJ$22</f>
        <v/>
      </c>
      <c r="T51" s="519">
        <f>$C$13/$C$8-$AJ$18-$AJ$23</f>
        <v/>
      </c>
      <c r="U51" s="500">
        <f>O51</f>
        <v/>
      </c>
      <c r="V51" s="92" t="n"/>
      <c r="W51" s="196" t="n"/>
      <c r="X51" s="92" t="n"/>
      <c r="AA51" s="94" t="n"/>
      <c r="AB51" s="92" t="n"/>
      <c r="AE51" s="94" t="n"/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K52+O52</f>
        <v/>
      </c>
      <c r="K52" s="646">
        <f>$C$20/1.1/$C$8</f>
        <v/>
      </c>
      <c r="L52" s="516">
        <f>K52-M52-N52</f>
        <v/>
      </c>
      <c r="M52" s="517">
        <f>$C$12/$C$8</f>
        <v/>
      </c>
      <c r="N52" s="518">
        <f>$C$13/$C$8</f>
        <v/>
      </c>
      <c r="O52" s="518">
        <f>$C$14/$C$8</f>
        <v/>
      </c>
      <c r="P52" s="515">
        <f>Q52+U52</f>
        <v/>
      </c>
      <c r="Q52" s="646">
        <f>$C$41/1.1/$C$8</f>
        <v/>
      </c>
      <c r="R52" s="516">
        <f>Q52-S52-T52</f>
        <v/>
      </c>
      <c r="S52" s="500">
        <f>$C$12/$C$8-$AJ$17-$AJ$22</f>
        <v/>
      </c>
      <c r="T52" s="519">
        <f>$C$13/$C$8-$AJ$18-$AJ$23</f>
        <v/>
      </c>
      <c r="U52" s="500">
        <f>O52</f>
        <v/>
      </c>
      <c r="V52" s="92" t="n"/>
      <c r="W52" s="196" t="n"/>
      <c r="X52" s="92" t="n"/>
      <c r="AA52" s="94" t="n"/>
      <c r="AB52" s="92" t="n"/>
      <c r="AE52" s="94" t="n"/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K53+O53</f>
        <v/>
      </c>
      <c r="K53" s="646">
        <f>$C$20/1.1/$C$8</f>
        <v/>
      </c>
      <c r="L53" s="516">
        <f>K53-M53-N53</f>
        <v/>
      </c>
      <c r="M53" s="517">
        <f>$C$12/$C$8</f>
        <v/>
      </c>
      <c r="N53" s="518">
        <f>$C$13/$C$8</f>
        <v/>
      </c>
      <c r="O53" s="518">
        <f>$C$14/$C$8</f>
        <v/>
      </c>
      <c r="P53" s="515">
        <f>Q53+U53</f>
        <v/>
      </c>
      <c r="Q53" s="646">
        <f>$C$41/1.1/$C$8</f>
        <v/>
      </c>
      <c r="R53" s="516">
        <f>Q53-S53-T53</f>
        <v/>
      </c>
      <c r="S53" s="500">
        <f>$C$12/$C$8-$AJ$17-$AJ$22</f>
        <v/>
      </c>
      <c r="T53" s="519">
        <f>$C$13/$C$8-$AJ$18-$AJ$23</f>
        <v/>
      </c>
      <c r="U53" s="500">
        <f>O53</f>
        <v/>
      </c>
      <c r="V53" s="92" t="n"/>
      <c r="W53" s="196" t="n"/>
      <c r="X53" s="92" t="n"/>
      <c r="AA53" s="94" t="n"/>
      <c r="AB53" s="92" t="n"/>
      <c r="AE53" s="94" t="n"/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K54+O54</f>
        <v/>
      </c>
      <c r="K54" s="646">
        <f>$C$20/1.1/$C$8-K6</f>
        <v/>
      </c>
      <c r="L54" s="516">
        <f>K54-M54-N54</f>
        <v/>
      </c>
      <c r="M54" s="517">
        <f>$C$12/$C$8</f>
        <v/>
      </c>
      <c r="N54" s="518">
        <f>$C$13/$C$8-N6</f>
        <v/>
      </c>
      <c r="O54" s="518">
        <f>$C$14/$C$8-O6</f>
        <v/>
      </c>
      <c r="P54" s="515">
        <f>Q54+U54</f>
        <v/>
      </c>
      <c r="Q54" s="646">
        <f>$C$41/1.1/$C$8-Q6</f>
        <v/>
      </c>
      <c r="R54" s="516">
        <f>Q54-S54-T54</f>
        <v/>
      </c>
      <c r="S54" s="500">
        <f>($C$12/$C$8-$AJ$17-$AJ$22)-S6</f>
        <v/>
      </c>
      <c r="T54" s="519">
        <f>($C$13/$C$8-$AJ$18-$AJ$23)-T6</f>
        <v/>
      </c>
      <c r="U54" s="500">
        <f>O54</f>
        <v/>
      </c>
      <c r="V54" s="92" t="n"/>
      <c r="W54" s="196" t="n"/>
      <c r="X54" s="92" t="n"/>
      <c r="AA54" s="94" t="n"/>
      <c r="AB54" s="92" t="n"/>
      <c r="AE54" s="94" t="n"/>
    </row>
    <row r="55">
      <c r="F55" s="101" t="n"/>
      <c r="G55" s="102" t="n"/>
      <c r="H55" s="102" t="n"/>
      <c r="I55" s="103" t="n"/>
      <c r="J55" s="515" t="n"/>
      <c r="K55" s="646" t="n"/>
      <c r="L55" s="516" t="n"/>
      <c r="M55" s="517" t="n"/>
      <c r="N55" s="518" t="n"/>
      <c r="O55" s="518" t="n"/>
      <c r="P55" s="515" t="n"/>
      <c r="Q55" s="646" t="n"/>
      <c r="R55" s="516" t="n"/>
      <c r="S55" s="500" t="n"/>
      <c r="T55" s="519" t="n"/>
      <c r="U55" s="500" t="n"/>
      <c r="V55" s="92" t="n"/>
      <c r="W55" s="196" t="n"/>
      <c r="X55" s="92" t="n"/>
      <c r="AA55" s="94" t="n"/>
      <c r="AB55" s="92" t="n"/>
      <c r="AE55" s="94" t="n"/>
    </row>
    <row r="56">
      <c r="F56" s="101" t="n"/>
      <c r="G56" s="102" t="n"/>
      <c r="H56" s="102" t="n"/>
      <c r="I56" s="103" t="n"/>
      <c r="J56" s="515" t="n"/>
      <c r="K56" s="646" t="n"/>
      <c r="L56" s="516" t="n"/>
      <c r="M56" s="517" t="n"/>
      <c r="N56" s="518" t="n"/>
      <c r="O56" s="518" t="n"/>
      <c r="P56" s="515" t="n"/>
      <c r="Q56" s="646" t="n"/>
      <c r="R56" s="516" t="n"/>
      <c r="S56" s="500" t="n"/>
      <c r="T56" s="519" t="n"/>
      <c r="U56" s="500" t="n"/>
      <c r="V56" s="92" t="n"/>
      <c r="W56" s="196" t="n"/>
      <c r="X56" s="92" t="n"/>
      <c r="AA56" s="94" t="n"/>
      <c r="AB56" s="92" t="n"/>
      <c r="AE56" s="94" t="n"/>
    </row>
    <row r="57">
      <c r="F57" s="101" t="n"/>
      <c r="G57" s="102" t="n"/>
      <c r="H57" s="102" t="n"/>
      <c r="I57" s="103" t="n"/>
      <c r="J57" s="515" t="n"/>
      <c r="K57" s="646" t="n"/>
      <c r="L57" s="516" t="n"/>
      <c r="M57" s="517" t="n"/>
      <c r="N57" s="518" t="n"/>
      <c r="O57" s="518" t="n"/>
      <c r="P57" s="515" t="n"/>
      <c r="Q57" s="646" t="n"/>
      <c r="R57" s="516" t="n"/>
      <c r="S57" s="500" t="n"/>
      <c r="T57" s="519" t="n"/>
      <c r="U57" s="500" t="n"/>
      <c r="V57" s="92" t="n"/>
      <c r="W57" s="196" t="n"/>
      <c r="X57" s="92" t="n"/>
      <c r="AA57" s="94" t="n"/>
      <c r="AB57" s="92" t="n"/>
      <c r="AE57" s="94" t="n"/>
    </row>
    <row r="58">
      <c r="F58" s="101" t="n"/>
      <c r="G58" s="102" t="n"/>
      <c r="H58" s="102" t="n"/>
      <c r="I58" s="103" t="n"/>
      <c r="J58" s="515" t="n"/>
      <c r="K58" s="646" t="n"/>
      <c r="L58" s="516" t="n"/>
      <c r="M58" s="517" t="n"/>
      <c r="N58" s="518" t="n"/>
      <c r="O58" s="518" t="n"/>
      <c r="P58" s="515" t="n"/>
      <c r="Q58" s="646" t="n"/>
      <c r="R58" s="516" t="n"/>
      <c r="S58" s="500" t="n"/>
      <c r="T58" s="519" t="n"/>
      <c r="U58" s="500" t="n"/>
      <c r="V58" s="92" t="n"/>
      <c r="W58" s="196" t="n"/>
      <c r="X58" s="92" t="n"/>
      <c r="AA58" s="94" t="n"/>
      <c r="AB58" s="92" t="n"/>
      <c r="AE58" s="94" t="n"/>
    </row>
    <row r="59">
      <c r="F59" s="101" t="n"/>
      <c r="G59" s="102" t="n"/>
      <c r="H59" s="102" t="n"/>
      <c r="I59" s="103" t="n"/>
      <c r="J59" s="515" t="n"/>
      <c r="K59" s="646" t="n"/>
      <c r="L59" s="516" t="n"/>
      <c r="M59" s="517" t="n"/>
      <c r="N59" s="518" t="n"/>
      <c r="O59" s="518" t="n"/>
      <c r="P59" s="515" t="n"/>
      <c r="Q59" s="646" t="n"/>
      <c r="R59" s="516" t="n"/>
      <c r="S59" s="500" t="n"/>
      <c r="T59" s="519" t="n"/>
      <c r="U59" s="500" t="n"/>
      <c r="V59" s="92" t="n"/>
      <c r="W59" s="196" t="n"/>
      <c r="X59" s="92" t="n"/>
      <c r="AA59" s="94" t="n"/>
      <c r="AB59" s="92" t="n"/>
      <c r="AE59" s="94" t="n"/>
    </row>
    <row r="60">
      <c r="F60" s="101" t="n"/>
      <c r="G60" s="102" t="n"/>
      <c r="H60" s="102" t="n"/>
      <c r="I60" s="103" t="n"/>
      <c r="J60" s="515" t="n"/>
      <c r="K60" s="646" t="n"/>
      <c r="L60" s="516" t="n"/>
      <c r="M60" s="517" t="n"/>
      <c r="N60" s="518" t="n"/>
      <c r="O60" s="518" t="n"/>
      <c r="P60" s="515" t="n"/>
      <c r="Q60" s="646" t="n"/>
      <c r="R60" s="516" t="n"/>
      <c r="S60" s="500" t="n"/>
      <c r="T60" s="519" t="n"/>
      <c r="U60" s="500" t="n"/>
      <c r="V60" s="92" t="n"/>
      <c r="W60" s="196" t="n"/>
      <c r="X60" s="92" t="n"/>
      <c r="AA60" s="94" t="n"/>
      <c r="AB60" s="92" t="n"/>
      <c r="AE60" s="94" t="n"/>
    </row>
    <row r="61">
      <c r="F61" s="101" t="n"/>
      <c r="G61" s="102" t="n"/>
      <c r="H61" s="102" t="n"/>
      <c r="I61" s="103" t="n"/>
      <c r="J61" s="515" t="n"/>
      <c r="K61" s="646" t="n"/>
      <c r="L61" s="516" t="n"/>
      <c r="M61" s="517" t="n"/>
      <c r="N61" s="518" t="n"/>
      <c r="O61" s="518" t="n"/>
      <c r="P61" s="515" t="n"/>
      <c r="Q61" s="646" t="n"/>
      <c r="R61" s="516" t="n"/>
      <c r="S61" s="500" t="n"/>
      <c r="T61" s="519" t="n"/>
      <c r="U61" s="500" t="n"/>
      <c r="V61" s="92" t="n"/>
      <c r="W61" s="196" t="n"/>
      <c r="X61" s="92" t="n"/>
      <c r="AA61" s="94" t="n"/>
      <c r="AB61" s="92" t="n"/>
      <c r="AE61" s="94" t="n"/>
    </row>
    <row r="62">
      <c r="F62" s="101" t="n"/>
      <c r="G62" s="102" t="n"/>
      <c r="H62" s="102" t="n"/>
      <c r="I62" s="103" t="n"/>
      <c r="J62" s="515" t="n"/>
      <c r="K62" s="646" t="n"/>
      <c r="L62" s="516" t="n"/>
      <c r="M62" s="517" t="n"/>
      <c r="N62" s="518" t="n"/>
      <c r="O62" s="518" t="n"/>
      <c r="P62" s="515" t="n"/>
      <c r="Q62" s="646" t="n"/>
      <c r="R62" s="516" t="n"/>
      <c r="S62" s="500" t="n"/>
      <c r="T62" s="519" t="n"/>
      <c r="U62" s="500" t="n"/>
      <c r="V62" s="92" t="n"/>
      <c r="W62" s="196" t="n"/>
      <c r="X62" s="92" t="n"/>
      <c r="AA62" s="94" t="n"/>
      <c r="AB62" s="92" t="n"/>
      <c r="AE62" s="94" t="n"/>
    </row>
    <row r="63">
      <c r="F63" s="101" t="n"/>
      <c r="G63" s="102" t="n"/>
      <c r="H63" s="102" t="n"/>
      <c r="I63" s="103" t="n"/>
      <c r="J63" s="515" t="n"/>
      <c r="K63" s="646" t="n"/>
      <c r="L63" s="516" t="n"/>
      <c r="M63" s="517" t="n"/>
      <c r="N63" s="518" t="n"/>
      <c r="O63" s="518" t="n"/>
      <c r="P63" s="515" t="n"/>
      <c r="Q63" s="646" t="n"/>
      <c r="R63" s="516" t="n"/>
      <c r="S63" s="500" t="n"/>
      <c r="T63" s="519" t="n"/>
      <c r="U63" s="500" t="n"/>
      <c r="V63" s="92" t="n"/>
      <c r="W63" s="196" t="n"/>
      <c r="X63" s="92" t="n"/>
      <c r="AA63" s="94" t="n"/>
      <c r="AB63" s="92" t="n"/>
      <c r="AE63" s="94" t="n"/>
    </row>
    <row r="64">
      <c r="F64" s="101" t="n"/>
      <c r="G64" s="102" t="n"/>
      <c r="H64" s="102" t="n"/>
      <c r="I64" s="103" t="n"/>
      <c r="J64" s="515" t="n"/>
      <c r="K64" s="646" t="n"/>
      <c r="L64" s="516" t="n"/>
      <c r="M64" s="517" t="n"/>
      <c r="N64" s="518" t="n"/>
      <c r="O64" s="518" t="n"/>
      <c r="P64" s="515" t="n"/>
      <c r="Q64" s="646" t="n"/>
      <c r="R64" s="516" t="n"/>
      <c r="S64" s="500" t="n"/>
      <c r="T64" s="519" t="n"/>
      <c r="U64" s="500" t="n"/>
      <c r="V64" s="92" t="n"/>
      <c r="W64" s="196" t="n"/>
      <c r="X64" s="92" t="n"/>
      <c r="AA64" s="94" t="n"/>
      <c r="AB64" s="92" t="n"/>
      <c r="AE64" s="94" t="n"/>
    </row>
    <row r="65">
      <c r="F65" s="101" t="n"/>
      <c r="G65" s="102" t="n"/>
      <c r="H65" s="102" t="n"/>
      <c r="I65" s="103" t="n"/>
      <c r="J65" s="515" t="n"/>
      <c r="K65" s="646" t="n"/>
      <c r="L65" s="516" t="n"/>
      <c r="M65" s="517" t="n"/>
      <c r="N65" s="518" t="n"/>
      <c r="O65" s="518" t="n"/>
      <c r="P65" s="515" t="n"/>
      <c r="Q65" s="646" t="n"/>
      <c r="R65" s="516" t="n"/>
      <c r="S65" s="500" t="n"/>
      <c r="T65" s="519" t="n"/>
      <c r="U65" s="500" t="n"/>
      <c r="V65" s="92" t="n"/>
      <c r="W65" s="196" t="n"/>
      <c r="X65" s="92" t="n"/>
      <c r="AA65" s="94" t="n"/>
      <c r="AB65" s="92" t="n"/>
      <c r="AE65" s="94" t="n"/>
    </row>
    <row r="66">
      <c r="F66" s="101" t="n"/>
      <c r="G66" s="102" t="n"/>
      <c r="H66" s="102" t="n"/>
      <c r="I66" s="103" t="n"/>
      <c r="J66" s="515" t="n"/>
      <c r="K66" s="646" t="n"/>
      <c r="L66" s="516" t="n"/>
      <c r="M66" s="517" t="n"/>
      <c r="N66" s="518" t="n"/>
      <c r="O66" s="518" t="n"/>
      <c r="P66" s="515" t="n"/>
      <c r="Q66" s="646" t="n"/>
      <c r="R66" s="516" t="n"/>
      <c r="S66" s="500" t="n"/>
      <c r="T66" s="519" t="n"/>
      <c r="U66" s="500" t="n"/>
      <c r="V66" s="92" t="n"/>
      <c r="W66" s="196" t="n"/>
      <c r="X66" s="92" t="n"/>
      <c r="AA66" s="94" t="n"/>
      <c r="AB66" s="92" t="n"/>
      <c r="AE66" s="94" t="n"/>
    </row>
    <row r="67">
      <c r="F67" s="101" t="n"/>
      <c r="G67" s="102" t="n"/>
      <c r="H67" s="102" t="n"/>
      <c r="I67" s="103" t="n"/>
      <c r="J67" s="515" t="n"/>
      <c r="K67" s="646" t="n"/>
      <c r="L67" s="516" t="n"/>
      <c r="M67" s="517" t="n"/>
      <c r="N67" s="518" t="n"/>
      <c r="O67" s="518" t="n"/>
      <c r="P67" s="515" t="n"/>
      <c r="Q67" s="646" t="n"/>
      <c r="R67" s="516" t="n"/>
      <c r="S67" s="500" t="n"/>
      <c r="T67" s="519" t="n"/>
      <c r="U67" s="500" t="n"/>
      <c r="V67" s="92" t="n"/>
      <c r="W67" s="196" t="n"/>
      <c r="X67" s="92" t="n"/>
      <c r="AA67" s="94" t="n"/>
      <c r="AB67" s="92" t="n"/>
      <c r="AE67" s="94" t="n"/>
    </row>
    <row r="68">
      <c r="F68" s="101" t="n"/>
      <c r="G68" s="102" t="n"/>
      <c r="H68" s="102" t="n"/>
      <c r="I68" s="103" t="n"/>
      <c r="J68" s="515" t="n"/>
      <c r="K68" s="646" t="n"/>
      <c r="L68" s="516" t="n"/>
      <c r="M68" s="517" t="n"/>
      <c r="N68" s="518" t="n"/>
      <c r="O68" s="518" t="n"/>
      <c r="P68" s="515" t="n"/>
      <c r="Q68" s="646" t="n"/>
      <c r="R68" s="516" t="n"/>
      <c r="S68" s="500" t="n"/>
      <c r="T68" s="519" t="n"/>
      <c r="U68" s="500" t="n"/>
      <c r="V68" s="92" t="n"/>
      <c r="W68" s="196" t="n"/>
      <c r="X68" s="92" t="n"/>
      <c r="AA68" s="94" t="n"/>
      <c r="AB68" s="92" t="n"/>
      <c r="AE68" s="94" t="n"/>
    </row>
    <row r="69">
      <c r="F69" s="101" t="n"/>
      <c r="G69" s="102" t="n"/>
      <c r="H69" s="102" t="n"/>
      <c r="I69" s="103" t="n"/>
      <c r="J69" s="515" t="n"/>
      <c r="K69" s="646" t="n"/>
      <c r="L69" s="516" t="n"/>
      <c r="M69" s="517" t="n"/>
      <c r="N69" s="518" t="n"/>
      <c r="O69" s="518" t="n"/>
      <c r="P69" s="515" t="n"/>
      <c r="Q69" s="646" t="n"/>
      <c r="R69" s="516" t="n"/>
      <c r="S69" s="500" t="n"/>
      <c r="T69" s="519" t="n"/>
      <c r="U69" s="500" t="n"/>
      <c r="V69" s="92" t="n"/>
      <c r="W69" s="196" t="n"/>
      <c r="X69" s="92" t="n"/>
      <c r="AA69" s="94" t="n"/>
      <c r="AB69" s="92" t="n"/>
      <c r="AE69" s="94" t="n"/>
    </row>
    <row r="70">
      <c r="F70" s="101" t="n"/>
      <c r="G70" s="102" t="n"/>
      <c r="H70" s="102" t="n"/>
      <c r="I70" s="103" t="n"/>
      <c r="J70" s="515" t="n"/>
      <c r="K70" s="646" t="n"/>
      <c r="L70" s="516" t="n"/>
      <c r="M70" s="517" t="n"/>
      <c r="N70" s="518" t="n"/>
      <c r="O70" s="518" t="n"/>
      <c r="P70" s="515" t="n"/>
      <c r="Q70" s="646" t="n"/>
      <c r="R70" s="516" t="n"/>
      <c r="S70" s="500" t="n"/>
      <c r="T70" s="519" t="n"/>
      <c r="U70" s="500" t="n"/>
      <c r="V70" s="92" t="n"/>
      <c r="W70" s="196" t="n"/>
      <c r="X70" s="92" t="n"/>
      <c r="AA70" s="94" t="n"/>
      <c r="AB70" s="92" t="n"/>
      <c r="AE70" s="94" t="n"/>
    </row>
    <row r="71">
      <c r="F71" s="101" t="n"/>
      <c r="G71" s="102" t="n"/>
      <c r="H71" s="102" t="n"/>
      <c r="I71" s="103" t="n"/>
      <c r="J71" s="515" t="n"/>
      <c r="K71" s="646" t="n"/>
      <c r="L71" s="516" t="n"/>
      <c r="M71" s="517" t="n"/>
      <c r="N71" s="518" t="n"/>
      <c r="O71" s="518" t="n"/>
      <c r="P71" s="515" t="n"/>
      <c r="Q71" s="646" t="n"/>
      <c r="R71" s="516" t="n"/>
      <c r="S71" s="500" t="n"/>
      <c r="T71" s="519" t="n"/>
      <c r="U71" s="500" t="n"/>
      <c r="V71" s="92" t="n"/>
      <c r="W71" s="196" t="n"/>
      <c r="X71" s="92" t="n"/>
      <c r="AA71" s="94" t="n"/>
      <c r="AB71" s="92" t="n"/>
      <c r="AE71" s="94" t="n"/>
    </row>
    <row r="72">
      <c r="F72" s="101" t="n"/>
      <c r="G72" s="102" t="n"/>
      <c r="H72" s="102" t="n"/>
      <c r="I72" s="103" t="n"/>
      <c r="J72" s="515" t="n"/>
      <c r="K72" s="646" t="n"/>
      <c r="L72" s="516" t="n"/>
      <c r="M72" s="517" t="n"/>
      <c r="N72" s="518" t="n"/>
      <c r="O72" s="518" t="n"/>
      <c r="P72" s="515" t="n"/>
      <c r="Q72" s="646" t="n"/>
      <c r="R72" s="516" t="n"/>
      <c r="S72" s="500" t="n"/>
      <c r="T72" s="519" t="n"/>
      <c r="U72" s="500" t="n"/>
      <c r="V72" s="92" t="n"/>
      <c r="W72" s="196" t="n"/>
      <c r="X72" s="92" t="n"/>
      <c r="AA72" s="94" t="n"/>
      <c r="AB72" s="92" t="n"/>
      <c r="AE72" s="94" t="n"/>
    </row>
    <row r="73">
      <c r="F73" s="101" t="n"/>
      <c r="G73" s="102" t="n"/>
      <c r="H73" s="102" t="n"/>
      <c r="I73" s="103" t="n"/>
      <c r="J73" s="515" t="n"/>
      <c r="K73" s="646" t="n"/>
      <c r="L73" s="516" t="n"/>
      <c r="M73" s="517" t="n"/>
      <c r="N73" s="518" t="n"/>
      <c r="O73" s="518" t="n"/>
      <c r="P73" s="515" t="n"/>
      <c r="Q73" s="646" t="n"/>
      <c r="R73" s="516" t="n"/>
      <c r="S73" s="500" t="n"/>
      <c r="T73" s="519" t="n"/>
      <c r="U73" s="500" t="n"/>
      <c r="V73" s="92" t="n"/>
      <c r="W73" s="196" t="n"/>
      <c r="X73" s="92" t="n"/>
      <c r="AA73" s="94" t="n"/>
      <c r="AB73" s="92" t="n"/>
      <c r="AE73" s="94" t="n"/>
    </row>
    <row r="74">
      <c r="F74" s="101" t="n"/>
      <c r="G74" s="102" t="n"/>
      <c r="H74" s="102" t="n"/>
      <c r="I74" s="103" t="n"/>
      <c r="J74" s="515" t="n"/>
      <c r="K74" s="646" t="n"/>
      <c r="L74" s="516" t="n"/>
      <c r="M74" s="517" t="n"/>
      <c r="N74" s="518" t="n"/>
      <c r="O74" s="518" t="n"/>
      <c r="P74" s="515" t="n"/>
      <c r="Q74" s="646" t="n"/>
      <c r="R74" s="516" t="n"/>
      <c r="S74" s="500" t="n"/>
      <c r="T74" s="519" t="n"/>
      <c r="U74" s="500" t="n"/>
      <c r="V74" s="92" t="n"/>
      <c r="W74" s="196" t="n"/>
      <c r="X74" s="92" t="n"/>
      <c r="AA74" s="94" t="n"/>
      <c r="AB74" s="92" t="n"/>
      <c r="AE74" s="94" t="n"/>
    </row>
    <row r="75">
      <c r="F75" s="101" t="n"/>
      <c r="G75" s="102" t="n"/>
      <c r="H75" s="102" t="n"/>
      <c r="I75" s="103" t="n"/>
      <c r="J75" s="515" t="n"/>
      <c r="K75" s="646" t="n"/>
      <c r="L75" s="516" t="n"/>
      <c r="M75" s="517" t="n"/>
      <c r="N75" s="518" t="n"/>
      <c r="O75" s="518" t="n"/>
      <c r="P75" s="515" t="n"/>
      <c r="Q75" s="646" t="n"/>
      <c r="R75" s="516" t="n"/>
      <c r="S75" s="500" t="n"/>
      <c r="T75" s="519" t="n"/>
      <c r="U75" s="500" t="n"/>
      <c r="V75" s="92" t="n"/>
      <c r="W75" s="196" t="n"/>
      <c r="X75" s="92" t="n"/>
      <c r="AA75" s="94" t="n"/>
      <c r="AB75" s="92" t="n"/>
      <c r="AE75" s="94" t="n"/>
    </row>
    <row r="76">
      <c r="F76" s="101" t="n"/>
      <c r="G76" s="102" t="n"/>
      <c r="H76" s="102" t="n"/>
      <c r="I76" s="103" t="n"/>
      <c r="J76" s="515" t="n"/>
      <c r="K76" s="646" t="n"/>
      <c r="L76" s="516" t="n"/>
      <c r="M76" s="517" t="n"/>
      <c r="N76" s="518" t="n"/>
      <c r="O76" s="518" t="n"/>
      <c r="P76" s="515" t="n"/>
      <c r="Q76" s="646" t="n"/>
      <c r="R76" s="516" t="n"/>
      <c r="S76" s="500" t="n"/>
      <c r="T76" s="519" t="n"/>
      <c r="U76" s="500" t="n"/>
      <c r="V76" s="92" t="n"/>
      <c r="W76" s="196" t="n"/>
      <c r="X76" s="92" t="n"/>
      <c r="AA76" s="94" t="n"/>
      <c r="AB76" s="92" t="n"/>
      <c r="AE76" s="94" t="n"/>
    </row>
    <row r="77">
      <c r="F77" s="101" t="n"/>
      <c r="G77" s="102" t="n"/>
      <c r="H77" s="102" t="n"/>
      <c r="I77" s="103" t="n"/>
      <c r="J77" s="515" t="n"/>
      <c r="K77" s="646" t="n"/>
      <c r="L77" s="516" t="n"/>
      <c r="M77" s="517" t="n"/>
      <c r="N77" s="518" t="n"/>
      <c r="O77" s="518" t="n"/>
      <c r="P77" s="515" t="n"/>
      <c r="Q77" s="646" t="n"/>
      <c r="R77" s="516" t="n"/>
      <c r="S77" s="500" t="n"/>
      <c r="T77" s="519" t="n"/>
      <c r="U77" s="500" t="n"/>
      <c r="V77" s="92" t="n"/>
      <c r="W77" s="196" t="n"/>
      <c r="X77" s="92" t="n"/>
      <c r="AA77" s="94" t="n"/>
      <c r="AB77" s="92" t="n"/>
      <c r="AE77" s="94" t="n"/>
    </row>
    <row r="78">
      <c r="F78" s="276" t="n"/>
      <c r="G78" s="277" t="n"/>
      <c r="H78" s="277" t="n"/>
      <c r="I78" s="278" t="n"/>
      <c r="J78" s="581" t="n"/>
      <c r="K78" s="653" t="n"/>
      <c r="L78" s="588" t="n"/>
      <c r="M78" s="640" t="n"/>
      <c r="N78" s="641" t="n"/>
      <c r="O78" s="641" t="n"/>
      <c r="P78" s="581" t="n"/>
      <c r="Q78" s="653" t="n"/>
      <c r="R78" s="588" t="n"/>
      <c r="S78" s="589" t="n"/>
      <c r="T78" s="642" t="n"/>
      <c r="U78" s="589" t="n"/>
      <c r="V78" s="59" t="n"/>
      <c r="W78" s="12" t="n"/>
      <c r="X78" s="59" t="n"/>
      <c r="Y78" s="95" t="n"/>
      <c r="Z78" s="95" t="n"/>
      <c r="AA78" s="97" t="n"/>
      <c r="AB78" s="59" t="n"/>
      <c r="AC78" s="95" t="n"/>
      <c r="AD78" s="95" t="n"/>
      <c r="AE78" s="97" t="n"/>
    </row>
    <row r="79">
      <c r="R79" s="500" t="n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AQ78"/>
  <sheetViews>
    <sheetView showGridLines="0" topLeftCell="L1" zoomScale="70" zoomScaleNormal="70" workbookViewId="0">
      <selection activeCell="AD39" sqref="AD39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1.6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11.6875" bestFit="1" customWidth="1" style="497" min="18" max="20"/>
    <col width="9.375" bestFit="1" customWidth="1" style="497" min="21" max="21"/>
    <col width="11.1875" bestFit="1" customWidth="1" style="497" min="22" max="22"/>
    <col width="9.1875" customWidth="1" style="497" min="23" max="23"/>
    <col width="16.5" customWidth="1" style="497" min="24" max="28"/>
    <col outlineLevel="1" width="14" customWidth="1" style="497" min="29" max="33"/>
    <col width="11.375" bestFit="1" customWidth="1" style="497" min="34" max="34"/>
    <col width="15.375" bestFit="1" customWidth="1" style="497" min="36" max="36"/>
    <col width="12.375" bestFit="1" customWidth="1" style="497" min="37" max="37"/>
    <col width="11.6875" bestFit="1" customWidth="1" style="497" min="38" max="38"/>
    <col width="11.6875" bestFit="1" customWidth="1" style="497" min="42" max="42"/>
    <col width="10.875" customWidth="1" style="497" min="43" max="43"/>
  </cols>
  <sheetData>
    <row r="1">
      <c r="S1" s="500">
        <f>C44-C11-C12+SUM(AL16:AL17,AL21:AL22,AL26:AL27)*C7</f>
        <v/>
      </c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선납+선납할인+단품할인 시 (v-)</t>
        </is>
      </c>
      <c r="S3" s="76" t="n"/>
      <c r="T3" s="76" t="n"/>
      <c r="U3" s="76" t="n"/>
      <c r="V3" s="75" t="inlineStr">
        <is>
          <t>중도해지 시 (v-)</t>
        </is>
      </c>
      <c r="W3" s="70" t="n"/>
      <c r="X3" s="254" t="n"/>
      <c r="Y3" s="254" t="n"/>
      <c r="Z3" s="254" t="n"/>
      <c r="AA3" s="255" t="n"/>
      <c r="AB3" s="254" t="n"/>
      <c r="AC3" s="75" t="inlineStr">
        <is>
          <t>중도해지 시 (v+)</t>
        </is>
      </c>
      <c r="AD3" s="70" t="n"/>
      <c r="AE3" s="70" t="n"/>
      <c r="AF3" s="70" t="n"/>
      <c r="AG3" s="71" t="n"/>
      <c r="AM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26" t="inlineStr">
        <is>
          <t>제품판정일</t>
        </is>
      </c>
      <c r="W4" s="9" t="inlineStr">
        <is>
          <t>경과일</t>
        </is>
      </c>
      <c r="X4" s="26" t="inlineStr">
        <is>
          <t>위약금</t>
        </is>
      </c>
      <c r="Y4" s="15" t="inlineStr">
        <is>
          <t>사용분 청구</t>
        </is>
      </c>
      <c r="Z4" s="15" t="inlineStr">
        <is>
          <t>할인금 회수</t>
        </is>
      </c>
      <c r="AA4" s="15" t="inlineStr">
        <is>
          <t>선납잔액 환불</t>
        </is>
      </c>
      <c r="AB4" s="27" t="inlineStr">
        <is>
          <t>등록비 청구</t>
        </is>
      </c>
      <c r="AC4" s="15" t="inlineStr">
        <is>
          <t>위약금</t>
        </is>
      </c>
      <c r="AD4" s="15" t="inlineStr">
        <is>
          <t>사용분 청구</t>
        </is>
      </c>
      <c r="AE4" s="15" t="inlineStr">
        <is>
          <t>할인금 회수</t>
        </is>
      </c>
      <c r="AF4" s="15" t="inlineStr">
        <is>
          <t>선납잔액 환불</t>
        </is>
      </c>
      <c r="AG4" s="27" t="inlineStr">
        <is>
          <t>등록비</t>
        </is>
      </c>
      <c r="AJ4" s="273" t="inlineStr">
        <is>
          <t>사용분 청구 (v-)</t>
        </is>
      </c>
      <c r="AK4" s="274" t="n"/>
      <c r="AL4" s="274" t="n"/>
      <c r="AM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ROUNDDOWN(($C$11/$C$7-AL16-AL21)*(H5-G5+1)/DAY(H5),-2)</f>
        <v/>
      </c>
      <c r="Q5" s="519">
        <f>ROUNDDOWN(($C$12/$C$7-AL17-AL22)*(H5-G5+1)/DAY(H5),-2)</f>
        <v/>
      </c>
      <c r="R5" s="515">
        <f>ROUNDDOWN(($C$44/$C$7)*(H5-G5+1)/DAY(H5),-2)</f>
        <v/>
      </c>
      <c r="S5" s="516">
        <f>R5-T5-U5</f>
        <v/>
      </c>
      <c r="T5" s="500">
        <f>ROUNDDOWN(($C$11/$C$7-AL16-AL21-AL26)*(H5-G5+1)/DAY(H5),-2)</f>
        <v/>
      </c>
      <c r="U5" s="519">
        <f>ROUNDDOWN(($C$12/$C$7-$AL$17-$AL$22-$AL$27)*(H5-G5+1)/DAY(H5),-2)</f>
        <v/>
      </c>
      <c r="V5" s="55" t="n"/>
      <c r="W5" s="54">
        <f>H5-G5+1</f>
        <v/>
      </c>
      <c r="X5" s="55" t="n"/>
      <c r="Y5" s="626" t="n"/>
      <c r="Z5" s="627" t="n"/>
      <c r="AA5" s="251" t="n"/>
      <c r="AB5" s="94" t="n"/>
      <c r="AC5" s="251" t="n"/>
      <c r="AD5" s="626" t="n"/>
      <c r="AE5" s="627" t="n"/>
      <c r="AF5" s="627" t="n"/>
      <c r="AG5" s="91" t="n"/>
      <c r="AJ5" s="130" t="n"/>
      <c r="AK5" s="9" t="inlineStr">
        <is>
          <t>제품</t>
        </is>
      </c>
      <c r="AL5" s="9" t="inlineStr">
        <is>
          <t>케어</t>
        </is>
      </c>
      <c r="AM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$C$11/$C$7-$AL$16-$AL$21</f>
        <v/>
      </c>
      <c r="Q6" s="519">
        <f>$C$12/$C$7-$AL$17-$AL$22</f>
        <v/>
      </c>
      <c r="R6" s="515">
        <f>$C$43</f>
        <v/>
      </c>
      <c r="S6" s="516">
        <f>R6-T6-U6</f>
        <v/>
      </c>
      <c r="T6" s="500">
        <f>$C$11/$C$7-$AL$16-$AL$21-$AL$26</f>
        <v/>
      </c>
      <c r="U6" s="519">
        <f>$C$12/$C$7-$AL$17-$AL$22-$AL$27</f>
        <v/>
      </c>
      <c r="V6" s="92" t="n"/>
      <c r="W6" s="196">
        <f>H6-G6+1</f>
        <v/>
      </c>
      <c r="X6" s="92" t="n"/>
      <c r="Y6" s="206" t="n"/>
      <c r="Z6" s="206" t="n"/>
      <c r="AA6" s="206" t="n"/>
      <c r="AB6" s="94" t="n"/>
      <c r="AC6" s="206" t="n"/>
      <c r="AD6" s="206" t="n"/>
      <c r="AE6" s="206" t="n"/>
      <c r="AF6" s="206" t="n"/>
      <c r="AG6" s="94" t="n"/>
      <c r="AJ6" s="527">
        <f>Y24</f>
        <v/>
      </c>
      <c r="AK6" s="527">
        <f>AJ6-AL6-AM6</f>
        <v/>
      </c>
      <c r="AL6" s="2">
        <f>ROUNDDOWN(P24*W24/DAY(H24),-2)</f>
        <v/>
      </c>
      <c r="AM6" s="2">
        <f>ROUNDDOWN(Q24*W24/DAY(H24),-2)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$C$11/$C$7-$AL$16-$AL$21</f>
        <v/>
      </c>
      <c r="Q7" s="519">
        <f>$C$12/$C$7-$AL$17-$AL$22</f>
        <v/>
      </c>
      <c r="R7" s="515">
        <f>$C$43</f>
        <v/>
      </c>
      <c r="S7" s="516">
        <f>R7-T7-U7</f>
        <v/>
      </c>
      <c r="T7" s="500">
        <f>$C$11/$C$7-$AL$16-$AL$21-$AL$26</f>
        <v/>
      </c>
      <c r="U7" s="519">
        <f>$C$12/$C$7-$AL$17-$AL$22-$AL$27</f>
        <v/>
      </c>
      <c r="V7" s="92" t="n"/>
      <c r="W7" s="196">
        <f>H7-G7+1</f>
        <v/>
      </c>
      <c r="X7" s="92" t="n"/>
      <c r="Y7" s="206" t="n"/>
      <c r="Z7" s="206" t="n"/>
      <c r="AA7" s="206" t="n"/>
      <c r="AB7" s="94" t="n"/>
      <c r="AC7" s="206" t="n"/>
      <c r="AD7" s="206" t="n"/>
      <c r="AE7" s="206" t="n"/>
      <c r="AF7" s="206" t="n"/>
      <c r="AG7" s="94" t="n"/>
      <c r="AJ7" s="505" t="n"/>
      <c r="AK7" s="505" t="n"/>
      <c r="AL7" s="505" t="n"/>
      <c r="AM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$C$11/$C$7-$AL$16-$AL$21</f>
        <v/>
      </c>
      <c r="Q8" s="519">
        <f>$C$12/$C$7-$AL$17-$AL$22</f>
        <v/>
      </c>
      <c r="R8" s="515">
        <f>$C$43</f>
        <v/>
      </c>
      <c r="S8" s="516">
        <f>R8-T8-U8</f>
        <v/>
      </c>
      <c r="T8" s="500">
        <f>$C$11/$C$7-$AL$16-$AL$21-$AL$26</f>
        <v/>
      </c>
      <c r="U8" s="519">
        <f>$C$12/$C$7-$AL$17-$AL$22-$AL$27</f>
        <v/>
      </c>
      <c r="V8" s="92" t="n"/>
      <c r="W8" s="196">
        <f>H8-G8+1</f>
        <v/>
      </c>
      <c r="X8" s="92" t="n"/>
      <c r="Y8" s="206" t="n"/>
      <c r="Z8" s="206" t="n"/>
      <c r="AA8" s="206" t="n"/>
      <c r="AB8" s="94" t="n"/>
      <c r="AC8" s="206" t="n"/>
      <c r="AD8" s="206" t="n"/>
      <c r="AE8" s="206" t="n"/>
      <c r="AF8" s="206" t="n"/>
      <c r="AG8" s="94" t="n"/>
      <c r="AJ8" s="206" t="inlineStr">
        <is>
          <t>* 분실료, 파손료는 비과세로 혜택가(v+)기준으로 계산</t>
        </is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$C$11/$C$7-$AL$16-$AL$21</f>
        <v/>
      </c>
      <c r="Q9" s="519">
        <f>$C$12/$C$7-$AL$17-$AL$22</f>
        <v/>
      </c>
      <c r="R9" s="515">
        <f>$C$43</f>
        <v/>
      </c>
      <c r="S9" s="516">
        <f>R9-T9-U9</f>
        <v/>
      </c>
      <c r="T9" s="500">
        <f>$C$11/$C$7-$AL$16-$AL$21-$AL$26</f>
        <v/>
      </c>
      <c r="U9" s="519">
        <f>$C$12/$C$7-$AL$17-$AL$22-$AL$27</f>
        <v/>
      </c>
      <c r="V9" s="92" t="n"/>
      <c r="W9" s="196">
        <f>H9-G9+1</f>
        <v/>
      </c>
      <c r="X9" s="92" t="n"/>
      <c r="Y9" s="206" t="n"/>
      <c r="Z9" s="206" t="n"/>
      <c r="AA9" s="206" t="n"/>
      <c r="AB9" s="94" t="n"/>
      <c r="AC9" s="206" t="n"/>
      <c r="AD9" s="206" t="n"/>
      <c r="AE9" s="206" t="n"/>
      <c r="AF9" s="206" t="n"/>
      <c r="AG9" s="94" t="n"/>
      <c r="AJ9" s="9" t="inlineStr">
        <is>
          <t>분실료</t>
        </is>
      </c>
      <c r="AK9" s="9" t="inlineStr">
        <is>
          <t>파손료</t>
        </is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$C$11/$C$7-$AL$16-$AL$21</f>
        <v/>
      </c>
      <c r="Q10" s="519">
        <f>$C$12/$C$7-$AL$17-$AL$22</f>
        <v/>
      </c>
      <c r="R10" s="515">
        <f>$C$43</f>
        <v/>
      </c>
      <c r="S10" s="516">
        <f>R10-T10-U10</f>
        <v/>
      </c>
      <c r="T10" s="500">
        <f>$C$11/$C$7-$AL$16-$AL$21-$AL$26</f>
        <v/>
      </c>
      <c r="U10" s="519">
        <f>$C$12/$C$7-$AL$17-$AL$22-$AL$27</f>
        <v/>
      </c>
      <c r="V10" s="92" t="n"/>
      <c r="W10" s="196">
        <f>H10-G10+1</f>
        <v/>
      </c>
      <c r="X10" s="92" t="n"/>
      <c r="Y10" s="206" t="n"/>
      <c r="Z10" s="206" t="n"/>
      <c r="AA10" s="206" t="n"/>
      <c r="AB10" s="94" t="n"/>
      <c r="AC10" s="206" t="n"/>
      <c r="AD10" s="206" t="n"/>
      <c r="AE10" s="206" t="n"/>
      <c r="AF10" s="206" t="n"/>
      <c r="AG10" s="94" t="n"/>
      <c r="AJ10" s="507">
        <f>ROUNDDOWN((C10*1.1)*(C8-SUM(W5:W24))/C8,-1)</f>
        <v/>
      </c>
      <c r="AK10" s="506">
        <f>ROUNDDOWN(AJ10*50%,-1)</f>
        <v/>
      </c>
    </row>
    <row r="11">
      <c r="B11" s="9" t="inlineStr">
        <is>
          <t>케어서비스(v-)</t>
        </is>
      </c>
      <c r="C11" s="526">
        <f>5900*72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$C$11/$C$7-$AL$16-$AL$21</f>
        <v/>
      </c>
      <c r="Q11" s="519">
        <f>$C$12/$C$7-$AL$17-$AL$22</f>
        <v/>
      </c>
      <c r="R11" s="515">
        <f>$C$43</f>
        <v/>
      </c>
      <c r="S11" s="516">
        <f>R11-T11-U11</f>
        <v/>
      </c>
      <c r="T11" s="500">
        <f>$C$11/$C$7-$AL$16-$AL$21-$AL$26</f>
        <v/>
      </c>
      <c r="U11" s="519">
        <f>$C$12/$C$7-$AL$17-$AL$22-$AL$27</f>
        <v/>
      </c>
      <c r="V11" s="92" t="n"/>
      <c r="W11" s="196">
        <f>H11-G11+1</f>
        <v/>
      </c>
      <c r="X11" s="92" t="n"/>
      <c r="Y11" s="206" t="n"/>
      <c r="Z11" s="206" t="n"/>
      <c r="AA11" s="206" t="n"/>
      <c r="AB11" s="94" t="n"/>
      <c r="AC11" s="206" t="n"/>
      <c r="AD11" s="206" t="n"/>
      <c r="AE11" s="206" t="n"/>
      <c r="AF11" s="206" t="n"/>
      <c r="AG11" s="94" t="n"/>
      <c r="AJ11" s="517">
        <f>ROUNDDOWN((C10*1.1)*(H77-V24+1)/C8,-1)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$C$11/$C$7-$AL$16-$AL$21</f>
        <v/>
      </c>
      <c r="Q12" s="519">
        <f>$C$12/$C$7-$AL$17-$AL$22</f>
        <v/>
      </c>
      <c r="R12" s="515">
        <f>$C$43</f>
        <v/>
      </c>
      <c r="S12" s="516">
        <f>R12-T12-U12</f>
        <v/>
      </c>
      <c r="T12" s="500">
        <f>$C$11/$C$7-$AL$16-$AL$21-$AL$26</f>
        <v/>
      </c>
      <c r="U12" s="519">
        <f>$C$12/$C$7-$AL$17-$AL$22-$AL$27</f>
        <v/>
      </c>
      <c r="V12" s="92" t="n"/>
      <c r="W12" s="196">
        <f>H12-G12+1</f>
        <v/>
      </c>
      <c r="X12" s="92" t="n"/>
      <c r="Y12" s="206" t="n"/>
      <c r="Z12" s="206" t="n"/>
      <c r="AA12" s="206" t="n"/>
      <c r="AB12" s="94" t="n"/>
      <c r="AC12" s="206" t="n"/>
      <c r="AD12" s="206" t="n"/>
      <c r="AE12" s="206" t="n"/>
      <c r="AF12" s="206" t="n"/>
      <c r="AG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$C$11/$C$7-$AL$16-$AL$21</f>
        <v/>
      </c>
      <c r="Q13" s="519">
        <f>$C$12/$C$7-$AL$17-$AL$22</f>
        <v/>
      </c>
      <c r="R13" s="515">
        <f>$C$43</f>
        <v/>
      </c>
      <c r="S13" s="516">
        <f>R13-T13-U13</f>
        <v/>
      </c>
      <c r="T13" s="500">
        <f>$C$11/$C$7-$AL$16-$AL$21-$AL$26</f>
        <v/>
      </c>
      <c r="U13" s="519">
        <f>$C$12/$C$7-$AL$17-$AL$22-$AL$27</f>
        <v/>
      </c>
      <c r="V13" s="92" t="n"/>
      <c r="W13" s="196">
        <f>H13-G13+1</f>
        <v/>
      </c>
      <c r="X13" s="92" t="n"/>
      <c r="Y13" s="206" t="n"/>
      <c r="Z13" s="206" t="n"/>
      <c r="AA13" s="206" t="n"/>
      <c r="AB13" s="94" t="n"/>
      <c r="AC13" s="206" t="n"/>
      <c r="AD13" s="206" t="n"/>
      <c r="AE13" s="206" t="n"/>
      <c r="AF13" s="206" t="n"/>
      <c r="AG13" s="94" t="n"/>
      <c r="AJ13" s="206" t="inlineStr">
        <is>
          <t>v- 100단위 조정</t>
        </is>
      </c>
      <c r="AN13" s="206" t="inlineStr">
        <is>
          <t>v- 소수점만 제거</t>
        </is>
      </c>
      <c r="AQ13" s="206" t="inlineStr">
        <is>
          <t>V+</t>
        </is>
      </c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$C$11/$C$7-$AL$16-$AL$21</f>
        <v/>
      </c>
      <c r="Q14" s="519">
        <f>$C$12/$C$7-$AL$17-$AL$22</f>
        <v/>
      </c>
      <c r="R14" s="515">
        <f>$C$43</f>
        <v/>
      </c>
      <c r="S14" s="516">
        <f>R14-T14-U14</f>
        <v/>
      </c>
      <c r="T14" s="500">
        <f>$C$11/$C$7-$AL$16-$AL$21-$AL$26</f>
        <v/>
      </c>
      <c r="U14" s="519">
        <f>$C$12/$C$7-$AL$17-$AL$22-$AL$27</f>
        <v/>
      </c>
      <c r="V14" s="92" t="n"/>
      <c r="W14" s="196">
        <f>H14-G14+1</f>
        <v/>
      </c>
      <c r="X14" s="92" t="n"/>
      <c r="Y14" s="206" t="n"/>
      <c r="Z14" s="206" t="n"/>
      <c r="AA14" s="206" t="n"/>
      <c r="AB14" s="94" t="n"/>
      <c r="AC14" s="206" t="n"/>
      <c r="AD14" s="206" t="n"/>
      <c r="AE14" s="206" t="n"/>
      <c r="AF14" s="206" t="n"/>
      <c r="AG14" s="94" t="n"/>
      <c r="AJ14" s="378" t="inlineStr">
        <is>
          <t>월 선납금(v-)</t>
        </is>
      </c>
      <c r="AK14" s="251" t="n"/>
      <c r="AL14" s="504">
        <f>C26/C7</f>
        <v/>
      </c>
      <c r="AN14" s="378" t="inlineStr">
        <is>
          <t>월 선납금(v-)</t>
        </is>
      </c>
      <c r="AO14" s="251" t="n"/>
      <c r="AP14" s="504">
        <f>C26/C7</f>
        <v/>
      </c>
      <c r="AQ14" s="505">
        <f>AP14*1.1</f>
        <v/>
      </c>
    </row>
    <row r="15">
      <c r="B15" s="9" t="inlineStr">
        <is>
          <t>월구독료(v-)</t>
        </is>
      </c>
      <c r="C15" s="526">
        <f>C14/C7</f>
        <v/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$C$11/$C$7-$AL$16-$AL$21</f>
        <v/>
      </c>
      <c r="Q15" s="519">
        <f>$C$12/$C$7-$AL$17-$AL$22</f>
        <v/>
      </c>
      <c r="R15" s="515">
        <f>$C$43</f>
        <v/>
      </c>
      <c r="S15" s="516">
        <f>R15-T15-U15</f>
        <v/>
      </c>
      <c r="T15" s="500">
        <f>$C$11/$C$7-$AL$16-$AL$21-$AL$26</f>
        <v/>
      </c>
      <c r="U15" s="519">
        <f>$C$12/$C$7-$AL$17-$AL$22-$AL$27</f>
        <v/>
      </c>
      <c r="V15" s="92" t="n"/>
      <c r="W15" s="196">
        <f>H15-G15+1</f>
        <v/>
      </c>
      <c r="X15" s="92" t="n"/>
      <c r="Y15" s="206" t="n"/>
      <c r="Z15" s="206" t="n"/>
      <c r="AA15" s="206" t="n"/>
      <c r="AB15" s="94" t="n"/>
      <c r="AC15" s="206" t="n"/>
      <c r="AD15" s="206" t="n"/>
      <c r="AE15" s="206" t="n"/>
      <c r="AF15" s="206" t="n"/>
      <c r="AG15" s="94" t="n"/>
      <c r="AJ15" s="375" t="n"/>
      <c r="AK15" s="506" t="inlineStr">
        <is>
          <t>제품</t>
        </is>
      </c>
      <c r="AL15" s="507">
        <f>AL14-AL16-AL17</f>
        <v/>
      </c>
      <c r="AN15" s="375" t="n"/>
      <c r="AO15" s="506" t="inlineStr">
        <is>
          <t>제품</t>
        </is>
      </c>
      <c r="AP15" s="507">
        <f>AP14-AP16-AP17</f>
        <v/>
      </c>
      <c r="AQ15" s="505">
        <f>ROUND(AP15*1.1,)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$C$11/$C$7-$AL$16-$AL$21</f>
        <v/>
      </c>
      <c r="Q16" s="519">
        <f>$C$12/$C$7-$AL$17-$AL$22</f>
        <v/>
      </c>
      <c r="R16" s="515">
        <f>$C$43</f>
        <v/>
      </c>
      <c r="S16" s="516">
        <f>R16-T16-U16</f>
        <v/>
      </c>
      <c r="T16" s="500">
        <f>$C$11/$C$7-$AL$16-$AL$21-$AL$26</f>
        <v/>
      </c>
      <c r="U16" s="519">
        <f>$C$12/$C$7-$AL$17-$AL$22-$AL$27</f>
        <v/>
      </c>
      <c r="V16" s="92" t="n"/>
      <c r="W16" s="196">
        <f>H16-G16+1</f>
        <v/>
      </c>
      <c r="X16" s="92" t="n"/>
      <c r="Y16" s="206" t="n"/>
      <c r="Z16" s="206" t="n"/>
      <c r="AA16" s="206" t="n"/>
      <c r="AB16" s="94" t="n"/>
      <c r="AC16" s="206" t="n"/>
      <c r="AD16" s="206" t="n"/>
      <c r="AE16" s="206" t="n"/>
      <c r="AF16" s="206" t="n"/>
      <c r="AG16" s="94" t="n"/>
      <c r="AJ16" s="375" t="n"/>
      <c r="AK16" s="506" t="inlineStr">
        <is>
          <t>케어</t>
        </is>
      </c>
      <c r="AL16" s="507">
        <f>ROUND(AL14*C11/$C$14,-2)</f>
        <v/>
      </c>
      <c r="AN16" s="375" t="n"/>
      <c r="AO16" s="506" t="inlineStr">
        <is>
          <t>케어</t>
        </is>
      </c>
      <c r="AP16" s="507">
        <f>ROUND(AP14*$C$11/$C$14,0)</f>
        <v/>
      </c>
      <c r="AQ16" s="505">
        <f>ROUND(AP16*1.1,)</f>
        <v/>
      </c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$C$11/$C$7-$AL$16-$AL$21</f>
        <v/>
      </c>
      <c r="Q17" s="519">
        <f>$C$12/$C$7-$AL$17-$AL$22</f>
        <v/>
      </c>
      <c r="R17" s="515">
        <f>$C$43</f>
        <v/>
      </c>
      <c r="S17" s="516">
        <f>R17-T17-U17</f>
        <v/>
      </c>
      <c r="T17" s="500">
        <f>$C$11/$C$7-$AL$16-$AL$21-$AL$26</f>
        <v/>
      </c>
      <c r="U17" s="519">
        <f>$C$12/$C$7-$AL$17-$AL$22-$AL$27</f>
        <v/>
      </c>
      <c r="V17" s="92" t="n"/>
      <c r="W17" s="196">
        <f>H17-G17+1</f>
        <v/>
      </c>
      <c r="X17" s="92" t="n"/>
      <c r="Y17" s="206" t="n"/>
      <c r="Z17" s="206" t="n"/>
      <c r="AA17" s="206" t="n"/>
      <c r="AB17" s="94" t="n"/>
      <c r="AC17" s="206" t="n"/>
      <c r="AD17" s="206" t="n"/>
      <c r="AE17" s="206" t="n"/>
      <c r="AF17" s="206" t="n"/>
      <c r="AG17" s="94" t="n"/>
      <c r="AJ17" s="376" t="n"/>
      <c r="AK17" s="524" t="inlineStr">
        <is>
          <t>보증</t>
        </is>
      </c>
      <c r="AL17" s="507">
        <f>ROUND(AL14*C12/$C$14,-2)</f>
        <v/>
      </c>
      <c r="AN17" s="376" t="n"/>
      <c r="AO17" s="524" t="inlineStr">
        <is>
          <t>보증</t>
        </is>
      </c>
      <c r="AP17" s="507">
        <f>ROUND(AP14*$C$12/$C$14,0)</f>
        <v/>
      </c>
      <c r="AQ17" s="505">
        <f>ROUND(AP17*1.1,)</f>
        <v/>
      </c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$C$11/$C$7-$AL$16-$AL$21</f>
        <v/>
      </c>
      <c r="Q18" s="519">
        <f>$C$12/$C$7-$AL$17-$AL$22</f>
        <v/>
      </c>
      <c r="R18" s="515">
        <f>$C$43</f>
        <v/>
      </c>
      <c r="S18" s="516">
        <f>R18-T18-U18</f>
        <v/>
      </c>
      <c r="T18" s="500">
        <f>$C$11/$C$7-$AL$16-$AL$21-$AL$26</f>
        <v/>
      </c>
      <c r="U18" s="519">
        <f>$C$12/$C$7-$AL$17-$AL$22-$AL$27</f>
        <v/>
      </c>
      <c r="V18" s="92" t="n"/>
      <c r="W18" s="196">
        <f>H18-G18+1</f>
        <v/>
      </c>
      <c r="X18" s="92" t="n"/>
      <c r="Y18" s="206" t="n"/>
      <c r="Z18" s="206" t="n"/>
      <c r="AA18" s="206" t="n"/>
      <c r="AB18" s="94" t="n"/>
      <c r="AC18" s="206" t="n"/>
      <c r="AD18" s="206" t="n"/>
      <c r="AE18" s="206" t="n"/>
      <c r="AF18" s="206" t="n"/>
      <c r="AG18" s="94" t="n"/>
      <c r="AJ18" s="399" t="n"/>
      <c r="AK18" s="500" t="n"/>
      <c r="AL18" s="206" t="n"/>
      <c r="AN18" s="399" t="n"/>
      <c r="AO18" s="500" t="n"/>
      <c r="AP18" s="206" t="n"/>
      <c r="AQ18" s="505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$C$11/$C$7-$AL$16-$AL$21</f>
        <v/>
      </c>
      <c r="Q19" s="519">
        <f>$C$12/$C$7-$AL$17-$AL$22</f>
        <v/>
      </c>
      <c r="R19" s="515">
        <f>$C$43</f>
        <v/>
      </c>
      <c r="S19" s="516">
        <f>R19-T19-U19</f>
        <v/>
      </c>
      <c r="T19" s="500">
        <f>$C$11/$C$7-$AL$16-$AL$21-$AL$26</f>
        <v/>
      </c>
      <c r="U19" s="519">
        <f>$C$12/$C$7-$AL$17-$AL$22-$AL$27</f>
        <v/>
      </c>
      <c r="V19" s="92" t="n"/>
      <c r="W19" s="196">
        <f>H19-G19+1</f>
        <v/>
      </c>
      <c r="X19" s="92" t="n"/>
      <c r="Y19" s="206" t="n"/>
      <c r="Z19" s="206" t="n"/>
      <c r="AA19" s="206" t="n"/>
      <c r="AB19" s="94" t="n"/>
      <c r="AC19" s="206" t="n"/>
      <c r="AD19" s="206" t="n"/>
      <c r="AE19" s="206" t="n"/>
      <c r="AF19" s="206" t="n"/>
      <c r="AG19" s="94" t="n"/>
      <c r="AJ19" s="378" t="inlineStr">
        <is>
          <t>월 선납할인(V-)</t>
        </is>
      </c>
      <c r="AK19" s="251" t="n"/>
      <c r="AL19" s="525">
        <f>C30/C7</f>
        <v/>
      </c>
      <c r="AN19" s="378" t="inlineStr">
        <is>
          <t>월 선납할인(V-)</t>
        </is>
      </c>
      <c r="AO19" s="251" t="n"/>
      <c r="AP19" s="525">
        <f>C30/C7</f>
        <v/>
      </c>
      <c r="AQ19" s="505">
        <f>AP19*1.1</f>
        <v/>
      </c>
    </row>
    <row r="20" ht="17.45" customHeight="1" s="497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$C$11/$C$7-$AL$16-$AL$21</f>
        <v/>
      </c>
      <c r="Q20" s="519">
        <f>$C$12/$C$7-$AL$17-$AL$22</f>
        <v/>
      </c>
      <c r="R20" s="515">
        <f>$C$43</f>
        <v/>
      </c>
      <c r="S20" s="516">
        <f>R20-T20-U20</f>
        <v/>
      </c>
      <c r="T20" s="500">
        <f>$C$11/$C$7-$AL$16-$AL$21-$AL$26</f>
        <v/>
      </c>
      <c r="U20" s="519">
        <f>$C$12/$C$7-$AL$17-$AL$22-$AL$27</f>
        <v/>
      </c>
      <c r="V20" s="92" t="n"/>
      <c r="W20" s="196">
        <f>H20-G20+1</f>
        <v/>
      </c>
      <c r="X20" s="92" t="n"/>
      <c r="Y20" s="206" t="n"/>
      <c r="Z20" s="206" t="n"/>
      <c r="AA20" s="206" t="n"/>
      <c r="AB20" s="94" t="n"/>
      <c r="AC20" s="206" t="n"/>
      <c r="AD20" s="206" t="n"/>
      <c r="AE20" s="206" t="n"/>
      <c r="AF20" s="206" t="n"/>
      <c r="AG20" s="94" t="n"/>
      <c r="AJ20" s="375" t="n"/>
      <c r="AK20" s="506" t="inlineStr">
        <is>
          <t>제품</t>
        </is>
      </c>
      <c r="AL20" s="507">
        <f>AL19-AL21-AL22</f>
        <v/>
      </c>
      <c r="AN20" s="375" t="n"/>
      <c r="AO20" s="506" t="inlineStr">
        <is>
          <t>제품</t>
        </is>
      </c>
      <c r="AP20" s="507">
        <f>AP19-AP21-AP22</f>
        <v/>
      </c>
      <c r="AQ20" s="505">
        <f>ROUND(AP20*1.1,)</f>
        <v/>
      </c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$C$11/$C$7-$AL$16-$AL$21</f>
        <v/>
      </c>
      <c r="Q21" s="519">
        <f>$C$12/$C$7-$AL$17-$AL$22</f>
        <v/>
      </c>
      <c r="R21" s="515">
        <f>$C$43</f>
        <v/>
      </c>
      <c r="S21" s="516">
        <f>R21-T21-U21</f>
        <v/>
      </c>
      <c r="T21" s="500">
        <f>$C$11/$C$7-$AL$16-$AL$21-$AL$26</f>
        <v/>
      </c>
      <c r="U21" s="519">
        <f>$C$12/$C$7-$AL$17-$AL$22-$AL$27</f>
        <v/>
      </c>
      <c r="V21" s="92" t="n"/>
      <c r="W21" s="196">
        <f>H21-G21+1</f>
        <v/>
      </c>
      <c r="X21" s="92" t="n"/>
      <c r="Y21" s="206" t="n"/>
      <c r="Z21" s="206" t="n"/>
      <c r="AA21" s="206" t="n"/>
      <c r="AB21" s="94" t="n"/>
      <c r="AC21" s="206" t="n"/>
      <c r="AD21" s="206" t="n"/>
      <c r="AE21" s="206" t="n"/>
      <c r="AF21" s="206" t="n"/>
      <c r="AG21" s="94" t="n"/>
      <c r="AJ21" s="375" t="n"/>
      <c r="AK21" s="506" t="inlineStr">
        <is>
          <t>케어</t>
        </is>
      </c>
      <c r="AL21" s="507">
        <f>ROUND(AL19*$C$11/$C$14,-2)</f>
        <v/>
      </c>
      <c r="AN21" s="375" t="n"/>
      <c r="AO21" s="506" t="inlineStr">
        <is>
          <t>케어</t>
        </is>
      </c>
      <c r="AP21" s="507">
        <f>ROUND(AP19*$C$11/$C$14,0)</f>
        <v/>
      </c>
      <c r="AQ21" s="505">
        <f>ROUND(AP21*1.1,)</f>
        <v/>
      </c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D22" s="500" t="n"/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$C$11/$C$7-$AL$16-$AL$21</f>
        <v/>
      </c>
      <c r="Q22" s="519">
        <f>$C$12/$C$7-$AL$17-$AL$22</f>
        <v/>
      </c>
      <c r="R22" s="515">
        <f>$C$43</f>
        <v/>
      </c>
      <c r="S22" s="516">
        <f>R22-T22-U22</f>
        <v/>
      </c>
      <c r="T22" s="500">
        <f>$C$11/$C$7-$AL$16-$AL$21-$AL$26</f>
        <v/>
      </c>
      <c r="U22" s="519">
        <f>$C$12/$C$7-$AL$17-$AL$22-$AL$27</f>
        <v/>
      </c>
      <c r="V22" s="92" t="n"/>
      <c r="W22" s="196">
        <f>H22-G22+1</f>
        <v/>
      </c>
      <c r="X22" s="629" t="n"/>
      <c r="Y22" s="206" t="n"/>
      <c r="Z22" s="206" t="n"/>
      <c r="AA22" s="206" t="n"/>
      <c r="AB22" s="94" t="n"/>
      <c r="AC22" s="206" t="n"/>
      <c r="AD22" s="206" t="n"/>
      <c r="AE22" s="206" t="n"/>
      <c r="AF22" s="206" t="n"/>
      <c r="AG22" s="94" t="n"/>
      <c r="AH22" s="517" t="n"/>
      <c r="AJ22" s="376" t="n"/>
      <c r="AK22" s="524" t="inlineStr">
        <is>
          <t>보증</t>
        </is>
      </c>
      <c r="AL22" s="507">
        <f>ROUND(AL19*$C$12/$C$14,-2)</f>
        <v/>
      </c>
      <c r="AN22" s="376" t="n"/>
      <c r="AO22" s="524" t="inlineStr">
        <is>
          <t>보증</t>
        </is>
      </c>
      <c r="AP22" s="507">
        <f>ROUND(AP19*$C$12/$C$14,0)</f>
        <v/>
      </c>
      <c r="AQ22" s="505">
        <f>ROUND(AP22*1.1,)</f>
        <v/>
      </c>
    </row>
    <row r="23">
      <c r="A23" s="176" t="n"/>
      <c r="B23" s="9" t="inlineStr">
        <is>
          <t>(계산용) 월 선납금(V+)</t>
        </is>
      </c>
      <c r="C23" s="506">
        <f>C22*1.1</f>
        <v/>
      </c>
      <c r="D23" s="500">
        <f>+C23*72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$C$11/$C$7-$AL$16-$AL$21</f>
        <v/>
      </c>
      <c r="Q23" s="519">
        <f>$C$12/$C$7-$AL$17-$AL$22</f>
        <v/>
      </c>
      <c r="R23" s="515">
        <f>$C$43</f>
        <v/>
      </c>
      <c r="S23" s="516">
        <f>R23-T23-U23</f>
        <v/>
      </c>
      <c r="T23" s="500">
        <f>$C$11/$C$7-$AL$16-$AL$21-$AL$26</f>
        <v/>
      </c>
      <c r="U23" s="519">
        <f>$C$12/$C$7-$AL$17-$AL$22-$AL$27</f>
        <v/>
      </c>
      <c r="V23" s="92" t="n"/>
      <c r="W23" s="196">
        <f>H23-G23+1</f>
        <v/>
      </c>
      <c r="X23" s="92" t="inlineStr">
        <is>
          <t>* 위약금은 비과세로 총구독료(v+)기준으로 계산</t>
        </is>
      </c>
      <c r="Y23" s="206" t="n"/>
      <c r="Z23" s="206" t="n"/>
      <c r="AA23" s="206" t="n"/>
      <c r="AB23" s="94" t="n"/>
      <c r="AC23" s="206" t="n"/>
      <c r="AD23" s="206" t="n"/>
      <c r="AE23" s="206" t="n"/>
      <c r="AF23" s="206" t="n"/>
      <c r="AG23" s="94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$C$11/$C$7-$AL$16-$AL$21</f>
        <v/>
      </c>
      <c r="Q24" s="635">
        <f>$C$12/$C$7-$AL$17-$AL$22</f>
        <v/>
      </c>
      <c r="R24" s="630">
        <f>$C$43</f>
        <v/>
      </c>
      <c r="S24" s="631">
        <f>R24-T24-U24</f>
        <v/>
      </c>
      <c r="T24" s="634">
        <f>$C$11/$C$7-$AL$16-$AL$21-$AL$26</f>
        <v/>
      </c>
      <c r="U24" s="635">
        <f>$C$12/$C$7-$AL$17-$AL$22-$AL$27</f>
        <v/>
      </c>
      <c r="V24" s="99" t="n">
        <v>46494</v>
      </c>
      <c r="W24" s="415">
        <f>V24-G24</f>
        <v/>
      </c>
      <c r="X24" s="636">
        <f>ROUNDDOWN(((C16)*(C8-SUM(W5:W24))/C8)*20%,-1)</f>
        <v/>
      </c>
      <c r="Y24" s="632">
        <f>ROUNDDOWN(R24*W24/DAY(H24),-2)</f>
        <v/>
      </c>
      <c r="Z24" s="654">
        <f>ROUNDDOWN((C30)*SUM(W5:W24)/C8,-2)+ROUNDDOWN((C42)*SUM(W5:W24)/C8,-2)</f>
        <v/>
      </c>
      <c r="AA24" s="655">
        <f>-ROUNDUP((C26*(C8-SUM(W5:W24))/C8),-2)</f>
        <v/>
      </c>
      <c r="AB24" s="638">
        <f>ROUNDDOWN(C48/1.1*SUM(W5:W24)/C8,-2)</f>
        <v/>
      </c>
      <c r="AC24" s="639">
        <f>X24</f>
        <v/>
      </c>
      <c r="AD24" s="632">
        <f>Y24*1.1</f>
        <v/>
      </c>
      <c r="AE24" s="632">
        <f>Z24*1.1</f>
        <v/>
      </c>
      <c r="AF24" s="637">
        <f>AA24*1.1</f>
        <v/>
      </c>
      <c r="AG24" s="638">
        <f>AB24*1.1</f>
        <v/>
      </c>
      <c r="AH24" s="206" t="inlineStr">
        <is>
          <t>* 위약금, 할인회수, 선납잔액 환불, 등록비 청구 기준: 일수비율</t>
        </is>
      </c>
      <c r="AJ24" s="378" t="inlineStr">
        <is>
          <t>월 단품할인(V-)</t>
        </is>
      </c>
      <c r="AK24" s="251" t="n"/>
      <c r="AL24" s="525">
        <f>C42/C7</f>
        <v/>
      </c>
      <c r="AN24" s="378" t="inlineStr">
        <is>
          <t>월 선납할인(V-)</t>
        </is>
      </c>
      <c r="AO24" s="251" t="n"/>
      <c r="AP24" s="525">
        <f>C42/C7</f>
        <v/>
      </c>
      <c r="AQ24" s="505">
        <f>AP24*1.1</f>
        <v/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$C$11/$C$7-$AL$16-$AL$21</f>
        <v/>
      </c>
      <c r="Q25" s="519">
        <f>$C$12/$C$7-$AL$17-$AL$22</f>
        <v/>
      </c>
      <c r="R25" s="515">
        <f>$C$43</f>
        <v/>
      </c>
      <c r="S25" s="516">
        <f>R25-T25-U25</f>
        <v/>
      </c>
      <c r="T25" s="500">
        <f>$C$11/$C$7-$AL$16-$AL$21-$AL$26</f>
        <v/>
      </c>
      <c r="U25" s="519">
        <f>$C$12/$C$7-$AL$17-$AL$22-$AL$27</f>
        <v/>
      </c>
      <c r="V25" s="92" t="n"/>
      <c r="W25" s="196" t="inlineStr">
        <is>
          <t>* 사용일 기준: 제품판정일 전날까지 사용</t>
        </is>
      </c>
      <c r="X25" s="92" t="n"/>
      <c r="Y25" s="539" t="n"/>
      <c r="Z25" s="200" t="inlineStr">
        <is>
          <t>* 할인 개별 일할/단수조정 적용</t>
        </is>
      </c>
      <c r="AA25" s="206" t="n"/>
      <c r="AB25" s="94" t="n"/>
      <c r="AC25" s="206" t="inlineStr">
        <is>
          <t>* 비과세</t>
        </is>
      </c>
      <c r="AD25" s="539" t="n"/>
      <c r="AE25" s="206" t="n"/>
      <c r="AF25" s="206" t="n"/>
      <c r="AG25" s="94" t="n"/>
      <c r="AJ25" s="375" t="n"/>
      <c r="AK25" s="506" t="inlineStr">
        <is>
          <t>제품</t>
        </is>
      </c>
      <c r="AL25" s="507">
        <f>AL24-AL26-AL27</f>
        <v/>
      </c>
      <c r="AN25" s="375" t="n"/>
      <c r="AO25" s="506" t="inlineStr">
        <is>
          <t>제품</t>
        </is>
      </c>
      <c r="AP25" s="507">
        <f>AP24-AP26-AP27</f>
        <v/>
      </c>
      <c r="AQ25" s="505">
        <f>ROUND(AP25*1.1,)</f>
        <v/>
      </c>
    </row>
    <row r="26">
      <c r="A26" s="176" t="n"/>
      <c r="B26" s="63" t="inlineStr">
        <is>
          <t>(최종) 선납금 (V-)</t>
        </is>
      </c>
      <c r="C26" s="506">
        <f>C22*C7</f>
        <v/>
      </c>
      <c r="D26" s="500">
        <f>C14-C25=C26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$C$11/$C$7-$AL$16-$AL$21</f>
        <v/>
      </c>
      <c r="Q26" s="519">
        <f>$C$12/$C$7-$AL$17-$AL$22</f>
        <v/>
      </c>
      <c r="R26" s="515">
        <f>$C$43</f>
        <v/>
      </c>
      <c r="S26" s="516">
        <f>R26-T26-U26</f>
        <v/>
      </c>
      <c r="T26" s="500">
        <f>$C$11/$C$7-$AL$16-$AL$21-$AL$26</f>
        <v/>
      </c>
      <c r="U26" s="519">
        <f>$C$12/$C$7-$AL$17-$AL$22-$AL$27</f>
        <v/>
      </c>
      <c r="V26" s="92" t="n"/>
      <c r="W26" s="196" t="n"/>
      <c r="X26" s="92" t="n"/>
      <c r="Y26" s="206" t="n"/>
      <c r="Z26" s="206" t="n"/>
      <c r="AA26" s="206" t="n"/>
      <c r="AB26" s="94" t="n"/>
      <c r="AC26" s="206" t="n"/>
      <c r="AD26" s="206" t="n"/>
      <c r="AE26" s="206" t="n"/>
      <c r="AF26" s="206" t="n"/>
      <c r="AG26" s="94" t="n"/>
      <c r="AJ26" s="375" t="n"/>
      <c r="AK26" s="506" t="inlineStr">
        <is>
          <t>케어</t>
        </is>
      </c>
      <c r="AL26" s="507">
        <f>ROUND(AL24*$C$11/$C$14,-2)</f>
        <v/>
      </c>
      <c r="AN26" s="375" t="n"/>
      <c r="AO26" s="506" t="inlineStr">
        <is>
          <t>케어</t>
        </is>
      </c>
      <c r="AP26" s="507">
        <f>ROUND(AP24*$C$11/$C$14,0)</f>
        <v/>
      </c>
      <c r="AQ26" s="505">
        <f>ROUND(AP26*1.1,)</f>
        <v/>
      </c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$C$11/$C$7-$AL$16-$AL$21</f>
        <v/>
      </c>
      <c r="Q27" s="519">
        <f>$C$12/$C$7-$AL$17-$AL$22</f>
        <v/>
      </c>
      <c r="R27" s="515">
        <f>$C$43</f>
        <v/>
      </c>
      <c r="S27" s="516">
        <f>R27-T27-U27</f>
        <v/>
      </c>
      <c r="T27" s="500">
        <f>$C$11/$C$7-$AL$16-$AL$21-$AL$26</f>
        <v/>
      </c>
      <c r="U27" s="519">
        <f>$C$12/$C$7-$AL$17-$AL$22-$AL$27</f>
        <v/>
      </c>
      <c r="V27" s="92" t="n"/>
      <c r="W27" s="196" t="n"/>
      <c r="X27" s="92" t="n"/>
      <c r="Y27" s="206" t="n"/>
      <c r="Z27" s="206" t="n"/>
      <c r="AA27" s="206" t="n"/>
      <c r="AB27" s="94" t="n"/>
      <c r="AC27" s="206" t="n"/>
      <c r="AD27" s="206" t="n"/>
      <c r="AE27" s="206" t="n"/>
      <c r="AF27" s="206" t="n"/>
      <c r="AG27" s="94" t="n"/>
      <c r="AJ27" s="376" t="n"/>
      <c r="AK27" s="524" t="inlineStr">
        <is>
          <t>보증</t>
        </is>
      </c>
      <c r="AL27" s="507">
        <f>ROUND(AL24*$C$12/$C$14,-2)</f>
        <v/>
      </c>
      <c r="AN27" s="376" t="n"/>
      <c r="AO27" s="524" t="inlineStr">
        <is>
          <t>보증</t>
        </is>
      </c>
      <c r="AP27" s="507">
        <f>ROUND(AP24*$C$12/$C$14,0)</f>
        <v/>
      </c>
      <c r="AQ27" s="505">
        <f>ROUND(AP27*1.1,)</f>
        <v/>
      </c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$C$11/$C$7-$AL$16-$AL$21</f>
        <v/>
      </c>
      <c r="Q28" s="519">
        <f>$C$12/$C$7-$AL$17-$AL$22</f>
        <v/>
      </c>
      <c r="R28" s="515">
        <f>$C$43</f>
        <v/>
      </c>
      <c r="S28" s="516">
        <f>R28-T28-U28</f>
        <v/>
      </c>
      <c r="T28" s="500">
        <f>$C$11/$C$7-$AL$16-$AL$21-$AL$26</f>
        <v/>
      </c>
      <c r="U28" s="519">
        <f>$C$12/$C$7-$AL$17-$AL$22-$AL$27</f>
        <v/>
      </c>
      <c r="V28" s="92" t="n"/>
      <c r="W28" s="196" t="n"/>
      <c r="X28" s="92" t="n"/>
      <c r="Y28" s="206" t="n"/>
      <c r="Z28" s="206" t="n"/>
      <c r="AA28" s="206" t="n"/>
      <c r="AB28" s="94" t="n"/>
      <c r="AC28" s="206" t="n"/>
      <c r="AD28" s="206" t="n"/>
      <c r="AE28" s="206" t="n"/>
      <c r="AF28" s="206" t="n"/>
      <c r="AG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$C$11/$C$7-$AL$16-$AL$21</f>
        <v/>
      </c>
      <c r="Q29" s="519">
        <f>$C$12/$C$7-$AL$17-$AL$22</f>
        <v/>
      </c>
      <c r="R29" s="515">
        <f>$C$43</f>
        <v/>
      </c>
      <c r="S29" s="516">
        <f>R29-T29-U29</f>
        <v/>
      </c>
      <c r="T29" s="500">
        <f>$C$11/$C$7-$AL$16-$AL$21-$AL$26</f>
        <v/>
      </c>
      <c r="U29" s="519">
        <f>$C$12/$C$7-$AL$17-$AL$22-$AL$27</f>
        <v/>
      </c>
      <c r="V29" s="92" t="n"/>
      <c r="W29" s="196" t="n"/>
      <c r="X29" s="92" t="n"/>
      <c r="Y29" s="206" t="n"/>
      <c r="Z29" s="206" t="n"/>
      <c r="AA29" s="206" t="n"/>
      <c r="AB29" s="94" t="n"/>
      <c r="AC29" s="206" t="n"/>
      <c r="AD29" s="206" t="n"/>
      <c r="AE29" s="206" t="n"/>
      <c r="AF29" s="206" t="n"/>
      <c r="AG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$C$11/$C$7-$AL$16-$AL$21</f>
        <v/>
      </c>
      <c r="Q30" s="519">
        <f>$C$12/$C$7-$AL$17-$AL$22</f>
        <v/>
      </c>
      <c r="R30" s="515">
        <f>$C$43</f>
        <v/>
      </c>
      <c r="S30" s="516">
        <f>R30-T30-U30</f>
        <v/>
      </c>
      <c r="T30" s="500">
        <f>$C$11/$C$7-$AL$16-$AL$21-$AL$26</f>
        <v/>
      </c>
      <c r="U30" s="519">
        <f>$C$12/$C$7-$AL$17-$AL$22-$AL$27</f>
        <v/>
      </c>
      <c r="V30" s="92" t="n"/>
      <c r="W30" s="196" t="n"/>
      <c r="X30" s="92" t="n"/>
      <c r="Y30" s="206" t="n"/>
      <c r="Z30" s="206" t="n"/>
      <c r="AA30" s="206" t="n"/>
      <c r="AB30" s="94" t="n"/>
      <c r="AC30" s="206" t="n"/>
      <c r="AD30" s="206" t="n"/>
      <c r="AE30" s="206" t="n"/>
      <c r="AF30" s="206" t="n"/>
      <c r="AG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$C$11/$C$7-$AL$16-$AL$21</f>
        <v/>
      </c>
      <c r="Q31" s="519">
        <f>$C$12/$C$7-$AL$17-$AL$22</f>
        <v/>
      </c>
      <c r="R31" s="515">
        <f>$C$43</f>
        <v/>
      </c>
      <c r="S31" s="516">
        <f>R31-T31-U31</f>
        <v/>
      </c>
      <c r="T31" s="500">
        <f>$C$11/$C$7-$AL$16-$AL$21-$AL$26</f>
        <v/>
      </c>
      <c r="U31" s="519">
        <f>$C$12/$C$7-$AL$17-$AL$22-$AL$27</f>
        <v/>
      </c>
      <c r="V31" s="92" t="n"/>
      <c r="W31" s="196" t="n"/>
      <c r="X31" s="92" t="n"/>
      <c r="Y31" s="206" t="n"/>
      <c r="Z31" s="206" t="n"/>
      <c r="AA31" s="206" t="n"/>
      <c r="AB31" s="94" t="n"/>
      <c r="AC31" s="206" t="n"/>
      <c r="AD31" s="206" t="n"/>
      <c r="AE31" s="206" t="n"/>
      <c r="AF31" s="206" t="n"/>
      <c r="AG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$C$11/$C$7-$AL$16-$AL$21</f>
        <v/>
      </c>
      <c r="Q32" s="519">
        <f>$C$12/$C$7-$AL$17-$AL$22</f>
        <v/>
      </c>
      <c r="R32" s="515">
        <f>$C$43</f>
        <v/>
      </c>
      <c r="S32" s="516">
        <f>R32-T32-U32</f>
        <v/>
      </c>
      <c r="T32" s="500">
        <f>$C$11/$C$7-$AL$16-$AL$21-$AL$26</f>
        <v/>
      </c>
      <c r="U32" s="519">
        <f>$C$12/$C$7-$AL$17-$AL$22-$AL$27</f>
        <v/>
      </c>
      <c r="V32" s="92" t="n"/>
      <c r="W32" s="196" t="n"/>
      <c r="X32" s="92" t="n"/>
      <c r="Y32" s="206" t="n"/>
      <c r="Z32" s="206" t="n"/>
      <c r="AA32" s="206" t="n"/>
      <c r="AB32" s="94" t="n"/>
      <c r="AC32" s="206" t="n"/>
      <c r="AD32" s="206" t="n"/>
      <c r="AE32" s="206" t="n"/>
      <c r="AF32" s="206" t="n"/>
      <c r="AG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$C$11/$C$7-$AL$16-$AL$21</f>
        <v/>
      </c>
      <c r="Q33" s="519">
        <f>$C$12/$C$7-$AL$17-$AL$22</f>
        <v/>
      </c>
      <c r="R33" s="515">
        <f>$C$43</f>
        <v/>
      </c>
      <c r="S33" s="516">
        <f>R33-T33-U33</f>
        <v/>
      </c>
      <c r="T33" s="500">
        <f>$C$11/$C$7-$AL$16-$AL$21-$AL$26</f>
        <v/>
      </c>
      <c r="U33" s="519">
        <f>$C$12/$C$7-$AL$17-$AL$22-$AL$27</f>
        <v/>
      </c>
      <c r="V33" s="92" t="n"/>
      <c r="W33" s="196" t="n"/>
      <c r="X33" s="92" t="n"/>
      <c r="Y33" s="206" t="n"/>
      <c r="Z33" s="206" t="n"/>
      <c r="AA33" s="206" t="n"/>
      <c r="AB33" s="94" t="n"/>
      <c r="AC33" s="206" t="n"/>
      <c r="AD33" s="206" t="n"/>
      <c r="AE33" s="206" t="n"/>
      <c r="AF33" s="206" t="n"/>
      <c r="AG33" s="94" t="n"/>
    </row>
    <row r="34">
      <c r="B34" s="9" t="inlineStr">
        <is>
          <t>선납금+선납 할인 반영 순수 구독료 (V-)</t>
        </is>
      </c>
      <c r="C34" s="506">
        <f>C32-C11-C12+SUM(AL16:AL17,AL21:AL22)*C7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$C$11/$C$7-$AL$16-$AL$21</f>
        <v/>
      </c>
      <c r="Q34" s="519">
        <f>$C$12/$C$7-$AL$17-$AL$22</f>
        <v/>
      </c>
      <c r="R34" s="515">
        <f>$C$43</f>
        <v/>
      </c>
      <c r="S34" s="516">
        <f>R34-T34-U34</f>
        <v/>
      </c>
      <c r="T34" s="500">
        <f>$C$11/$C$7-$AL$16-$AL$21-$AL$26</f>
        <v/>
      </c>
      <c r="U34" s="519">
        <f>$C$12/$C$7-$AL$17-$AL$22-$AL$27</f>
        <v/>
      </c>
      <c r="V34" s="92" t="n"/>
      <c r="W34" s="196" t="n"/>
      <c r="X34" s="92" t="n"/>
      <c r="Y34" s="206" t="n"/>
      <c r="Z34" s="206" t="n"/>
      <c r="AA34" s="206" t="n"/>
      <c r="AB34" s="94" t="n"/>
      <c r="AC34" s="206" t="n"/>
      <c r="AD34" s="206" t="n"/>
      <c r="AE34" s="206" t="n"/>
      <c r="AF34" s="206" t="n"/>
      <c r="AG34" s="94" t="n"/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$C$11/$C$7-$AL$16-$AL$21</f>
        <v/>
      </c>
      <c r="Q35" s="519">
        <f>$C$12/$C$7-$AL$17-$AL$22</f>
        <v/>
      </c>
      <c r="R35" s="515">
        <f>$C$43</f>
        <v/>
      </c>
      <c r="S35" s="516">
        <f>R35-T35-U35</f>
        <v/>
      </c>
      <c r="T35" s="500">
        <f>$C$11/$C$7-$AL$16-$AL$21-$AL$26</f>
        <v/>
      </c>
      <c r="U35" s="519">
        <f>$C$12/$C$7-$AL$17-$AL$22-$AL$27</f>
        <v/>
      </c>
      <c r="V35" s="92" t="n"/>
      <c r="W35" s="196" t="n"/>
      <c r="X35" s="92" t="n"/>
      <c r="Y35" s="206" t="n"/>
      <c r="Z35" s="206" t="n"/>
      <c r="AA35" s="206" t="n"/>
      <c r="AB35" s="94" t="n"/>
      <c r="AC35" s="206" t="n"/>
      <c r="AD35" s="206" t="n"/>
      <c r="AE35" s="206" t="n"/>
      <c r="AF35" s="206" t="n"/>
      <c r="AG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$C$11/$C$7-$AL$16-$AL$21</f>
        <v/>
      </c>
      <c r="Q36" s="519">
        <f>$C$12/$C$7-$AL$17-$AL$22</f>
        <v/>
      </c>
      <c r="R36" s="515">
        <f>$C$43</f>
        <v/>
      </c>
      <c r="S36" s="516">
        <f>R36-T36-U36</f>
        <v/>
      </c>
      <c r="T36" s="500">
        <f>$C$11/$C$7-$AL$16-$AL$21-$AL$26</f>
        <v/>
      </c>
      <c r="U36" s="519">
        <f>$C$12/$C$7-$AL$17-$AL$22-$AL$27</f>
        <v/>
      </c>
      <c r="V36" s="92" t="n"/>
      <c r="W36" s="196" t="n"/>
      <c r="X36" s="92" t="n"/>
      <c r="Y36" s="206" t="n"/>
      <c r="Z36" s="206" t="n"/>
      <c r="AA36" s="206" t="n"/>
      <c r="AB36" s="94" t="n"/>
      <c r="AC36" s="206" t="n"/>
      <c r="AD36" s="206" t="n"/>
      <c r="AE36" s="206" t="n"/>
      <c r="AF36" s="206" t="n"/>
      <c r="AG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$C$11/$C$7-$AL$16-$AL$21</f>
        <v/>
      </c>
      <c r="Q37" s="519">
        <f>$C$12/$C$7-$AL$17-$AL$22</f>
        <v/>
      </c>
      <c r="R37" s="515">
        <f>$C$43</f>
        <v/>
      </c>
      <c r="S37" s="516">
        <f>R37-T37-U37</f>
        <v/>
      </c>
      <c r="T37" s="500">
        <f>$C$11/$C$7-$AL$16-$AL$21-$AL$26</f>
        <v/>
      </c>
      <c r="U37" s="519">
        <f>$C$12/$C$7-$AL$17-$AL$22-$AL$27</f>
        <v/>
      </c>
      <c r="V37" s="92" t="n"/>
      <c r="W37" s="196" t="n"/>
      <c r="X37" s="92" t="n"/>
      <c r="Y37" s="206" t="n"/>
      <c r="Z37" s="206" t="n"/>
      <c r="AA37" s="206" t="n"/>
      <c r="AB37" s="94" t="n"/>
      <c r="AC37" s="206" t="n"/>
      <c r="AD37" s="206" t="n"/>
      <c r="AE37" s="206" t="n"/>
      <c r="AF37" s="206" t="n"/>
      <c r="AG37" s="94" t="n"/>
    </row>
    <row r="38">
      <c r="B38" s="9" t="inlineStr">
        <is>
          <t>단품 할인율 % (예시)</t>
        </is>
      </c>
      <c r="C38" s="288" t="n">
        <v>0.05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$C$11/$C$7-$AL$16-$AL$21</f>
        <v/>
      </c>
      <c r="Q38" s="519">
        <f>$C$12/$C$7-$AL$17-$AL$22</f>
        <v/>
      </c>
      <c r="R38" s="515">
        <f>$C$43</f>
        <v/>
      </c>
      <c r="S38" s="516">
        <f>R38-T38-U38</f>
        <v/>
      </c>
      <c r="T38" s="500">
        <f>$C$11/$C$7-$AL$16-$AL$21-$AL$26</f>
        <v/>
      </c>
      <c r="U38" s="519">
        <f>$C$12/$C$7-$AL$17-$AL$22-$AL$27</f>
        <v/>
      </c>
      <c r="V38" s="92" t="n"/>
      <c r="W38" s="196" t="n"/>
      <c r="X38" s="92" t="n"/>
      <c r="Y38" s="206" t="n"/>
      <c r="Z38" s="206" t="n"/>
      <c r="AA38" s="206" t="n"/>
      <c r="AB38" s="94" t="n"/>
      <c r="AC38" s="206" t="n"/>
      <c r="AD38" s="206" t="n"/>
      <c r="AE38" s="206" t="n"/>
      <c r="AF38" s="206" t="n"/>
      <c r="AG38" s="94" t="n"/>
    </row>
    <row r="39">
      <c r="B39" s="9" t="inlineStr">
        <is>
          <t>(계산용) 할인금(v-) (총구독료 v+ 기준)</t>
        </is>
      </c>
      <c r="C39" s="506">
        <f>C16*C38/1.1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$C$11/$C$7-$AL$16-$AL$21</f>
        <v/>
      </c>
      <c r="Q39" s="519">
        <f>$C$12/$C$7-$AL$17-$AL$22</f>
        <v/>
      </c>
      <c r="R39" s="515">
        <f>$C$43</f>
        <v/>
      </c>
      <c r="S39" s="516">
        <f>R39-T39-U39</f>
        <v/>
      </c>
      <c r="T39" s="500">
        <f>$C$11/$C$7-$AL$16-$AL$21-$AL$26</f>
        <v/>
      </c>
      <c r="U39" s="519">
        <f>$C$12/$C$7-$AL$17-$AL$22-$AL$27</f>
        <v/>
      </c>
      <c r="V39" s="92" t="n"/>
      <c r="W39" s="196" t="n"/>
      <c r="X39" s="92" t="n"/>
      <c r="Y39" s="206" t="n"/>
      <c r="Z39" s="206" t="n"/>
      <c r="AA39" s="206" t="n"/>
      <c r="AB39" s="94" t="n"/>
      <c r="AC39" s="206" t="n"/>
      <c r="AD39" s="206" t="n"/>
      <c r="AE39" s="206" t="n"/>
      <c r="AF39" s="206" t="n"/>
      <c r="AG39" s="94" t="n"/>
    </row>
    <row r="40">
      <c r="B40" s="9" t="inlineStr">
        <is>
          <t>(계산용) 할인금 월할 (V-)</t>
        </is>
      </c>
      <c r="C40" s="506">
        <f>C39/C7</f>
        <v/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$C$11/$C$7-$AL$16-$AL$21</f>
        <v/>
      </c>
      <c r="Q40" s="519">
        <f>$C$12/$C$7-$AL$17-$AL$22</f>
        <v/>
      </c>
      <c r="R40" s="515">
        <f>$C$43</f>
        <v/>
      </c>
      <c r="S40" s="516">
        <f>R40-T40-U40</f>
        <v/>
      </c>
      <c r="T40" s="500">
        <f>$C$11/$C$7-$AL$16-$AL$21-$AL$26</f>
        <v/>
      </c>
      <c r="U40" s="519">
        <f>$C$12/$C$7-$AL$17-$AL$22-$AL$27</f>
        <v/>
      </c>
      <c r="V40" s="92" t="n"/>
      <c r="W40" s="196" t="n"/>
      <c r="X40" s="92" t="n"/>
      <c r="Y40" s="206" t="n"/>
      <c r="Z40" s="206" t="n"/>
      <c r="AA40" s="206" t="n"/>
      <c r="AB40" s="94" t="n"/>
      <c r="AC40" s="206" t="n"/>
      <c r="AD40" s="206" t="n"/>
      <c r="AE40" s="206" t="n"/>
      <c r="AF40" s="206" t="n"/>
      <c r="AG40" s="94" t="n"/>
    </row>
    <row r="41">
      <c r="B41" s="9" t="inlineStr">
        <is>
          <t>(계산용) 할인금 월할 보정 (V-)</t>
        </is>
      </c>
      <c r="C41" s="506">
        <f>ROUNDUP(C40,-2)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$C$11/$C$7-$AL$16-$AL$21</f>
        <v/>
      </c>
      <c r="Q41" s="519">
        <f>$C$12/$C$7-$AL$17-$AL$22</f>
        <v/>
      </c>
      <c r="R41" s="515">
        <f>$C$43</f>
        <v/>
      </c>
      <c r="S41" s="516">
        <f>R41-T41-U41</f>
        <v/>
      </c>
      <c r="T41" s="500">
        <f>$C$11/$C$7-$AL$16-$AL$21-$AL$26</f>
        <v/>
      </c>
      <c r="U41" s="519">
        <f>$C$12/$C$7-$AL$17-$AL$22-$AL$27</f>
        <v/>
      </c>
      <c r="V41" s="92" t="n"/>
      <c r="W41" s="196" t="n"/>
      <c r="X41" s="92" t="n"/>
      <c r="Y41" s="206" t="n"/>
      <c r="Z41" s="206" t="n"/>
      <c r="AA41" s="206" t="n"/>
      <c r="AB41" s="94" t="n"/>
      <c r="AC41" s="206" t="n"/>
      <c r="AD41" s="206" t="n"/>
      <c r="AE41" s="206" t="n"/>
      <c r="AF41" s="206" t="n"/>
      <c r="AG41" s="94" t="n"/>
    </row>
    <row r="42">
      <c r="B42" s="63" t="inlineStr">
        <is>
          <t>(최종) 할인금 (V-)</t>
        </is>
      </c>
      <c r="C42" s="506">
        <f>C41*C7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$C$11/$C$7-$AL$16-$AL$21</f>
        <v/>
      </c>
      <c r="Q42" s="519">
        <f>$C$12/$C$7-$AL$17-$AL$22</f>
        <v/>
      </c>
      <c r="R42" s="515">
        <f>$C$43</f>
        <v/>
      </c>
      <c r="S42" s="516">
        <f>R42-T42-U42</f>
        <v/>
      </c>
      <c r="T42" s="500">
        <f>$C$11/$C$7-$AL$16-$AL$21-$AL$26</f>
        <v/>
      </c>
      <c r="U42" s="519">
        <f>$C$12/$C$7-$AL$17-$AL$22-$AL$27</f>
        <v/>
      </c>
      <c r="V42" s="92" t="n"/>
      <c r="W42" s="196" t="n"/>
      <c r="X42" s="92" t="n"/>
      <c r="Y42" s="206" t="n"/>
      <c r="Z42" s="206" t="n"/>
      <c r="AA42" s="206" t="n"/>
      <c r="AB42" s="94" t="n"/>
      <c r="AC42" s="206" t="n"/>
      <c r="AD42" s="206" t="n"/>
      <c r="AE42" s="206" t="n"/>
      <c r="AF42" s="206" t="n"/>
      <c r="AG42" s="94" t="n"/>
    </row>
    <row r="43">
      <c r="B43" s="184" t="inlineStr">
        <is>
          <t>(최종) 선납금+선납 할인+단품 할인 반영 월 구독료 (V-)</t>
        </is>
      </c>
      <c r="C43" s="506">
        <f>(C14-C26-C30-C42)/C7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$C$11/$C$7-$AL$16-$AL$21</f>
        <v/>
      </c>
      <c r="Q43" s="519">
        <f>$C$12/$C$7-$AL$17-$AL$22</f>
        <v/>
      </c>
      <c r="R43" s="515">
        <f>$C$43</f>
        <v/>
      </c>
      <c r="S43" s="516">
        <f>R43-T43-U43</f>
        <v/>
      </c>
      <c r="T43" s="500">
        <f>$C$11/$C$7-$AL$16-$AL$21-$AL$26</f>
        <v/>
      </c>
      <c r="U43" s="519">
        <f>$C$12/$C$7-$AL$17-$AL$22-$AL$27</f>
        <v/>
      </c>
      <c r="V43" s="92" t="n"/>
      <c r="W43" s="196" t="n"/>
      <c r="X43" s="92" t="n"/>
      <c r="Y43" s="206" t="n"/>
      <c r="Z43" s="206" t="n"/>
      <c r="AA43" s="206" t="n"/>
      <c r="AB43" s="94" t="n"/>
      <c r="AC43" s="206" t="n"/>
      <c r="AD43" s="206" t="n"/>
      <c r="AE43" s="206" t="n"/>
      <c r="AF43" s="206" t="n"/>
      <c r="AG43" s="94" t="n"/>
    </row>
    <row r="44">
      <c r="B44" s="184" t="inlineStr">
        <is>
          <t>(최종) 선납금+선납 할인+단품 할인 반영 총 구독료 (V-)</t>
        </is>
      </c>
      <c r="C44" s="506">
        <f>C43*C7</f>
        <v/>
      </c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$C$11/$C$7-$AL$16-$AL$21</f>
        <v/>
      </c>
      <c r="Q44" s="519">
        <f>$C$12/$C$7-$AL$17-$AL$22</f>
        <v/>
      </c>
      <c r="R44" s="515">
        <f>$C$43</f>
        <v/>
      </c>
      <c r="S44" s="516">
        <f>R44-T44-U44</f>
        <v/>
      </c>
      <c r="T44" s="500">
        <f>$C$11/$C$7-$AL$16-$AL$21-$AL$26</f>
        <v/>
      </c>
      <c r="U44" s="519">
        <f>$C$12/$C$7-$AL$17-$AL$22-$AL$27</f>
        <v/>
      </c>
      <c r="V44" s="92" t="n"/>
      <c r="W44" s="196" t="n"/>
      <c r="X44" s="92" t="n"/>
      <c r="Y44" s="206" t="n"/>
      <c r="Z44" s="206" t="n"/>
      <c r="AA44" s="206" t="n"/>
      <c r="AB44" s="94" t="n"/>
      <c r="AC44" s="206" t="n"/>
      <c r="AD44" s="206" t="n"/>
      <c r="AE44" s="206" t="n"/>
      <c r="AF44" s="206" t="n"/>
      <c r="AG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$C$11/$C$7-$AL$16-$AL$21</f>
        <v/>
      </c>
      <c r="Q45" s="519">
        <f>$C$12/$C$7-$AL$17-$AL$22</f>
        <v/>
      </c>
      <c r="R45" s="515">
        <f>$C$43</f>
        <v/>
      </c>
      <c r="S45" s="516">
        <f>R45-T45-U45</f>
        <v/>
      </c>
      <c r="T45" s="500">
        <f>$C$11/$C$7-$AL$16-$AL$21-$AL$26</f>
        <v/>
      </c>
      <c r="U45" s="519">
        <f>$C$12/$C$7-$AL$17-$AL$22-$AL$27</f>
        <v/>
      </c>
      <c r="V45" s="92" t="n"/>
      <c r="W45" s="196" t="n"/>
      <c r="X45" s="92" t="n"/>
      <c r="Y45" s="206" t="n"/>
      <c r="Z45" s="206" t="n"/>
      <c r="AA45" s="206" t="n"/>
      <c r="AB45" s="94" t="n"/>
      <c r="AC45" s="206" t="n"/>
      <c r="AD45" s="206" t="n"/>
      <c r="AE45" s="206" t="n"/>
      <c r="AF45" s="206" t="n"/>
      <c r="AG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$C$11/$C$7-$AL$16-$AL$21</f>
        <v/>
      </c>
      <c r="Q46" s="519">
        <f>$C$12/$C$7-$AL$17-$AL$22</f>
        <v/>
      </c>
      <c r="R46" s="515">
        <f>$C$43</f>
        <v/>
      </c>
      <c r="S46" s="516">
        <f>R46-T46-U46</f>
        <v/>
      </c>
      <c r="T46" s="500">
        <f>$C$11/$C$7-$AL$16-$AL$21-$AL$26</f>
        <v/>
      </c>
      <c r="U46" s="519">
        <f>$C$12/$C$7-$AL$17-$AL$22-$AL$27</f>
        <v/>
      </c>
      <c r="V46" s="92" t="n"/>
      <c r="W46" s="196" t="n"/>
      <c r="X46" s="92" t="n"/>
      <c r="Y46" s="206" t="n"/>
      <c r="Z46" s="206" t="n"/>
      <c r="AA46" s="206" t="n"/>
      <c r="AB46" s="94" t="n"/>
      <c r="AC46" s="206" t="n"/>
      <c r="AD46" s="206" t="n"/>
      <c r="AE46" s="206" t="n"/>
      <c r="AF46" s="206" t="n"/>
      <c r="AG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$C$11/$C$7-$AL$16-$AL$21</f>
        <v/>
      </c>
      <c r="Q47" s="519">
        <f>$C$12/$C$7-$AL$17-$AL$22</f>
        <v/>
      </c>
      <c r="R47" s="515">
        <f>$C$43</f>
        <v/>
      </c>
      <c r="S47" s="516">
        <f>R47-T47-U47</f>
        <v/>
      </c>
      <c r="T47" s="500">
        <f>$C$11/$C$7-$AL$16-$AL$21-$AL$26</f>
        <v/>
      </c>
      <c r="U47" s="519">
        <f>$C$12/$C$7-$AL$17-$AL$22-$AL$27</f>
        <v/>
      </c>
      <c r="V47" s="92" t="n"/>
      <c r="W47" s="196" t="n"/>
      <c r="X47" s="92" t="n"/>
      <c r="Y47" s="206" t="n"/>
      <c r="Z47" s="206" t="n"/>
      <c r="AA47" s="206" t="n"/>
      <c r="AB47" s="94" t="n"/>
      <c r="AC47" s="206" t="n"/>
      <c r="AD47" s="206" t="n"/>
      <c r="AE47" s="206" t="n"/>
      <c r="AF47" s="206" t="n"/>
      <c r="AG47" s="94" t="n"/>
    </row>
    <row r="48">
      <c r="B48" s="256" t="inlineStr">
        <is>
          <t>등록비 (V+)</t>
        </is>
      </c>
      <c r="C48" s="526" t="n">
        <v>100000</v>
      </c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$C$11/$C$7-$AL$16-$AL$21</f>
        <v/>
      </c>
      <c r="Q48" s="519">
        <f>$C$12/$C$7-$AL$17-$AL$22</f>
        <v/>
      </c>
      <c r="R48" s="515">
        <f>$C$43</f>
        <v/>
      </c>
      <c r="S48" s="516">
        <f>R48-T48-U48</f>
        <v/>
      </c>
      <c r="T48" s="500">
        <f>$C$11/$C$7-$AL$16-$AL$21-$AL$26</f>
        <v/>
      </c>
      <c r="U48" s="519">
        <f>$C$12/$C$7-$AL$17-$AL$22-$AL$27</f>
        <v/>
      </c>
      <c r="V48" s="92" t="n"/>
      <c r="W48" s="196" t="n"/>
      <c r="X48" s="92" t="n"/>
      <c r="Y48" s="206" t="n"/>
      <c r="Z48" s="206" t="n"/>
      <c r="AA48" s="206" t="n"/>
      <c r="AB48" s="94" t="n"/>
      <c r="AC48" s="206" t="n"/>
      <c r="AD48" s="206" t="n"/>
      <c r="AE48" s="206" t="n"/>
      <c r="AF48" s="206" t="n"/>
      <c r="AG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$C$11/$C$7-$AL$16-$AL$21</f>
        <v/>
      </c>
      <c r="Q49" s="519">
        <f>$C$12/$C$7-$AL$17-$AL$22</f>
        <v/>
      </c>
      <c r="R49" s="515">
        <f>$C$43</f>
        <v/>
      </c>
      <c r="S49" s="516">
        <f>R49-T49-U49</f>
        <v/>
      </c>
      <c r="T49" s="500">
        <f>$C$11/$C$7-$AL$16-$AL$21-$AL$26</f>
        <v/>
      </c>
      <c r="U49" s="519">
        <f>$C$12/$C$7-$AL$17-$AL$22-$AL$27</f>
        <v/>
      </c>
      <c r="V49" s="92" t="n"/>
      <c r="W49" s="196" t="n"/>
      <c r="X49" s="92" t="n"/>
      <c r="Y49" s="206" t="n"/>
      <c r="Z49" s="206" t="n"/>
      <c r="AA49" s="206" t="n"/>
      <c r="AB49" s="94" t="n"/>
      <c r="AC49" s="206" t="n"/>
      <c r="AD49" s="206" t="n"/>
      <c r="AE49" s="206" t="n"/>
      <c r="AF49" s="206" t="n"/>
      <c r="AG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$C$11/$C$7-$AL$16-$AL$21</f>
        <v/>
      </c>
      <c r="Q50" s="519">
        <f>$C$12/$C$7-$AL$17-$AL$22</f>
        <v/>
      </c>
      <c r="R50" s="515">
        <f>$C$43</f>
        <v/>
      </c>
      <c r="S50" s="516">
        <f>R50-T50-U50</f>
        <v/>
      </c>
      <c r="T50" s="500">
        <f>$C$11/$C$7-$AL$16-$AL$21-$AL$26</f>
        <v/>
      </c>
      <c r="U50" s="519">
        <f>$C$12/$C$7-$AL$17-$AL$22-$AL$27</f>
        <v/>
      </c>
      <c r="V50" s="92" t="n"/>
      <c r="W50" s="196" t="n"/>
      <c r="X50" s="92" t="n"/>
      <c r="Y50" s="206" t="n"/>
      <c r="Z50" s="206" t="n"/>
      <c r="AA50" s="206" t="n"/>
      <c r="AB50" s="94" t="n"/>
      <c r="AC50" s="206" t="n"/>
      <c r="AD50" s="206" t="n"/>
      <c r="AE50" s="206" t="n"/>
      <c r="AF50" s="206" t="n"/>
      <c r="AG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$C$11/$C$7-$AL$16-$AL$21</f>
        <v/>
      </c>
      <c r="Q51" s="519">
        <f>$C$12/$C$7-$AL$17-$AL$22</f>
        <v/>
      </c>
      <c r="R51" s="515">
        <f>$C$43</f>
        <v/>
      </c>
      <c r="S51" s="516">
        <f>R51-T51-U51</f>
        <v/>
      </c>
      <c r="T51" s="500">
        <f>$C$11/$C$7-$AL$16-$AL$21-$AL$26</f>
        <v/>
      </c>
      <c r="U51" s="519">
        <f>$C$12/$C$7-$AL$17-$AL$22-$AL$27</f>
        <v/>
      </c>
      <c r="V51" s="92" t="n"/>
      <c r="W51" s="196" t="n"/>
      <c r="X51" s="92" t="n"/>
      <c r="Y51" s="206" t="n"/>
      <c r="Z51" s="206" t="n"/>
      <c r="AA51" s="206" t="n"/>
      <c r="AB51" s="94" t="n"/>
      <c r="AC51" s="206" t="n"/>
      <c r="AD51" s="206" t="n"/>
      <c r="AE51" s="206" t="n"/>
      <c r="AF51" s="206" t="n"/>
      <c r="AG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$C$11/$C$7-$AL$16-$AL$21</f>
        <v/>
      </c>
      <c r="Q52" s="519">
        <f>$C$12/$C$7-$AL$17-$AL$22</f>
        <v/>
      </c>
      <c r="R52" s="515">
        <f>$C$43</f>
        <v/>
      </c>
      <c r="S52" s="516">
        <f>R52-T52-U52</f>
        <v/>
      </c>
      <c r="T52" s="500">
        <f>$C$11/$C$7-$AL$16-$AL$21-$AL$26</f>
        <v/>
      </c>
      <c r="U52" s="519">
        <f>$C$12/$C$7-$AL$17-$AL$22-$AL$27</f>
        <v/>
      </c>
      <c r="V52" s="92" t="n"/>
      <c r="W52" s="196" t="n"/>
      <c r="X52" s="92" t="n"/>
      <c r="Y52" s="206" t="n"/>
      <c r="Z52" s="206" t="n"/>
      <c r="AA52" s="206" t="n"/>
      <c r="AB52" s="94" t="n"/>
      <c r="AC52" s="206" t="n"/>
      <c r="AD52" s="206" t="n"/>
      <c r="AE52" s="206" t="n"/>
      <c r="AF52" s="206" t="n"/>
      <c r="AG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$C$11/$C$7-$AL$16-$AL$21</f>
        <v/>
      </c>
      <c r="Q53" s="519">
        <f>$C$12/$C$7-$AL$17-$AL$22</f>
        <v/>
      </c>
      <c r="R53" s="515">
        <f>$C$43</f>
        <v/>
      </c>
      <c r="S53" s="516">
        <f>R53-T53-U53</f>
        <v/>
      </c>
      <c r="T53" s="500">
        <f>$C$11/$C$7-$AL$16-$AL$21-$AL$26</f>
        <v/>
      </c>
      <c r="U53" s="519">
        <f>$C$12/$C$7-$AL$17-$AL$22-$AL$27</f>
        <v/>
      </c>
      <c r="V53" s="92" t="n"/>
      <c r="W53" s="196" t="n"/>
      <c r="X53" s="92" t="n"/>
      <c r="Y53" s="206" t="n"/>
      <c r="Z53" s="206" t="n"/>
      <c r="AA53" s="206" t="n"/>
      <c r="AB53" s="94" t="n"/>
      <c r="AC53" s="206" t="n"/>
      <c r="AD53" s="206" t="n"/>
      <c r="AE53" s="206" t="n"/>
      <c r="AF53" s="206" t="n"/>
      <c r="AG53" s="94" t="n"/>
    </row>
    <row r="54">
      <c r="C54" s="500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$C$11/$C$7-$AL$16-$AL$21</f>
        <v/>
      </c>
      <c r="Q54" s="519">
        <f>$C$12/$C$7-$AL$17-$AL$22</f>
        <v/>
      </c>
      <c r="R54" s="515">
        <f>$C$43</f>
        <v/>
      </c>
      <c r="S54" s="516">
        <f>R54-T54-U54</f>
        <v/>
      </c>
      <c r="T54" s="500">
        <f>$C$11/$C$7-$AL$16-$AL$21-$AL$26</f>
        <v/>
      </c>
      <c r="U54" s="519">
        <f>$C$12/$C$7-$AL$17-$AL$22-$AL$27</f>
        <v/>
      </c>
      <c r="V54" s="92" t="n"/>
      <c r="W54" s="196" t="n"/>
      <c r="X54" s="92" t="n"/>
      <c r="Y54" s="206" t="n"/>
      <c r="Z54" s="206" t="n"/>
      <c r="AA54" s="206" t="n"/>
      <c r="AB54" s="94" t="n"/>
      <c r="AC54" s="206" t="n"/>
      <c r="AD54" s="206" t="n"/>
      <c r="AE54" s="206" t="n"/>
      <c r="AF54" s="206" t="n"/>
      <c r="AG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$C$11/$C$7-$AL$16-$AL$21</f>
        <v/>
      </c>
      <c r="Q55" s="519">
        <f>$C$12/$C$7-$AL$17-$AL$22</f>
        <v/>
      </c>
      <c r="R55" s="515">
        <f>$C$43</f>
        <v/>
      </c>
      <c r="S55" s="516">
        <f>R55-T55-U55</f>
        <v/>
      </c>
      <c r="T55" s="500">
        <f>$C$11/$C$7-$AL$16-$AL$21-$AL$26</f>
        <v/>
      </c>
      <c r="U55" s="519">
        <f>$C$12/$C$7-$AL$17-$AL$22-$AL$27</f>
        <v/>
      </c>
      <c r="V55" s="92" t="n"/>
      <c r="W55" s="196" t="n"/>
      <c r="X55" s="92" t="n"/>
      <c r="Y55" s="206" t="n"/>
      <c r="Z55" s="206" t="n"/>
      <c r="AA55" s="206" t="n"/>
      <c r="AB55" s="94" t="n"/>
      <c r="AC55" s="206" t="n"/>
      <c r="AD55" s="206" t="n"/>
      <c r="AE55" s="206" t="n"/>
      <c r="AF55" s="206" t="n"/>
      <c r="AG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$C$11/$C$7-$AL$16-$AL$21</f>
        <v/>
      </c>
      <c r="Q56" s="519">
        <f>$C$12/$C$7-$AL$17-$AL$22</f>
        <v/>
      </c>
      <c r="R56" s="515">
        <f>$C$43</f>
        <v/>
      </c>
      <c r="S56" s="516">
        <f>R56-T56-U56</f>
        <v/>
      </c>
      <c r="T56" s="500">
        <f>$C$11/$C$7-$AL$16-$AL$21-$AL$26</f>
        <v/>
      </c>
      <c r="U56" s="519">
        <f>$C$12/$C$7-$AL$17-$AL$22-$AL$27</f>
        <v/>
      </c>
      <c r="V56" s="92" t="n"/>
      <c r="W56" s="196" t="n"/>
      <c r="X56" s="92" t="n"/>
      <c r="Y56" s="206" t="n"/>
      <c r="Z56" s="206" t="n"/>
      <c r="AA56" s="206" t="n"/>
      <c r="AB56" s="94" t="n"/>
      <c r="AC56" s="206" t="n"/>
      <c r="AD56" s="206" t="n"/>
      <c r="AE56" s="206" t="n"/>
      <c r="AF56" s="206" t="n"/>
      <c r="AG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$C$11/$C$7-$AL$16-$AL$21</f>
        <v/>
      </c>
      <c r="Q57" s="519">
        <f>$C$12/$C$7-$AL$17-$AL$22</f>
        <v/>
      </c>
      <c r="R57" s="515">
        <f>$C$43</f>
        <v/>
      </c>
      <c r="S57" s="516">
        <f>R57-T57-U57</f>
        <v/>
      </c>
      <c r="T57" s="500">
        <f>$C$11/$C$7-$AL$16-$AL$21-$AL$26</f>
        <v/>
      </c>
      <c r="U57" s="519">
        <f>$C$12/$C$7-$AL$17-$AL$22-$AL$27</f>
        <v/>
      </c>
      <c r="V57" s="92" t="n"/>
      <c r="W57" s="196" t="n"/>
      <c r="X57" s="92" t="n"/>
      <c r="Y57" s="206" t="n"/>
      <c r="Z57" s="206" t="n"/>
      <c r="AA57" s="206" t="n"/>
      <c r="AB57" s="94" t="n"/>
      <c r="AC57" s="206" t="n"/>
      <c r="AD57" s="206" t="n"/>
      <c r="AE57" s="206" t="n"/>
      <c r="AF57" s="206" t="n"/>
      <c r="AG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$C$11/$C$7-$AL$16-$AL$21</f>
        <v/>
      </c>
      <c r="Q58" s="519">
        <f>$C$12/$C$7-$AL$17-$AL$22</f>
        <v/>
      </c>
      <c r="R58" s="515">
        <f>$C$43</f>
        <v/>
      </c>
      <c r="S58" s="516">
        <f>R58-T58-U58</f>
        <v/>
      </c>
      <c r="T58" s="500">
        <f>$C$11/$C$7-$AL$16-$AL$21-$AL$26</f>
        <v/>
      </c>
      <c r="U58" s="519">
        <f>$C$12/$C$7-$AL$17-$AL$22-$AL$27</f>
        <v/>
      </c>
      <c r="V58" s="92" t="n"/>
      <c r="W58" s="196" t="n"/>
      <c r="X58" s="92" t="n"/>
      <c r="Y58" s="206" t="n"/>
      <c r="Z58" s="206" t="n"/>
      <c r="AA58" s="206" t="n"/>
      <c r="AB58" s="94" t="n"/>
      <c r="AC58" s="206" t="n"/>
      <c r="AD58" s="206" t="n"/>
      <c r="AE58" s="206" t="n"/>
      <c r="AF58" s="206" t="n"/>
      <c r="AG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$C$11/$C$7-$AL$16-$AL$21</f>
        <v/>
      </c>
      <c r="Q59" s="519">
        <f>$C$12/$C$7-$AL$17-$AL$22</f>
        <v/>
      </c>
      <c r="R59" s="515">
        <f>$C$43</f>
        <v/>
      </c>
      <c r="S59" s="516">
        <f>R59-T59-U59</f>
        <v/>
      </c>
      <c r="T59" s="500">
        <f>$C$11/$C$7-$AL$16-$AL$21-$AL$26</f>
        <v/>
      </c>
      <c r="U59" s="519">
        <f>$C$12/$C$7-$AL$17-$AL$22-$AL$27</f>
        <v/>
      </c>
      <c r="V59" s="92" t="n"/>
      <c r="W59" s="196" t="n"/>
      <c r="X59" s="92" t="n"/>
      <c r="Y59" s="206" t="n"/>
      <c r="Z59" s="206" t="n"/>
      <c r="AA59" s="206" t="n"/>
      <c r="AB59" s="94" t="n"/>
      <c r="AC59" s="206" t="n"/>
      <c r="AD59" s="206" t="n"/>
      <c r="AE59" s="206" t="n"/>
      <c r="AF59" s="206" t="n"/>
      <c r="AG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$C$11/$C$7-$AL$16-$AL$21</f>
        <v/>
      </c>
      <c r="Q60" s="519">
        <f>$C$12/$C$7-$AL$17-$AL$22</f>
        <v/>
      </c>
      <c r="R60" s="515">
        <f>$C$43</f>
        <v/>
      </c>
      <c r="S60" s="516">
        <f>R60-T60-U60</f>
        <v/>
      </c>
      <c r="T60" s="500">
        <f>$C$11/$C$7-$AL$16-$AL$21-$AL$26</f>
        <v/>
      </c>
      <c r="U60" s="519">
        <f>$C$12/$C$7-$AL$17-$AL$22-$AL$27</f>
        <v/>
      </c>
      <c r="V60" s="92" t="n"/>
      <c r="W60" s="196" t="n"/>
      <c r="X60" s="92" t="n"/>
      <c r="Y60" s="206" t="n"/>
      <c r="Z60" s="206" t="n"/>
      <c r="AA60" s="206" t="n"/>
      <c r="AB60" s="94" t="n"/>
      <c r="AC60" s="206" t="n"/>
      <c r="AD60" s="206" t="n"/>
      <c r="AE60" s="206" t="n"/>
      <c r="AF60" s="206" t="n"/>
      <c r="AG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$C$11/$C$7-$AL$16-$AL$21</f>
        <v/>
      </c>
      <c r="Q61" s="519">
        <f>$C$12/$C$7-$AL$17-$AL$22</f>
        <v/>
      </c>
      <c r="R61" s="515">
        <f>$C$43</f>
        <v/>
      </c>
      <c r="S61" s="516">
        <f>R61-T61-U61</f>
        <v/>
      </c>
      <c r="T61" s="500">
        <f>$C$11/$C$7-$AL$16-$AL$21-$AL$26</f>
        <v/>
      </c>
      <c r="U61" s="519">
        <f>$C$12/$C$7-$AL$17-$AL$22-$AL$27</f>
        <v/>
      </c>
      <c r="V61" s="92" t="n"/>
      <c r="W61" s="196" t="n"/>
      <c r="X61" s="92" t="n"/>
      <c r="Y61" s="206" t="n"/>
      <c r="Z61" s="206" t="n"/>
      <c r="AA61" s="206" t="n"/>
      <c r="AB61" s="94" t="n"/>
      <c r="AC61" s="206" t="n"/>
      <c r="AD61" s="206" t="n"/>
      <c r="AE61" s="206" t="n"/>
      <c r="AF61" s="206" t="n"/>
      <c r="AG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$C$11/$C$7-$AL$16-$AL$21</f>
        <v/>
      </c>
      <c r="Q62" s="519">
        <f>$C$12/$C$7-$AL$17-$AL$22</f>
        <v/>
      </c>
      <c r="R62" s="515">
        <f>$C$43</f>
        <v/>
      </c>
      <c r="S62" s="516">
        <f>R62-T62-U62</f>
        <v/>
      </c>
      <c r="T62" s="500">
        <f>$C$11/$C$7-$AL$16-$AL$21-$AL$26</f>
        <v/>
      </c>
      <c r="U62" s="519">
        <f>$C$12/$C$7-$AL$17-$AL$22-$AL$27</f>
        <v/>
      </c>
      <c r="V62" s="92" t="n"/>
      <c r="W62" s="196" t="n"/>
      <c r="X62" s="92" t="n"/>
      <c r="Y62" s="206" t="n"/>
      <c r="Z62" s="206" t="n"/>
      <c r="AA62" s="206" t="n"/>
      <c r="AB62" s="94" t="n"/>
      <c r="AC62" s="206" t="n"/>
      <c r="AD62" s="206" t="n"/>
      <c r="AE62" s="206" t="n"/>
      <c r="AF62" s="206" t="n"/>
      <c r="AG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$C$11/$C$7-$AL$16-$AL$21</f>
        <v/>
      </c>
      <c r="Q63" s="519">
        <f>$C$12/$C$7-$AL$17-$AL$22</f>
        <v/>
      </c>
      <c r="R63" s="515">
        <f>$C$43</f>
        <v/>
      </c>
      <c r="S63" s="516">
        <f>R63-T63-U63</f>
        <v/>
      </c>
      <c r="T63" s="500">
        <f>$C$11/$C$7-$AL$16-$AL$21-$AL$26</f>
        <v/>
      </c>
      <c r="U63" s="519">
        <f>$C$12/$C$7-$AL$17-$AL$22-$AL$27</f>
        <v/>
      </c>
      <c r="V63" s="92" t="n"/>
      <c r="W63" s="196" t="n"/>
      <c r="X63" s="92" t="n"/>
      <c r="Y63" s="206" t="n"/>
      <c r="Z63" s="206" t="n"/>
      <c r="AA63" s="206" t="n"/>
      <c r="AB63" s="94" t="n"/>
      <c r="AC63" s="206" t="n"/>
      <c r="AD63" s="206" t="n"/>
      <c r="AE63" s="206" t="n"/>
      <c r="AF63" s="206" t="n"/>
      <c r="AG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$C$11/$C$7-$AL$16-$AL$21</f>
        <v/>
      </c>
      <c r="Q64" s="519">
        <f>$C$12/$C$7-$AL$17-$AL$22</f>
        <v/>
      </c>
      <c r="R64" s="515">
        <f>$C$43</f>
        <v/>
      </c>
      <c r="S64" s="516">
        <f>R64-T64-U64</f>
        <v/>
      </c>
      <c r="T64" s="500">
        <f>$C$11/$C$7-$AL$16-$AL$21-$AL$26</f>
        <v/>
      </c>
      <c r="U64" s="519">
        <f>$C$12/$C$7-$AL$17-$AL$22-$AL$27</f>
        <v/>
      </c>
      <c r="V64" s="92" t="n"/>
      <c r="W64" s="196" t="n"/>
      <c r="X64" s="92" t="n"/>
      <c r="Y64" s="206" t="n"/>
      <c r="Z64" s="206" t="n"/>
      <c r="AA64" s="206" t="n"/>
      <c r="AB64" s="94" t="n"/>
      <c r="AC64" s="206" t="n"/>
      <c r="AD64" s="206" t="n"/>
      <c r="AE64" s="206" t="n"/>
      <c r="AF64" s="206" t="n"/>
      <c r="AG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$C$11/$C$7-$AL$16-$AL$21</f>
        <v/>
      </c>
      <c r="Q65" s="519">
        <f>$C$12/$C$7-$AL$17-$AL$22</f>
        <v/>
      </c>
      <c r="R65" s="515">
        <f>$C$43</f>
        <v/>
      </c>
      <c r="S65" s="516">
        <f>R65-T65-U65</f>
        <v/>
      </c>
      <c r="T65" s="500">
        <f>$C$11/$C$7-$AL$16-$AL$21-$AL$26</f>
        <v/>
      </c>
      <c r="U65" s="519">
        <f>$C$12/$C$7-$AL$17-$AL$22-$AL$27</f>
        <v/>
      </c>
      <c r="V65" s="92" t="n"/>
      <c r="W65" s="196" t="n"/>
      <c r="X65" s="92" t="n"/>
      <c r="Y65" s="206" t="n"/>
      <c r="Z65" s="206" t="n"/>
      <c r="AA65" s="206" t="n"/>
      <c r="AB65" s="94" t="n"/>
      <c r="AC65" s="206" t="n"/>
      <c r="AD65" s="206" t="n"/>
      <c r="AE65" s="206" t="n"/>
      <c r="AF65" s="206" t="n"/>
      <c r="AG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$C$11/$C$7-$AL$16-$AL$21</f>
        <v/>
      </c>
      <c r="Q66" s="519">
        <f>$C$12/$C$7-$AL$17-$AL$22</f>
        <v/>
      </c>
      <c r="R66" s="515">
        <f>$C$43</f>
        <v/>
      </c>
      <c r="S66" s="516">
        <f>R66-T66-U66</f>
        <v/>
      </c>
      <c r="T66" s="500">
        <f>$C$11/$C$7-$AL$16-$AL$21-$AL$26</f>
        <v/>
      </c>
      <c r="U66" s="519">
        <f>$C$12/$C$7-$AL$17-$AL$22-$AL$27</f>
        <v/>
      </c>
      <c r="V66" s="92" t="n"/>
      <c r="W66" s="196" t="n"/>
      <c r="X66" s="92" t="n"/>
      <c r="Y66" s="206" t="n"/>
      <c r="Z66" s="206" t="n"/>
      <c r="AA66" s="206" t="n"/>
      <c r="AB66" s="94" t="n"/>
      <c r="AC66" s="206" t="n"/>
      <c r="AD66" s="206" t="n"/>
      <c r="AE66" s="206" t="n"/>
      <c r="AF66" s="206" t="n"/>
      <c r="AG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$C$11/$C$7-$AL$16-$AL$21</f>
        <v/>
      </c>
      <c r="Q67" s="519">
        <f>$C$12/$C$7-$AL$17-$AL$22</f>
        <v/>
      </c>
      <c r="R67" s="515">
        <f>$C$43</f>
        <v/>
      </c>
      <c r="S67" s="516">
        <f>R67-T67-U67</f>
        <v/>
      </c>
      <c r="T67" s="500">
        <f>$C$11/$C$7-$AL$16-$AL$21-$AL$26</f>
        <v/>
      </c>
      <c r="U67" s="519">
        <f>$C$12/$C$7-$AL$17-$AL$22-$AL$27</f>
        <v/>
      </c>
      <c r="V67" s="92" t="n"/>
      <c r="W67" s="196" t="n"/>
      <c r="X67" s="92" t="n"/>
      <c r="Y67" s="206" t="n"/>
      <c r="Z67" s="206" t="n"/>
      <c r="AA67" s="206" t="n"/>
      <c r="AB67" s="94" t="n"/>
      <c r="AC67" s="206" t="n"/>
      <c r="AD67" s="206" t="n"/>
      <c r="AE67" s="206" t="n"/>
      <c r="AF67" s="206" t="n"/>
      <c r="AG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$C$11/$C$7-$AL$16-$AL$21</f>
        <v/>
      </c>
      <c r="Q68" s="519">
        <f>$C$12/$C$7-$AL$17-$AL$22</f>
        <v/>
      </c>
      <c r="R68" s="515">
        <f>$C$43</f>
        <v/>
      </c>
      <c r="S68" s="516">
        <f>R68-T68-U68</f>
        <v/>
      </c>
      <c r="T68" s="500">
        <f>$C$11/$C$7-$AL$16-$AL$21-$AL$26</f>
        <v/>
      </c>
      <c r="U68" s="519">
        <f>$C$12/$C$7-$AL$17-$AL$22-$AL$27</f>
        <v/>
      </c>
      <c r="V68" s="92" t="n"/>
      <c r="W68" s="196" t="n"/>
      <c r="X68" s="92" t="n"/>
      <c r="Y68" s="206" t="n"/>
      <c r="Z68" s="206" t="n"/>
      <c r="AA68" s="206" t="n"/>
      <c r="AB68" s="94" t="n"/>
      <c r="AC68" s="206" t="n"/>
      <c r="AD68" s="206" t="n"/>
      <c r="AE68" s="206" t="n"/>
      <c r="AF68" s="206" t="n"/>
      <c r="AG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$C$11/$C$7-$AL$16-$AL$21</f>
        <v/>
      </c>
      <c r="Q69" s="519">
        <f>$C$12/$C$7-$AL$17-$AL$22</f>
        <v/>
      </c>
      <c r="R69" s="515">
        <f>$C$43</f>
        <v/>
      </c>
      <c r="S69" s="516">
        <f>R69-T69-U69</f>
        <v/>
      </c>
      <c r="T69" s="500">
        <f>$C$11/$C$7-$AL$16-$AL$21-$AL$26</f>
        <v/>
      </c>
      <c r="U69" s="519">
        <f>$C$12/$C$7-$AL$17-$AL$22-$AL$27</f>
        <v/>
      </c>
      <c r="V69" s="92" t="n"/>
      <c r="W69" s="196" t="n"/>
      <c r="X69" s="92" t="n"/>
      <c r="Y69" s="206" t="n"/>
      <c r="Z69" s="206" t="n"/>
      <c r="AA69" s="206" t="n"/>
      <c r="AB69" s="94" t="n"/>
      <c r="AC69" s="206" t="n"/>
      <c r="AD69" s="206" t="n"/>
      <c r="AE69" s="206" t="n"/>
      <c r="AF69" s="206" t="n"/>
      <c r="AG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$C$11/$C$7-$AL$16-$AL$21</f>
        <v/>
      </c>
      <c r="Q70" s="519">
        <f>$C$12/$C$7-$AL$17-$AL$22</f>
        <v/>
      </c>
      <c r="R70" s="515">
        <f>$C$43</f>
        <v/>
      </c>
      <c r="S70" s="516">
        <f>R70-T70-U70</f>
        <v/>
      </c>
      <c r="T70" s="500">
        <f>$C$11/$C$7-$AL$16-$AL$21-$AL$26</f>
        <v/>
      </c>
      <c r="U70" s="519">
        <f>$C$12/$C$7-$AL$17-$AL$22-$AL$27</f>
        <v/>
      </c>
      <c r="V70" s="92" t="n"/>
      <c r="W70" s="196" t="n"/>
      <c r="X70" s="92" t="n"/>
      <c r="Y70" s="206" t="n"/>
      <c r="Z70" s="206" t="n"/>
      <c r="AA70" s="206" t="n"/>
      <c r="AB70" s="94" t="n"/>
      <c r="AC70" s="206" t="n"/>
      <c r="AD70" s="206" t="n"/>
      <c r="AE70" s="206" t="n"/>
      <c r="AF70" s="206" t="n"/>
      <c r="AG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$C$11/$C$7-$AL$16-$AL$21</f>
        <v/>
      </c>
      <c r="Q71" s="519">
        <f>$C$12/$C$7-$AL$17-$AL$22</f>
        <v/>
      </c>
      <c r="R71" s="515">
        <f>$C$43</f>
        <v/>
      </c>
      <c r="S71" s="516">
        <f>R71-T71-U71</f>
        <v/>
      </c>
      <c r="T71" s="500">
        <f>$C$11/$C$7-$AL$16-$AL$21-$AL$26</f>
        <v/>
      </c>
      <c r="U71" s="519">
        <f>$C$12/$C$7-$AL$17-$AL$22-$AL$27</f>
        <v/>
      </c>
      <c r="V71" s="92" t="n"/>
      <c r="W71" s="196" t="n"/>
      <c r="X71" s="92" t="n"/>
      <c r="Y71" s="206" t="n"/>
      <c r="Z71" s="206" t="n"/>
      <c r="AA71" s="206" t="n"/>
      <c r="AB71" s="94" t="n"/>
      <c r="AC71" s="206" t="n"/>
      <c r="AD71" s="206" t="n"/>
      <c r="AE71" s="206" t="n"/>
      <c r="AF71" s="206" t="n"/>
      <c r="AG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$C$11/$C$7-$AL$16-$AL$21</f>
        <v/>
      </c>
      <c r="Q72" s="519">
        <f>$C$12/$C$7-$AL$17-$AL$22</f>
        <v/>
      </c>
      <c r="R72" s="515">
        <f>$C$43</f>
        <v/>
      </c>
      <c r="S72" s="516">
        <f>R72-T72-U72</f>
        <v/>
      </c>
      <c r="T72" s="500">
        <f>$C$11/$C$7-$AL$16-$AL$21-$AL$26</f>
        <v/>
      </c>
      <c r="U72" s="519">
        <f>$C$12/$C$7-$AL$17-$AL$22-$AL$27</f>
        <v/>
      </c>
      <c r="V72" s="92" t="n"/>
      <c r="W72" s="196" t="n"/>
      <c r="X72" s="92" t="n"/>
      <c r="Y72" s="206" t="n"/>
      <c r="Z72" s="206" t="n"/>
      <c r="AA72" s="206" t="n"/>
      <c r="AB72" s="94" t="n"/>
      <c r="AC72" s="206" t="n"/>
      <c r="AD72" s="206" t="n"/>
      <c r="AE72" s="206" t="n"/>
      <c r="AF72" s="206" t="n"/>
      <c r="AG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$C$11/$C$7-$AL$16-$AL$21</f>
        <v/>
      </c>
      <c r="Q73" s="519">
        <f>$C$12/$C$7-$AL$17-$AL$22</f>
        <v/>
      </c>
      <c r="R73" s="515">
        <f>$C$43</f>
        <v/>
      </c>
      <c r="S73" s="516">
        <f>R73-T73-U73</f>
        <v/>
      </c>
      <c r="T73" s="500">
        <f>$C$11/$C$7-$AL$16-$AL$21-$AL$26</f>
        <v/>
      </c>
      <c r="U73" s="519">
        <f>$C$12/$C$7-$AL$17-$AL$22-$AL$27</f>
        <v/>
      </c>
      <c r="V73" s="92" t="n"/>
      <c r="W73" s="196" t="n"/>
      <c r="X73" s="92" t="n"/>
      <c r="Y73" s="206" t="n"/>
      <c r="Z73" s="206" t="n"/>
      <c r="AA73" s="206" t="n"/>
      <c r="AB73" s="94" t="n"/>
      <c r="AC73" s="206" t="n"/>
      <c r="AD73" s="206" t="n"/>
      <c r="AE73" s="206" t="n"/>
      <c r="AF73" s="206" t="n"/>
      <c r="AG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$C$11/$C$7-$AL$16-$AL$21</f>
        <v/>
      </c>
      <c r="Q74" s="519">
        <f>$C$12/$C$7-$AL$17-$AL$22</f>
        <v/>
      </c>
      <c r="R74" s="515">
        <f>$C$43</f>
        <v/>
      </c>
      <c r="S74" s="516">
        <f>R74-T74-U74</f>
        <v/>
      </c>
      <c r="T74" s="500">
        <f>$C$11/$C$7-$AL$16-$AL$21-$AL$26</f>
        <v/>
      </c>
      <c r="U74" s="519">
        <f>$C$12/$C$7-$AL$17-$AL$22-$AL$27</f>
        <v/>
      </c>
      <c r="V74" s="92" t="n"/>
      <c r="W74" s="196" t="n"/>
      <c r="X74" s="92" t="n"/>
      <c r="Y74" s="206" t="n"/>
      <c r="Z74" s="206" t="n"/>
      <c r="AA74" s="206" t="n"/>
      <c r="AB74" s="94" t="n"/>
      <c r="AC74" s="206" t="n"/>
      <c r="AD74" s="206" t="n"/>
      <c r="AE74" s="206" t="n"/>
      <c r="AF74" s="206" t="n"/>
      <c r="AG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$C$11/$C$7-$AL$16-$AL$21</f>
        <v/>
      </c>
      <c r="Q75" s="519">
        <f>$C$12/$C$7-$AL$17-$AL$22</f>
        <v/>
      </c>
      <c r="R75" s="515">
        <f>$C$43</f>
        <v/>
      </c>
      <c r="S75" s="516">
        <f>R75-T75-U75</f>
        <v/>
      </c>
      <c r="T75" s="500">
        <f>$C$11/$C$7-$AL$16-$AL$21-$AL$26</f>
        <v/>
      </c>
      <c r="U75" s="519">
        <f>$C$12/$C$7-$AL$17-$AL$22-$AL$27</f>
        <v/>
      </c>
      <c r="V75" s="92" t="n"/>
      <c r="W75" s="196" t="n"/>
      <c r="X75" s="92" t="n"/>
      <c r="Y75" s="206" t="n"/>
      <c r="Z75" s="206" t="n"/>
      <c r="AA75" s="206" t="n"/>
      <c r="AB75" s="94" t="n"/>
      <c r="AC75" s="206" t="n"/>
      <c r="AD75" s="206" t="n"/>
      <c r="AE75" s="206" t="n"/>
      <c r="AF75" s="206" t="n"/>
      <c r="AG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$C$11/$C$7-$AL$16-$AL$21</f>
        <v/>
      </c>
      <c r="Q76" s="519">
        <f>$C$12/$C$7-$AL$17-$AL$22</f>
        <v/>
      </c>
      <c r="R76" s="515">
        <f>$C$43</f>
        <v/>
      </c>
      <c r="S76" s="516">
        <f>R76-T76-U76</f>
        <v/>
      </c>
      <c r="T76" s="500">
        <f>$C$11/$C$7-$AL$16-$AL$21-$AL$26</f>
        <v/>
      </c>
      <c r="U76" s="519">
        <f>$C$12/$C$7-$AL$17-$AL$22-$AL$27</f>
        <v/>
      </c>
      <c r="V76" s="92" t="n"/>
      <c r="W76" s="196" t="n"/>
      <c r="X76" s="92" t="n"/>
      <c r="Y76" s="206" t="n"/>
      <c r="Z76" s="206" t="n"/>
      <c r="AA76" s="206" t="n"/>
      <c r="AB76" s="94" t="n"/>
      <c r="AC76" s="206" t="n"/>
      <c r="AD76" s="206" t="n"/>
      <c r="AE76" s="206" t="n"/>
      <c r="AF76" s="206" t="n"/>
      <c r="AG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($C$11/$C$7-$AL$16-$AL$21)-P5</f>
        <v/>
      </c>
      <c r="Q77" s="642">
        <f>($C$12/$C$7-$AL$17-$AL$22)-Q5</f>
        <v/>
      </c>
      <c r="R77" s="581">
        <f>$C$43-R5</f>
        <v/>
      </c>
      <c r="S77" s="588">
        <f>R77-T77-U77</f>
        <v/>
      </c>
      <c r="T77" s="589">
        <f>($C$11/$C$7-$AL$16-$AL$21-$AL$26)-T5</f>
        <v/>
      </c>
      <c r="U77" s="642">
        <f>($C$12/$C$7-$AL$17-$AL$22-$AL$27)-U5</f>
        <v/>
      </c>
      <c r="V77" s="59" t="n"/>
      <c r="W77" s="12" t="n"/>
      <c r="X77" s="59" t="n"/>
      <c r="Y77" s="95" t="n"/>
      <c r="Z77" s="95" t="n"/>
      <c r="AA77" s="95" t="n"/>
      <c r="AB77" s="97" t="n"/>
      <c r="AC77" s="95" t="n"/>
      <c r="AD77" s="95" t="n"/>
      <c r="AE77" s="95" t="n"/>
      <c r="AF77" s="95" t="n"/>
      <c r="AG77" s="97" t="n"/>
    </row>
    <row r="78">
      <c r="O78" s="500" t="n"/>
      <c r="S78" s="500" t="n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rgb="00C0392B"/>
    <outlinePr summaryBelow="1" summaryRight="1"/>
    <pageSetUpPr/>
  </sheetPr>
  <dimension ref="A2:BG78"/>
  <sheetViews>
    <sheetView showGridLines="0" topLeftCell="R1" zoomScale="55" zoomScaleNormal="55" workbookViewId="0">
      <selection activeCell="AZ41" sqref="AZ41"/>
    </sheetView>
  </sheetViews>
  <sheetFormatPr baseColWidth="8" defaultRowHeight="16.9"/>
  <cols>
    <col width="8" customWidth="1" style="497" min="1" max="1"/>
    <col width="44.375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customWidth="1" style="185" min="6" max="6"/>
    <col width="11.125" customWidth="1" style="185" min="7" max="9"/>
    <col width="13.375" customWidth="1" style="497" min="10" max="11"/>
    <col width="12.125" customWidth="1" style="497" min="12" max="12"/>
    <col width="10.5" customWidth="1" style="497" min="13" max="13"/>
    <col hidden="1" width="12.125" customWidth="1" style="497" min="14" max="16"/>
    <col hidden="1" width="10.5" customWidth="1" style="497" min="17" max="17"/>
    <col width="15.875" customWidth="1" style="497" min="18" max="19"/>
    <col width="11.6875" bestFit="1" customWidth="1" style="497" min="20" max="20"/>
    <col width="10.1875" bestFit="1" customWidth="1" style="497" min="21" max="21"/>
    <col width="11.1875" bestFit="1" customWidth="1" style="497" min="22" max="22"/>
    <col width="9.1875" customWidth="1" style="497" min="23" max="23"/>
    <col width="16.5" customWidth="1" style="497" min="24" max="28"/>
    <col hidden="1" outlineLevel="1" width="14" customWidth="1" style="497" min="29" max="33"/>
    <col collapsed="1" width="15.875" customWidth="1" style="497" min="34" max="34"/>
    <col width="15.875" customWidth="1" style="497" min="35" max="35"/>
    <col width="11.6875" bestFit="1" customWidth="1" style="497" min="36" max="36"/>
    <col width="10.1875" bestFit="1" customWidth="1" style="497" min="37" max="37"/>
    <col width="11.1875" bestFit="1" customWidth="1" style="497" min="38" max="38"/>
    <col width="9.1875" customWidth="1" style="497" min="39" max="39"/>
    <col width="16.5" customWidth="1" style="497" min="40" max="44"/>
    <col hidden="1" outlineLevel="1" width="14" customWidth="1" style="497" min="45" max="49"/>
    <col collapsed="1" width="9" customWidth="1" style="497" min="50" max="50"/>
    <col width="15.375" bestFit="1" customWidth="1" style="497" min="52" max="52"/>
    <col width="12.375" bestFit="1" customWidth="1" style="497" min="53" max="53"/>
    <col width="11.6875" bestFit="1" customWidth="1" style="497" min="54" max="54"/>
    <col width="11.6875" bestFit="1" customWidth="1" style="497" min="58" max="58"/>
    <col width="10.875" customWidth="1" style="497" min="59" max="59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  <c r="AH2" s="500">
        <f>SUM(AH5:AH77)</f>
        <v/>
      </c>
      <c r="AI2" s="500">
        <f>SUM(AI5:AI77)</f>
        <v/>
      </c>
      <c r="AJ2" s="500">
        <f>SUM(AJ5:AJ77)</f>
        <v/>
      </c>
      <c r="AK2" s="500">
        <f>SUM(AK5:AK77)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선납+선납할인+단품+결합할인 시 (v-)</t>
        </is>
      </c>
      <c r="S3" s="76" t="n"/>
      <c r="T3" s="76" t="n"/>
      <c r="U3" s="76" t="n"/>
      <c r="V3" s="75" t="inlineStr">
        <is>
          <t>중도해지 시 (v-)</t>
        </is>
      </c>
      <c r="W3" s="70" t="n"/>
      <c r="X3" s="254" t="n"/>
      <c r="Y3" s="254" t="n"/>
      <c r="Z3" s="254" t="n"/>
      <c r="AA3" s="255" t="n"/>
      <c r="AB3" s="254" t="n"/>
      <c r="AC3" s="75" t="inlineStr">
        <is>
          <t>중도해지 시 (v+)</t>
        </is>
      </c>
      <c r="AD3" s="70" t="n"/>
      <c r="AE3" s="70" t="n"/>
      <c r="AF3" s="70" t="n"/>
      <c r="AG3" s="71" t="n"/>
      <c r="AH3" s="402" t="inlineStr">
        <is>
          <t>선납+선납할인+단품+결합할인+N개월할인 시 (v-)</t>
        </is>
      </c>
      <c r="AI3" s="403" t="n"/>
      <c r="AJ3" s="403" t="n"/>
      <c r="AK3" s="403" t="n"/>
      <c r="AL3" s="402" t="inlineStr">
        <is>
          <t>중도해지 시 (v-)</t>
        </is>
      </c>
      <c r="AM3" s="411" t="n"/>
      <c r="AN3" s="412" t="n"/>
      <c r="AO3" s="412" t="n"/>
      <c r="AP3" s="412" t="n"/>
      <c r="AQ3" s="413" t="n"/>
      <c r="AR3" s="412" t="n"/>
      <c r="AS3" s="402" t="inlineStr">
        <is>
          <t>중도해지 시 (v+)</t>
        </is>
      </c>
      <c r="AT3" s="411" t="n"/>
      <c r="AU3" s="411" t="n"/>
      <c r="AV3" s="411" t="n"/>
      <c r="AW3" s="414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26" t="inlineStr">
        <is>
          <t>제품판정일</t>
        </is>
      </c>
      <c r="W4" s="9" t="inlineStr">
        <is>
          <t>경과일</t>
        </is>
      </c>
      <c r="X4" s="26" t="inlineStr">
        <is>
          <t>위약금</t>
        </is>
      </c>
      <c r="Y4" s="15" t="inlineStr">
        <is>
          <t>사용분 청구</t>
        </is>
      </c>
      <c r="Z4" s="15" t="inlineStr">
        <is>
          <t>할인금 회수</t>
        </is>
      </c>
      <c r="AA4" s="15" t="inlineStr">
        <is>
          <t>선납잔액 환불</t>
        </is>
      </c>
      <c r="AB4" s="27" t="inlineStr">
        <is>
          <t>등록비 청구</t>
        </is>
      </c>
      <c r="AC4" s="15" t="inlineStr">
        <is>
          <t>위약금</t>
        </is>
      </c>
      <c r="AD4" s="15" t="inlineStr">
        <is>
          <t>사용분 청구</t>
        </is>
      </c>
      <c r="AE4" s="15" t="inlineStr">
        <is>
          <t>할인금 회수</t>
        </is>
      </c>
      <c r="AF4" s="15" t="inlineStr">
        <is>
          <t>선납잔액 환불</t>
        </is>
      </c>
      <c r="AG4" s="27" t="inlineStr">
        <is>
          <t>등록비</t>
        </is>
      </c>
      <c r="AH4" s="9" t="inlineStr">
        <is>
          <t>구독료청구</t>
        </is>
      </c>
      <c r="AI4" s="26" t="inlineStr">
        <is>
          <t>제품</t>
        </is>
      </c>
      <c r="AJ4" s="15" t="inlineStr">
        <is>
          <t>케어</t>
        </is>
      </c>
      <c r="AK4" s="27" t="inlineStr">
        <is>
          <t>보증</t>
        </is>
      </c>
      <c r="AL4" s="26" t="inlineStr">
        <is>
          <t>제품판정일</t>
        </is>
      </c>
      <c r="AM4" s="9" t="inlineStr">
        <is>
          <t>경과일</t>
        </is>
      </c>
      <c r="AN4" s="26" t="inlineStr">
        <is>
          <t>위약금</t>
        </is>
      </c>
      <c r="AO4" s="15" t="inlineStr">
        <is>
          <t>사용분 청구</t>
        </is>
      </c>
      <c r="AP4" s="15" t="inlineStr">
        <is>
          <t>할인금 회수</t>
        </is>
      </c>
      <c r="AQ4" s="15" t="inlineStr">
        <is>
          <t>선납잔액 환불</t>
        </is>
      </c>
      <c r="AR4" s="27" t="inlineStr">
        <is>
          <t>등록비 청구</t>
        </is>
      </c>
      <c r="AS4" s="15" t="inlineStr">
        <is>
          <t>위약금</t>
        </is>
      </c>
      <c r="AT4" s="15" t="inlineStr">
        <is>
          <t>사용분 청구</t>
        </is>
      </c>
      <c r="AU4" s="15" t="inlineStr">
        <is>
          <t>할인금 회수</t>
        </is>
      </c>
      <c r="AV4" s="15" t="inlineStr">
        <is>
          <t>선납잔액 환불</t>
        </is>
      </c>
      <c r="AW4" s="27" t="inlineStr">
        <is>
          <t>등록비</t>
        </is>
      </c>
      <c r="AZ4" s="273" t="inlineStr">
        <is>
          <t>사용분 청구 (v-)</t>
        </is>
      </c>
      <c r="BA4" s="274" t="n"/>
      <c r="BB4" s="274" t="n"/>
      <c r="BC4" s="124" t="n"/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08">
        <f>ROUNDDOWN(($C$34/$C$7)*(H5-G5+1)/DAY(H5),-2)</f>
        <v/>
      </c>
      <c r="O5" s="509">
        <f>N5-P5-Q5</f>
        <v/>
      </c>
      <c r="P5" s="512">
        <f>L5</f>
        <v/>
      </c>
      <c r="Q5" s="513">
        <f>M5</f>
        <v/>
      </c>
      <c r="R5" s="508">
        <f>ROUNDDOWN(($C$58/$C$7)*($H5-$G5+1)/DAY($H5),-2)</f>
        <v/>
      </c>
      <c r="S5" s="509">
        <f>R5-T5-U5</f>
        <v/>
      </c>
      <c r="T5" s="512">
        <f>ROUNDDOWN(($C$11/$C$7-$BB$16-$BB$21-$BB$26-$BB$31)*(H5-G5+1)/DAY(H5),-2)</f>
        <v/>
      </c>
      <c r="U5" s="513">
        <f>ROUNDDOWN(($C$12/$C$7-$BB$17-$BB$22-$BB$27-$BB$32)*(H5-G5+1)/DAY(H5),-2)</f>
        <v/>
      </c>
      <c r="V5" s="55" t="n"/>
      <c r="W5" s="54">
        <f>H5-G5+1</f>
        <v/>
      </c>
      <c r="X5" s="55" t="n"/>
      <c r="Y5" s="626" t="n"/>
      <c r="Z5" s="627" t="n"/>
      <c r="AA5" s="251" t="n"/>
      <c r="AB5" s="94" t="n"/>
      <c r="AC5" s="251" t="n"/>
      <c r="AD5" s="626" t="n"/>
      <c r="AE5" s="627" t="n"/>
      <c r="AF5" s="627" t="n"/>
      <c r="AG5" s="91" t="n"/>
      <c r="AH5" s="508">
        <f>ROUNDDOWN(($C$58/$C$7)*($H5-$G5+1)/DAY($H5),-2)</f>
        <v/>
      </c>
      <c r="AI5" s="509">
        <f>AH5-AJ5-AK5</f>
        <v/>
      </c>
      <c r="AJ5" s="512">
        <f>ROUNDDOWN(($C$11/$C$7-$BB$16-$BB$21-$BB$26-$BB$31)*(H5-G5+1)/DAY(H5),-2)</f>
        <v/>
      </c>
      <c r="AK5" s="513">
        <f>ROUNDDOWN(($C$12/$C$7-$BB$17-$BB$22-$BB$27-$BB$32)*(H5-G5+1)/DAY(H5),-2)</f>
        <v/>
      </c>
      <c r="AL5" s="55" t="n"/>
      <c r="AM5" s="54">
        <f>H5-G5+1</f>
        <v/>
      </c>
      <c r="AN5" s="55" t="n"/>
      <c r="AO5" s="626" t="n"/>
      <c r="AP5" s="627" t="n"/>
      <c r="AQ5" s="251" t="n"/>
      <c r="AR5" s="94" t="n"/>
      <c r="AS5" s="251" t="n"/>
      <c r="AT5" s="626" t="n"/>
      <c r="AU5" s="627" t="n"/>
      <c r="AV5" s="627" t="n"/>
      <c r="AW5" s="91" t="n"/>
      <c r="AZ5" s="130" t="n"/>
      <c r="BA5" s="9" t="inlineStr">
        <is>
          <t>제품</t>
        </is>
      </c>
      <c r="BB5" s="9" t="inlineStr">
        <is>
          <t>케어</t>
        </is>
      </c>
      <c r="BC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$C$33</f>
        <v/>
      </c>
      <c r="O6" s="516">
        <f>N6-P6-Q6</f>
        <v/>
      </c>
      <c r="P6" s="500">
        <f>L6</f>
        <v/>
      </c>
      <c r="Q6" s="519">
        <f>M6</f>
        <v/>
      </c>
      <c r="R6" s="515">
        <f>$C$57</f>
        <v/>
      </c>
      <c r="S6" s="516">
        <f>R6-T6-U6</f>
        <v/>
      </c>
      <c r="T6" s="500">
        <f>$C$11/$C$7-$BB$16-$BB$21-$BB$26-$BB$31</f>
        <v/>
      </c>
      <c r="U6" s="519">
        <f>$C$12/$C$7-$BB$17-$BB$22-$BB$27-$BB$32</f>
        <v/>
      </c>
      <c r="V6" s="92" t="n"/>
      <c r="W6" s="196">
        <f>H6-G6+1</f>
        <v/>
      </c>
      <c r="X6" s="92" t="n"/>
      <c r="Y6" s="206" t="n"/>
      <c r="Z6" s="206" t="n"/>
      <c r="AA6" s="206" t="n"/>
      <c r="AB6" s="94" t="n"/>
      <c r="AC6" s="206" t="n"/>
      <c r="AD6" s="206" t="n"/>
      <c r="AE6" s="206" t="n"/>
      <c r="AF6" s="206" t="n"/>
      <c r="AG6" s="94" t="n"/>
      <c r="AH6" s="520" t="n"/>
      <c r="AI6" s="521" t="n"/>
      <c r="AJ6" s="522" t="n"/>
      <c r="AK6" s="523" t="n"/>
      <c r="AL6" s="92" t="n"/>
      <c r="AM6" s="196">
        <f>H6-G6+1</f>
        <v/>
      </c>
      <c r="AN6" s="92" t="n"/>
      <c r="AO6" s="206" t="n"/>
      <c r="AP6" s="206" t="n"/>
      <c r="AQ6" s="206" t="n"/>
      <c r="AR6" s="94" t="n"/>
      <c r="AS6" s="206" t="n"/>
      <c r="AT6" s="206" t="n"/>
      <c r="AU6" s="206" t="n"/>
      <c r="AV6" s="206" t="n"/>
      <c r="AW6" s="94" t="n"/>
      <c r="AZ6" s="527">
        <f>Y24</f>
        <v/>
      </c>
      <c r="BA6" s="527">
        <f>AZ6-BB6-BC6</f>
        <v/>
      </c>
      <c r="BB6" s="2">
        <f>ROUNDDOWN(T24*W24/DAY(H24),-2)</f>
        <v/>
      </c>
      <c r="BC6" s="2">
        <f>ROUNDDOWN(U24*W24/DAY(H24),-2)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$C$33</f>
        <v/>
      </c>
      <c r="O7" s="516">
        <f>N7-P7-Q7</f>
        <v/>
      </c>
      <c r="P7" s="500">
        <f>L7</f>
        <v/>
      </c>
      <c r="Q7" s="519">
        <f>M7</f>
        <v/>
      </c>
      <c r="R7" s="515">
        <f>$C$57</f>
        <v/>
      </c>
      <c r="S7" s="516">
        <f>R7-T7-U7</f>
        <v/>
      </c>
      <c r="T7" s="500">
        <f>$C$11/$C$7-$BB$16-$BB$21-$BB$26-$BB$31</f>
        <v/>
      </c>
      <c r="U7" s="519">
        <f>$C$12/$C$7-$BB$17-$BB$22-$BB$27-$BB$32</f>
        <v/>
      </c>
      <c r="V7" s="92" t="n"/>
      <c r="W7" s="196">
        <f>H7-G7+1</f>
        <v/>
      </c>
      <c r="X7" s="92" t="n"/>
      <c r="Y7" s="206" t="n"/>
      <c r="Z7" s="206" t="n"/>
      <c r="AA7" s="206" t="n"/>
      <c r="AB7" s="94" t="n"/>
      <c r="AC7" s="206" t="n"/>
      <c r="AD7" s="206" t="n"/>
      <c r="AE7" s="206" t="n"/>
      <c r="AF7" s="206" t="n"/>
      <c r="AG7" s="94" t="n"/>
      <c r="AH7" s="520" t="n"/>
      <c r="AI7" s="521" t="n"/>
      <c r="AJ7" s="522" t="n"/>
      <c r="AK7" s="523" t="n"/>
      <c r="AL7" s="92" t="n"/>
      <c r="AM7" s="196">
        <f>H7-G7+1</f>
        <v/>
      </c>
      <c r="AN7" s="92" t="n"/>
      <c r="AO7" s="206" t="n"/>
      <c r="AP7" s="206" t="n"/>
      <c r="AQ7" s="206" t="n"/>
      <c r="AR7" s="94" t="n"/>
      <c r="AS7" s="206" t="n"/>
      <c r="AT7" s="206" t="n"/>
      <c r="AU7" s="206" t="n"/>
      <c r="AV7" s="206" t="n"/>
      <c r="AW7" s="94" t="n"/>
      <c r="AZ7" s="505" t="n"/>
      <c r="BA7" s="505" t="n"/>
      <c r="BB7" s="505" t="n"/>
      <c r="BC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$C$33</f>
        <v/>
      </c>
      <c r="O8" s="516">
        <f>N8-P8-Q8</f>
        <v/>
      </c>
      <c r="P8" s="500">
        <f>L8</f>
        <v/>
      </c>
      <c r="Q8" s="519">
        <f>M8</f>
        <v/>
      </c>
      <c r="R8" s="515">
        <f>$C$57</f>
        <v/>
      </c>
      <c r="S8" s="516">
        <f>R8-T8-U8</f>
        <v/>
      </c>
      <c r="T8" s="500">
        <f>$C$11/$C$7-$BB$16-$BB$21-$BB$26-$BB$31</f>
        <v/>
      </c>
      <c r="U8" s="519">
        <f>$C$12/$C$7-$BB$17-$BB$22-$BB$27-$BB$32</f>
        <v/>
      </c>
      <c r="V8" s="92" t="n"/>
      <c r="W8" s="196">
        <f>H8-G8+1</f>
        <v/>
      </c>
      <c r="X8" s="92" t="n"/>
      <c r="Y8" s="206" t="n"/>
      <c r="Z8" s="206" t="n"/>
      <c r="AA8" s="206" t="n"/>
      <c r="AB8" s="94" t="n"/>
      <c r="AC8" s="206" t="n"/>
      <c r="AD8" s="206" t="n"/>
      <c r="AE8" s="206" t="n"/>
      <c r="AF8" s="206" t="n"/>
      <c r="AG8" s="94" t="n"/>
      <c r="AH8" s="520" t="n"/>
      <c r="AI8" s="521" t="n"/>
      <c r="AJ8" s="522" t="n"/>
      <c r="AK8" s="523" t="n"/>
      <c r="AL8" s="92" t="n"/>
      <c r="AM8" s="196">
        <f>H8-G8+1</f>
        <v/>
      </c>
      <c r="AN8" s="92" t="n"/>
      <c r="AO8" s="206" t="n"/>
      <c r="AP8" s="206" t="n"/>
      <c r="AQ8" s="206" t="n"/>
      <c r="AR8" s="94" t="n"/>
      <c r="AS8" s="206" t="n"/>
      <c r="AT8" s="206" t="n"/>
      <c r="AU8" s="206" t="n"/>
      <c r="AV8" s="206" t="n"/>
      <c r="AW8" s="94" t="n"/>
      <c r="AZ8" s="206" t="inlineStr">
        <is>
          <t>* 분실료, 파손료는 비과세로 혜택가(v+)기준으로 계산</t>
        </is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$C$33</f>
        <v/>
      </c>
      <c r="O9" s="516">
        <f>N9-P9-Q9</f>
        <v/>
      </c>
      <c r="P9" s="500">
        <f>L9</f>
        <v/>
      </c>
      <c r="Q9" s="519">
        <f>M9</f>
        <v/>
      </c>
      <c r="R9" s="515">
        <f>$C$57</f>
        <v/>
      </c>
      <c r="S9" s="516">
        <f>R9-T9-U9</f>
        <v/>
      </c>
      <c r="T9" s="500">
        <f>$C$11/$C$7-$BB$16-$BB$21-$BB$26-$BB$31</f>
        <v/>
      </c>
      <c r="U9" s="519">
        <f>$C$12/$C$7-$BB$17-$BB$22-$BB$27-$BB$32</f>
        <v/>
      </c>
      <c r="V9" s="92" t="n"/>
      <c r="W9" s="196">
        <f>H9-G9+1</f>
        <v/>
      </c>
      <c r="X9" s="92" t="n"/>
      <c r="Y9" s="206" t="n"/>
      <c r="Z9" s="206" t="n"/>
      <c r="AA9" s="206" t="n"/>
      <c r="AB9" s="94" t="n"/>
      <c r="AC9" s="206" t="n"/>
      <c r="AD9" s="206" t="n"/>
      <c r="AE9" s="206" t="n"/>
      <c r="AF9" s="206" t="n"/>
      <c r="AG9" s="94" t="n"/>
      <c r="AH9" s="520" t="n"/>
      <c r="AI9" s="521" t="n"/>
      <c r="AJ9" s="522" t="n"/>
      <c r="AK9" s="523" t="n"/>
      <c r="AL9" s="92" t="n"/>
      <c r="AM9" s="196">
        <f>H9-G9+1</f>
        <v/>
      </c>
      <c r="AN9" s="92" t="n"/>
      <c r="AO9" s="206" t="n"/>
      <c r="AP9" s="206" t="n"/>
      <c r="AQ9" s="206" t="n"/>
      <c r="AR9" s="94" t="n"/>
      <c r="AS9" s="206" t="n"/>
      <c r="AT9" s="206" t="n"/>
      <c r="AU9" s="206" t="n"/>
      <c r="AV9" s="206" t="n"/>
      <c r="AW9" s="94" t="n"/>
      <c r="AZ9" s="9" t="inlineStr">
        <is>
          <t>분실료</t>
        </is>
      </c>
      <c r="BA9" s="9" t="inlineStr">
        <is>
          <t>파손료</t>
        </is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$C$33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$C$57</f>
        <v/>
      </c>
      <c r="S10" s="516">
        <f>R10-T10-U10</f>
        <v/>
      </c>
      <c r="T10" s="500">
        <f>$C$11/$C$7-$BB$16-$BB$21-$BB$26-$BB$31</f>
        <v/>
      </c>
      <c r="U10" s="519">
        <f>$C$12/$C$7-$BB$17-$BB$22-$BB$27-$BB$32</f>
        <v/>
      </c>
      <c r="V10" s="92" t="n"/>
      <c r="W10" s="196">
        <f>H10-G10+1</f>
        <v/>
      </c>
      <c r="X10" s="92" t="n"/>
      <c r="Y10" s="206" t="n"/>
      <c r="Z10" s="206" t="n"/>
      <c r="AA10" s="206" t="n"/>
      <c r="AB10" s="94" t="n"/>
      <c r="AC10" s="206" t="n"/>
      <c r="AD10" s="206" t="n"/>
      <c r="AE10" s="206" t="n"/>
      <c r="AF10" s="206" t="n"/>
      <c r="AG10" s="94" t="n"/>
      <c r="AH10" s="520" t="n"/>
      <c r="AI10" s="521" t="n"/>
      <c r="AJ10" s="522" t="n"/>
      <c r="AK10" s="523" t="n"/>
      <c r="AL10" s="92" t="n"/>
      <c r="AM10" s="196">
        <f>H10-G10+1</f>
        <v/>
      </c>
      <c r="AN10" s="92" t="n"/>
      <c r="AO10" s="206" t="n"/>
      <c r="AP10" s="206" t="n"/>
      <c r="AQ10" s="206" t="n"/>
      <c r="AR10" s="94" t="n"/>
      <c r="AS10" s="206" t="n"/>
      <c r="AT10" s="206" t="n"/>
      <c r="AU10" s="206" t="n"/>
      <c r="AV10" s="206" t="n"/>
      <c r="AW10" s="94" t="n"/>
      <c r="AZ10" s="507">
        <f>ROUNDDOWN((C10*1.1)*(C8-SUM(W5:W24))/C8,-1)</f>
        <v/>
      </c>
      <c r="BA10" s="506">
        <f>ROUNDDOWN(AZ10*50%,-1)</f>
        <v/>
      </c>
    </row>
    <row r="11">
      <c r="B11" s="9" t="inlineStr">
        <is>
          <t>케어서비스(v-)</t>
        </is>
      </c>
      <c r="C11" s="526">
        <f>5900*72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$C$33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$C$57</f>
        <v/>
      </c>
      <c r="S11" s="516">
        <f>R11-T11-U11</f>
        <v/>
      </c>
      <c r="T11" s="500">
        <f>$C$11/$C$7-$BB$16-$BB$21-$BB$26-$BB$31</f>
        <v/>
      </c>
      <c r="U11" s="519">
        <f>$C$12/$C$7-$BB$17-$BB$22-$BB$27-$BB$32</f>
        <v/>
      </c>
      <c r="V11" s="92" t="n"/>
      <c r="W11" s="196">
        <f>H11-G11+1</f>
        <v/>
      </c>
      <c r="X11" s="92" t="n"/>
      <c r="Y11" s="206" t="n"/>
      <c r="Z11" s="206" t="n"/>
      <c r="AA11" s="206" t="n"/>
      <c r="AB11" s="94" t="n"/>
      <c r="AC11" s="206" t="n"/>
      <c r="AD11" s="206" t="n"/>
      <c r="AE11" s="206" t="n"/>
      <c r="AF11" s="206" t="n"/>
      <c r="AG11" s="94" t="n"/>
      <c r="AH11" s="520" t="n"/>
      <c r="AI11" s="521" t="n"/>
      <c r="AJ11" s="522" t="n"/>
      <c r="AK11" s="523" t="n"/>
      <c r="AL11" s="92" t="n"/>
      <c r="AM11" s="196">
        <f>H11-G11+1</f>
        <v/>
      </c>
      <c r="AN11" s="92" t="n"/>
      <c r="AO11" s="206" t="n"/>
      <c r="AP11" s="206" t="n"/>
      <c r="AQ11" s="206" t="n"/>
      <c r="AR11" s="94" t="n"/>
      <c r="AS11" s="206" t="n"/>
      <c r="AT11" s="206" t="n"/>
      <c r="AU11" s="206" t="n"/>
      <c r="AV11" s="206" t="n"/>
      <c r="AW11" s="94" t="n"/>
      <c r="AZ11" s="517">
        <f>ROUNDDOWN((C10*1.1)*(H77-V24+1)/C8,-1)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$C$33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$C$57</f>
        <v/>
      </c>
      <c r="S12" s="516">
        <f>R12-T12-U12</f>
        <v/>
      </c>
      <c r="T12" s="500">
        <f>$C$11/$C$7-$BB$16-$BB$21-$BB$26-$BB$31</f>
        <v/>
      </c>
      <c r="U12" s="519">
        <f>$C$12/$C$7-$BB$17-$BB$22-$BB$27-$BB$32</f>
        <v/>
      </c>
      <c r="V12" s="92" t="n"/>
      <c r="W12" s="196">
        <f>H12-G12+1</f>
        <v/>
      </c>
      <c r="X12" s="92" t="n"/>
      <c r="Y12" s="206" t="n"/>
      <c r="Z12" s="206" t="n"/>
      <c r="AA12" s="206" t="n"/>
      <c r="AB12" s="94" t="n"/>
      <c r="AC12" s="206" t="n"/>
      <c r="AD12" s="206" t="n"/>
      <c r="AE12" s="206" t="n"/>
      <c r="AF12" s="206" t="n"/>
      <c r="AG12" s="94" t="n"/>
      <c r="AH12" s="515">
        <f>$C$57</f>
        <v/>
      </c>
      <c r="AI12" s="516">
        <f>AH12-AJ12-AK12</f>
        <v/>
      </c>
      <c r="AJ12" s="500">
        <f>$C$11/$C$7-$BB$16-$BB$21-$BB$26-$BB$31</f>
        <v/>
      </c>
      <c r="AK12" s="519">
        <f>$C$12/$C$7-$BB$17-$BB$22-$BB$27-$BB$32</f>
        <v/>
      </c>
      <c r="AL12" s="92" t="n"/>
      <c r="AM12" s="196">
        <f>H12-G12+1</f>
        <v/>
      </c>
      <c r="AN12" s="92" t="n"/>
      <c r="AO12" s="206" t="n"/>
      <c r="AP12" s="206" t="n"/>
      <c r="AQ12" s="206" t="n"/>
      <c r="AR12" s="94" t="n"/>
      <c r="AS12" s="206" t="n"/>
      <c r="AT12" s="206" t="n"/>
      <c r="AU12" s="206" t="n"/>
      <c r="AV12" s="206" t="n"/>
      <c r="AW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$C$33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$C$57</f>
        <v/>
      </c>
      <c r="S13" s="516">
        <f>R13-T13-U13</f>
        <v/>
      </c>
      <c r="T13" s="500">
        <f>$C$11/$C$7-$BB$16-$BB$21-$BB$26-$BB$31</f>
        <v/>
      </c>
      <c r="U13" s="519">
        <f>$C$12/$C$7-$BB$17-$BB$22-$BB$27-$BB$32</f>
        <v/>
      </c>
      <c r="V13" s="92" t="n"/>
      <c r="W13" s="196">
        <f>H13-G13+1</f>
        <v/>
      </c>
      <c r="X13" s="92" t="n"/>
      <c r="Y13" s="206" t="n"/>
      <c r="Z13" s="206" t="n"/>
      <c r="AA13" s="206" t="n"/>
      <c r="AB13" s="94" t="n"/>
      <c r="AC13" s="206" t="n"/>
      <c r="AD13" s="206" t="n"/>
      <c r="AE13" s="206" t="n"/>
      <c r="AF13" s="206" t="n"/>
      <c r="AG13" s="94" t="n"/>
      <c r="AH13" s="515">
        <f>$C$57</f>
        <v/>
      </c>
      <c r="AI13" s="516">
        <f>AH13-AJ13-AK13</f>
        <v/>
      </c>
      <c r="AJ13" s="500">
        <f>$C$11/$C$7-$BB$16-$BB$21-$BB$26-$BB$31</f>
        <v/>
      </c>
      <c r="AK13" s="519">
        <f>$C$12/$C$7-$BB$17-$BB$22-$BB$27-$BB$32</f>
        <v/>
      </c>
      <c r="AL13" s="92" t="n"/>
      <c r="AM13" s="196">
        <f>H13-G13+1</f>
        <v/>
      </c>
      <c r="AN13" s="92" t="n"/>
      <c r="AO13" s="206" t="n"/>
      <c r="AP13" s="206" t="n"/>
      <c r="AQ13" s="206" t="n"/>
      <c r="AR13" s="94" t="n"/>
      <c r="AS13" s="206" t="n"/>
      <c r="AT13" s="206" t="n"/>
      <c r="AU13" s="206" t="n"/>
      <c r="AV13" s="206" t="n"/>
      <c r="AW13" s="94" t="n"/>
      <c r="AZ13" s="206" t="inlineStr">
        <is>
          <t>v- 100단위 조정</t>
        </is>
      </c>
      <c r="BD13" s="206" t="inlineStr">
        <is>
          <t>v- 소수점만 제거</t>
        </is>
      </c>
      <c r="BG13" s="206" t="inlineStr">
        <is>
          <t>V+</t>
        </is>
      </c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$C$33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$C$57</f>
        <v/>
      </c>
      <c r="S14" s="516">
        <f>R14-T14-U14</f>
        <v/>
      </c>
      <c r="T14" s="500">
        <f>$C$11/$C$7-$BB$16-$BB$21-$BB$26-$BB$31</f>
        <v/>
      </c>
      <c r="U14" s="519">
        <f>$C$12/$C$7-$BB$17-$BB$22-$BB$27-$BB$32</f>
        <v/>
      </c>
      <c r="V14" s="92" t="n"/>
      <c r="W14" s="196">
        <f>H14-G14+1</f>
        <v/>
      </c>
      <c r="X14" s="92" t="n"/>
      <c r="Y14" s="206" t="n"/>
      <c r="Z14" s="206" t="n"/>
      <c r="AA14" s="206" t="n"/>
      <c r="AB14" s="94" t="n"/>
      <c r="AC14" s="206" t="n"/>
      <c r="AD14" s="206" t="n"/>
      <c r="AE14" s="206" t="n"/>
      <c r="AF14" s="206" t="n"/>
      <c r="AG14" s="94" t="n"/>
      <c r="AH14" s="515">
        <f>$C$57</f>
        <v/>
      </c>
      <c r="AI14" s="516">
        <f>AH14-AJ14-AK14</f>
        <v/>
      </c>
      <c r="AJ14" s="500">
        <f>$C$11/$C$7-$BB$16-$BB$21-$BB$26-$BB$31</f>
        <v/>
      </c>
      <c r="AK14" s="519">
        <f>$C$12/$C$7-$BB$17-$BB$22-$BB$27-$BB$32</f>
        <v/>
      </c>
      <c r="AL14" s="92" t="n"/>
      <c r="AM14" s="196">
        <f>H14-G14+1</f>
        <v/>
      </c>
      <c r="AN14" s="92" t="n"/>
      <c r="AO14" s="206" t="n"/>
      <c r="AP14" s="206" t="n"/>
      <c r="AQ14" s="206" t="n"/>
      <c r="AR14" s="94" t="n"/>
      <c r="AS14" s="206" t="n"/>
      <c r="AT14" s="206" t="n"/>
      <c r="AU14" s="206" t="n"/>
      <c r="AV14" s="206" t="n"/>
      <c r="AW14" s="94" t="n"/>
      <c r="AZ14" s="378" t="inlineStr">
        <is>
          <t>월 선납금(v-)</t>
        </is>
      </c>
      <c r="BA14" s="251" t="n"/>
      <c r="BB14" s="504">
        <f>$C$22/$C$7</f>
        <v/>
      </c>
      <c r="BD14" s="378" t="inlineStr">
        <is>
          <t>월 선납금(v-)</t>
        </is>
      </c>
      <c r="BE14" s="251" t="n"/>
      <c r="BF14" s="504">
        <f>$C$22/$C$7</f>
        <v/>
      </c>
      <c r="BG14" s="505">
        <f>BF14*1.1</f>
        <v/>
      </c>
    </row>
    <row r="15">
      <c r="B15" s="9" t="inlineStr">
        <is>
          <t>월구독료(v-)</t>
        </is>
      </c>
      <c r="C15" s="526">
        <f>C14/C7</f>
        <v/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$C$33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$C$57</f>
        <v/>
      </c>
      <c r="S15" s="516">
        <f>R15-T15-U15</f>
        <v/>
      </c>
      <c r="T15" s="500">
        <f>$C$11/$C$7-$BB$16-$BB$21-$BB$26-$BB$31</f>
        <v/>
      </c>
      <c r="U15" s="519">
        <f>$C$12/$C$7-$BB$17-$BB$22-$BB$27-$BB$32</f>
        <v/>
      </c>
      <c r="V15" s="92" t="n"/>
      <c r="W15" s="196">
        <f>H15-G15+1</f>
        <v/>
      </c>
      <c r="X15" s="92" t="n"/>
      <c r="Y15" s="206" t="n"/>
      <c r="Z15" s="206" t="n"/>
      <c r="AA15" s="206" t="n"/>
      <c r="AB15" s="94" t="n"/>
      <c r="AC15" s="206" t="n"/>
      <c r="AD15" s="206" t="n"/>
      <c r="AE15" s="206" t="n"/>
      <c r="AF15" s="206" t="n"/>
      <c r="AG15" s="94" t="n"/>
      <c r="AH15" s="515">
        <f>$C$57</f>
        <v/>
      </c>
      <c r="AI15" s="516">
        <f>AH15-AJ15-AK15</f>
        <v/>
      </c>
      <c r="AJ15" s="500">
        <f>$C$11/$C$7-$BB$16-$BB$21-$BB$26-$BB$31</f>
        <v/>
      </c>
      <c r="AK15" s="519">
        <f>$C$12/$C$7-$BB$17-$BB$22-$BB$27-$BB$32</f>
        <v/>
      </c>
      <c r="AL15" s="92" t="n"/>
      <c r="AM15" s="196">
        <f>H15-G15+1</f>
        <v/>
      </c>
      <c r="AN15" s="92" t="n"/>
      <c r="AO15" s="206" t="n"/>
      <c r="AP15" s="206" t="n"/>
      <c r="AQ15" s="206" t="n"/>
      <c r="AR15" s="94" t="n"/>
      <c r="AS15" s="206" t="n"/>
      <c r="AT15" s="206" t="n"/>
      <c r="AU15" s="206" t="n"/>
      <c r="AV15" s="206" t="n"/>
      <c r="AW15" s="94" t="n"/>
      <c r="AZ15" s="375" t="n"/>
      <c r="BA15" s="506" t="inlineStr">
        <is>
          <t>제품</t>
        </is>
      </c>
      <c r="BB15" s="507">
        <f>BB14-BB16-BB17</f>
        <v/>
      </c>
      <c r="BD15" s="375" t="n"/>
      <c r="BE15" s="506" t="inlineStr">
        <is>
          <t>제품</t>
        </is>
      </c>
      <c r="BF15" s="507">
        <f>BF14-BF16-BF17</f>
        <v/>
      </c>
      <c r="BG15" s="505">
        <f>ROUND(BF15*1.1,)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$C$33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$C$57</f>
        <v/>
      </c>
      <c r="S16" s="516">
        <f>R16-T16-U16</f>
        <v/>
      </c>
      <c r="T16" s="500">
        <f>$C$11/$C$7-$BB$16-$BB$21-$BB$26-$BB$31</f>
        <v/>
      </c>
      <c r="U16" s="519">
        <f>$C$12/$C$7-$BB$17-$BB$22-$BB$27-$BB$32</f>
        <v/>
      </c>
      <c r="V16" s="92" t="n"/>
      <c r="W16" s="196">
        <f>H16-G16+1</f>
        <v/>
      </c>
      <c r="X16" s="92" t="n"/>
      <c r="Y16" s="206" t="n"/>
      <c r="Z16" s="206" t="n"/>
      <c r="AA16" s="206" t="n"/>
      <c r="AB16" s="94" t="n"/>
      <c r="AC16" s="206" t="n"/>
      <c r="AD16" s="206" t="n"/>
      <c r="AE16" s="206" t="n"/>
      <c r="AF16" s="206" t="n"/>
      <c r="AG16" s="94" t="n"/>
      <c r="AH16" s="515">
        <f>$C$57</f>
        <v/>
      </c>
      <c r="AI16" s="516">
        <f>AH16-AJ16-AK16</f>
        <v/>
      </c>
      <c r="AJ16" s="500">
        <f>$C$11/$C$7-$BB$16-$BB$21-$BB$26-$BB$31</f>
        <v/>
      </c>
      <c r="AK16" s="519">
        <f>$C$12/$C$7-$BB$17-$BB$22-$BB$27-$BB$32</f>
        <v/>
      </c>
      <c r="AL16" s="92" t="n"/>
      <c r="AM16" s="196">
        <f>H16-G16+1</f>
        <v/>
      </c>
      <c r="AN16" s="92" t="n"/>
      <c r="AO16" s="206" t="n"/>
      <c r="AP16" s="206" t="n"/>
      <c r="AQ16" s="206" t="n"/>
      <c r="AR16" s="94" t="n"/>
      <c r="AS16" s="206" t="n"/>
      <c r="AT16" s="206" t="n"/>
      <c r="AU16" s="206" t="n"/>
      <c r="AV16" s="206" t="n"/>
      <c r="AW16" s="94" t="n"/>
      <c r="AZ16" s="375" t="n"/>
      <c r="BA16" s="506" t="inlineStr">
        <is>
          <t>케어</t>
        </is>
      </c>
      <c r="BB16" s="507">
        <f>ROUND(BB14*C11/$C$14,-2)</f>
        <v/>
      </c>
      <c r="BD16" s="375" t="n"/>
      <c r="BE16" s="506" t="inlineStr">
        <is>
          <t>케어</t>
        </is>
      </c>
      <c r="BF16" s="507">
        <f>ROUND(BF14*$C$11/$C$14,0)</f>
        <v/>
      </c>
      <c r="BG16" s="505">
        <f>ROUND(BF16*1.1,)</f>
        <v/>
      </c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$C$33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$C$57</f>
        <v/>
      </c>
      <c r="S17" s="516">
        <f>R17-T17-U17</f>
        <v/>
      </c>
      <c r="T17" s="500">
        <f>$C$11/$C$7-$BB$16-$BB$21-$BB$26-$BB$31</f>
        <v/>
      </c>
      <c r="U17" s="519">
        <f>$C$12/$C$7-$BB$17-$BB$22-$BB$27-$BB$32</f>
        <v/>
      </c>
      <c r="V17" s="92" t="n"/>
      <c r="W17" s="196">
        <f>H17-G17+1</f>
        <v/>
      </c>
      <c r="X17" s="92" t="n"/>
      <c r="Y17" s="206" t="n"/>
      <c r="Z17" s="206" t="n"/>
      <c r="AA17" s="206" t="n"/>
      <c r="AB17" s="94" t="n"/>
      <c r="AC17" s="206" t="n"/>
      <c r="AD17" s="206" t="n"/>
      <c r="AE17" s="206" t="n"/>
      <c r="AF17" s="206" t="n"/>
      <c r="AG17" s="94" t="n"/>
      <c r="AH17" s="515">
        <f>$C$57</f>
        <v/>
      </c>
      <c r="AI17" s="516">
        <f>AH17-AJ17-AK17</f>
        <v/>
      </c>
      <c r="AJ17" s="500">
        <f>$C$11/$C$7-$BB$16-$BB$21-$BB$26-$BB$31</f>
        <v/>
      </c>
      <c r="AK17" s="519">
        <f>$C$12/$C$7-$BB$17-$BB$22-$BB$27-$BB$32</f>
        <v/>
      </c>
      <c r="AL17" s="92" t="n"/>
      <c r="AM17" s="196">
        <f>H17-G17+1</f>
        <v/>
      </c>
      <c r="AN17" s="92" t="n"/>
      <c r="AO17" s="206" t="n"/>
      <c r="AP17" s="206" t="n"/>
      <c r="AQ17" s="206" t="n"/>
      <c r="AR17" s="94" t="n"/>
      <c r="AS17" s="206" t="n"/>
      <c r="AT17" s="206" t="n"/>
      <c r="AU17" s="206" t="n"/>
      <c r="AV17" s="206" t="n"/>
      <c r="AW17" s="94" t="n"/>
      <c r="AZ17" s="376" t="n"/>
      <c r="BA17" s="524" t="inlineStr">
        <is>
          <t>보증</t>
        </is>
      </c>
      <c r="BB17" s="507">
        <f>ROUND(BB14*C12/$C$14,-2)</f>
        <v/>
      </c>
      <c r="BD17" s="376" t="n"/>
      <c r="BE17" s="524" t="inlineStr">
        <is>
          <t>보증</t>
        </is>
      </c>
      <c r="BF17" s="507">
        <f>ROUND(BF14*$C$12/$C$14,0)</f>
        <v/>
      </c>
      <c r="BG17" s="505">
        <f>ROUND(BF17*1.1,)</f>
        <v/>
      </c>
    </row>
    <row r="18" ht="17.45" customHeight="1" s="497">
      <c r="A18" s="176" t="n"/>
      <c r="B18" s="314" t="inlineStr">
        <is>
          <t>선납금 %</t>
        </is>
      </c>
      <c r="C18" s="349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$C$33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$C$57</f>
        <v/>
      </c>
      <c r="S18" s="516">
        <f>R18-T18-U18</f>
        <v/>
      </c>
      <c r="T18" s="500">
        <f>$C$11/$C$7-$BB$16-$BB$21-$BB$26-$BB$31</f>
        <v/>
      </c>
      <c r="U18" s="519">
        <f>$C$12/$C$7-$BB$17-$BB$22-$BB$27-$BB$32</f>
        <v/>
      </c>
      <c r="V18" s="92" t="n"/>
      <c r="W18" s="196">
        <f>H18-G18+1</f>
        <v/>
      </c>
      <c r="X18" s="92" t="n"/>
      <c r="Y18" s="206" t="n"/>
      <c r="Z18" s="206" t="n"/>
      <c r="AA18" s="206" t="n"/>
      <c r="AB18" s="94" t="n"/>
      <c r="AC18" s="206" t="n"/>
      <c r="AD18" s="206" t="n"/>
      <c r="AE18" s="206" t="n"/>
      <c r="AF18" s="206" t="n"/>
      <c r="AG18" s="94" t="n"/>
      <c r="AH18" s="515">
        <f>$C$57</f>
        <v/>
      </c>
      <c r="AI18" s="516">
        <f>AH18-AJ18-AK18</f>
        <v/>
      </c>
      <c r="AJ18" s="500">
        <f>$C$11/$C$7-$BB$16-$BB$21-$BB$26-$BB$31</f>
        <v/>
      </c>
      <c r="AK18" s="519">
        <f>$C$12/$C$7-$BB$17-$BB$22-$BB$27-$BB$32</f>
        <v/>
      </c>
      <c r="AL18" s="92" t="n"/>
      <c r="AM18" s="196">
        <f>H18-G18+1</f>
        <v/>
      </c>
      <c r="AN18" s="92" t="n"/>
      <c r="AO18" s="206" t="n"/>
      <c r="AP18" s="206" t="n"/>
      <c r="AQ18" s="206" t="n"/>
      <c r="AR18" s="94" t="n"/>
      <c r="AS18" s="206" t="n"/>
      <c r="AT18" s="206" t="n"/>
      <c r="AU18" s="206" t="n"/>
      <c r="AV18" s="206" t="n"/>
      <c r="AW18" s="94" t="n"/>
      <c r="AZ18" s="399" t="n"/>
      <c r="BA18" s="500" t="n"/>
      <c r="BB18" s="206" t="n"/>
      <c r="BD18" s="399" t="n"/>
      <c r="BE18" s="500" t="n"/>
      <c r="BF18" s="206" t="n"/>
      <c r="BG18" s="505" t="n"/>
    </row>
    <row r="19">
      <c r="A19" s="176" t="n"/>
      <c r="B19" s="9" t="inlineStr">
        <is>
          <t>(계산용) 선납금(V+)</t>
        </is>
      </c>
      <c r="C19" s="506">
        <f>C16*C18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$C$33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$C$57</f>
        <v/>
      </c>
      <c r="S19" s="516">
        <f>R19-T19-U19</f>
        <v/>
      </c>
      <c r="T19" s="500">
        <f>$C$11/$C$7-$BB$16-$BB$21-$BB$26-$BB$31</f>
        <v/>
      </c>
      <c r="U19" s="519">
        <f>$C$12/$C$7-$BB$17-$BB$22-$BB$27-$BB$32</f>
        <v/>
      </c>
      <c r="V19" s="92" t="n"/>
      <c r="W19" s="196">
        <f>H19-G19+1</f>
        <v/>
      </c>
      <c r="X19" s="92" t="n"/>
      <c r="Y19" s="206" t="n"/>
      <c r="Z19" s="206" t="n"/>
      <c r="AA19" s="206" t="n"/>
      <c r="AB19" s="94" t="n"/>
      <c r="AC19" s="206" t="n"/>
      <c r="AD19" s="206" t="n"/>
      <c r="AE19" s="206" t="n"/>
      <c r="AF19" s="206" t="n"/>
      <c r="AG19" s="94" t="n"/>
      <c r="AH19" s="515">
        <f>$C$57</f>
        <v/>
      </c>
      <c r="AI19" s="516">
        <f>AH19-AJ19-AK19</f>
        <v/>
      </c>
      <c r="AJ19" s="500">
        <f>$C$11/$C$7-$BB$16-$BB$21-$BB$26-$BB$31</f>
        <v/>
      </c>
      <c r="AK19" s="519">
        <f>$C$12/$C$7-$BB$17-$BB$22-$BB$27-$BB$32</f>
        <v/>
      </c>
      <c r="AL19" s="92" t="n"/>
      <c r="AM19" s="196">
        <f>H19-G19+1</f>
        <v/>
      </c>
      <c r="AN19" s="92" t="n"/>
      <c r="AO19" s="206" t="n"/>
      <c r="AP19" s="206" t="n"/>
      <c r="AQ19" s="206" t="n"/>
      <c r="AR19" s="94" t="n"/>
      <c r="AS19" s="206" t="n"/>
      <c r="AT19" s="206" t="n"/>
      <c r="AU19" s="206" t="n"/>
      <c r="AV19" s="206" t="n"/>
      <c r="AW19" s="94" t="n"/>
      <c r="AZ19" s="378" t="inlineStr">
        <is>
          <t>월 선납할인(V-)</t>
        </is>
      </c>
      <c r="BA19" s="251" t="n"/>
      <c r="BB19" s="525">
        <f>$C$31/$C$7</f>
        <v/>
      </c>
      <c r="BD19" s="378" t="inlineStr">
        <is>
          <t>월 선납할인(V-)</t>
        </is>
      </c>
      <c r="BE19" s="251" t="n"/>
      <c r="BF19" s="525">
        <f>$C$31/$C$7</f>
        <v/>
      </c>
      <c r="BG19" s="505">
        <f>BF19*1.1</f>
        <v/>
      </c>
    </row>
    <row r="20">
      <c r="A20" s="176" t="n"/>
      <c r="B20" s="9" t="inlineStr">
        <is>
          <t>(계산용) 선납금(V-)</t>
        </is>
      </c>
      <c r="C20" s="506">
        <f>+C19/1.1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$C$33</f>
        <v/>
      </c>
      <c r="O20" s="516">
        <f>N20-P20-Q20</f>
        <v/>
      </c>
      <c r="P20" s="500">
        <f>L20</f>
        <v/>
      </c>
      <c r="Q20" s="519">
        <f>M20</f>
        <v/>
      </c>
      <c r="R20" s="515">
        <f>$C$57</f>
        <v/>
      </c>
      <c r="S20" s="516">
        <f>R20-T20-U20</f>
        <v/>
      </c>
      <c r="T20" s="500">
        <f>$C$11/$C$7-$BB$16-$BB$21-$BB$26-$BB$31</f>
        <v/>
      </c>
      <c r="U20" s="519">
        <f>$C$12/$C$7-$BB$17-$BB$22-$BB$27-$BB$32</f>
        <v/>
      </c>
      <c r="V20" s="92" t="n"/>
      <c r="W20" s="196">
        <f>H20-G20+1</f>
        <v/>
      </c>
      <c r="X20" s="92" t="n"/>
      <c r="Y20" s="206" t="n"/>
      <c r="Z20" s="206" t="n"/>
      <c r="AA20" s="206" t="n"/>
      <c r="AB20" s="94" t="n"/>
      <c r="AC20" s="206" t="n"/>
      <c r="AD20" s="206" t="n"/>
      <c r="AE20" s="206" t="n"/>
      <c r="AF20" s="206" t="n"/>
      <c r="AG20" s="94" t="n"/>
      <c r="AH20" s="515">
        <f>$C$57</f>
        <v/>
      </c>
      <c r="AI20" s="516">
        <f>AH20-AJ20-AK20</f>
        <v/>
      </c>
      <c r="AJ20" s="500">
        <f>$C$11/$C$7-$BB$16-$BB$21-$BB$26-$BB$31</f>
        <v/>
      </c>
      <c r="AK20" s="519">
        <f>$C$12/$C$7-$BB$17-$BB$22-$BB$27-$BB$32</f>
        <v/>
      </c>
      <c r="AL20" s="92" t="n"/>
      <c r="AM20" s="196">
        <f>H20-G20+1</f>
        <v/>
      </c>
      <c r="AN20" s="92" t="n"/>
      <c r="AO20" s="206" t="n"/>
      <c r="AP20" s="206" t="n"/>
      <c r="AQ20" s="206" t="n"/>
      <c r="AR20" s="94" t="n"/>
      <c r="AS20" s="206" t="n"/>
      <c r="AT20" s="206" t="n"/>
      <c r="AU20" s="206" t="n"/>
      <c r="AV20" s="206" t="n"/>
      <c r="AW20" s="94" t="n"/>
      <c r="AZ20" s="375" t="n"/>
      <c r="BA20" s="506" t="inlineStr">
        <is>
          <t>제품</t>
        </is>
      </c>
      <c r="BB20" s="507">
        <f>BB19-BB21-BB22</f>
        <v/>
      </c>
      <c r="BD20" s="375" t="n"/>
      <c r="BE20" s="506" t="inlineStr">
        <is>
          <t>제품</t>
        </is>
      </c>
      <c r="BF20" s="507">
        <f>BF19-BF21-BF22</f>
        <v/>
      </c>
      <c r="BG20" s="505">
        <f>ROUND(BF20*1.1,)</f>
        <v/>
      </c>
    </row>
    <row r="21">
      <c r="A21" s="176" t="n"/>
      <c r="B21" s="9" t="inlineStr">
        <is>
          <t>(계산용) 월 선납금(V-)</t>
        </is>
      </c>
      <c r="C21" s="506">
        <f>+ROUND(C20/C7,-2)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$C$33</f>
        <v/>
      </c>
      <c r="O21" s="516">
        <f>N21-P21-Q21</f>
        <v/>
      </c>
      <c r="P21" s="500">
        <f>L21</f>
        <v/>
      </c>
      <c r="Q21" s="519">
        <f>M21</f>
        <v/>
      </c>
      <c r="R21" s="515">
        <f>$C$57</f>
        <v/>
      </c>
      <c r="S21" s="516">
        <f>R21-T21-U21</f>
        <v/>
      </c>
      <c r="T21" s="500">
        <f>$C$11/$C$7-$BB$16-$BB$21-$BB$26-$BB$31</f>
        <v/>
      </c>
      <c r="U21" s="519">
        <f>$C$12/$C$7-$BB$17-$BB$22-$BB$27-$BB$32</f>
        <v/>
      </c>
      <c r="V21" s="92" t="n"/>
      <c r="W21" s="196">
        <f>H21-G21+1</f>
        <v/>
      </c>
      <c r="X21" s="92" t="n"/>
      <c r="Y21" s="206" t="n"/>
      <c r="Z21" s="206" t="n"/>
      <c r="AA21" s="206" t="n"/>
      <c r="AB21" s="94" t="n"/>
      <c r="AC21" s="206" t="n"/>
      <c r="AD21" s="206" t="n"/>
      <c r="AE21" s="206" t="n"/>
      <c r="AF21" s="206" t="n"/>
      <c r="AG21" s="94" t="n"/>
      <c r="AH21" s="515">
        <f>$C$57</f>
        <v/>
      </c>
      <c r="AI21" s="516">
        <f>AH21-AJ21-AK21</f>
        <v/>
      </c>
      <c r="AJ21" s="500">
        <f>$C$11/$C$7-$BB$16-$BB$21-$BB$26-$BB$31</f>
        <v/>
      </c>
      <c r="AK21" s="519">
        <f>$C$12/$C$7-$BB$17-$BB$22-$BB$27-$BB$32</f>
        <v/>
      </c>
      <c r="AL21" s="92" t="n"/>
      <c r="AM21" s="196">
        <f>H21-G21+1</f>
        <v/>
      </c>
      <c r="AN21" s="92" t="n"/>
      <c r="AO21" s="206" t="n"/>
      <c r="AP21" s="206" t="n"/>
      <c r="AQ21" s="206" t="n"/>
      <c r="AR21" s="94" t="n"/>
      <c r="AS21" s="206" t="n"/>
      <c r="AT21" s="206" t="n"/>
      <c r="AU21" s="206" t="n"/>
      <c r="AV21" s="206" t="n"/>
      <c r="AW21" s="94" t="n"/>
      <c r="AZ21" s="375" t="n"/>
      <c r="BA21" s="506" t="inlineStr">
        <is>
          <t>케어</t>
        </is>
      </c>
      <c r="BB21" s="507">
        <f>ROUND(BB19*$C$11/$C$14,-2)</f>
        <v/>
      </c>
      <c r="BD21" s="375" t="n"/>
      <c r="BE21" s="506" t="inlineStr">
        <is>
          <t>케어</t>
        </is>
      </c>
      <c r="BF21" s="507">
        <f>ROUND(BF19*$C$11/$C$14,0)</f>
        <v/>
      </c>
      <c r="BG21" s="505">
        <f>ROUND(BF21*1.1,)</f>
        <v/>
      </c>
    </row>
    <row r="22">
      <c r="A22" s="176" t="n"/>
      <c r="B22" s="9" t="inlineStr">
        <is>
          <t>(최종) 선납금 (V-)</t>
        </is>
      </c>
      <c r="C22" s="506">
        <f>+C21*C7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$C$33</f>
        <v/>
      </c>
      <c r="O22" s="516">
        <f>N22-P22-Q22</f>
        <v/>
      </c>
      <c r="P22" s="500">
        <f>L22</f>
        <v/>
      </c>
      <c r="Q22" s="519">
        <f>M22</f>
        <v/>
      </c>
      <c r="R22" s="515">
        <f>$C$57</f>
        <v/>
      </c>
      <c r="S22" s="516">
        <f>R22-T22-U22</f>
        <v/>
      </c>
      <c r="T22" s="500">
        <f>$C$11/$C$7-$BB$16-$BB$21-$BB$26-$BB$31</f>
        <v/>
      </c>
      <c r="U22" s="519">
        <f>$C$12/$C$7-$BB$17-$BB$22-$BB$27-$BB$32</f>
        <v/>
      </c>
      <c r="V22" s="92" t="n"/>
      <c r="W22" s="196">
        <f>H22-G22+1</f>
        <v/>
      </c>
      <c r="X22" s="629" t="n"/>
      <c r="Y22" s="206" t="n"/>
      <c r="Z22" s="206" t="n"/>
      <c r="AA22" s="206" t="n"/>
      <c r="AB22" s="94" t="n"/>
      <c r="AC22" s="206" t="n"/>
      <c r="AD22" s="206" t="n"/>
      <c r="AE22" s="206" t="n"/>
      <c r="AF22" s="206" t="n"/>
      <c r="AG22" s="94" t="n"/>
      <c r="AH22" s="515">
        <f>$C$57</f>
        <v/>
      </c>
      <c r="AI22" s="516">
        <f>AH22-AJ22-AK22</f>
        <v/>
      </c>
      <c r="AJ22" s="500">
        <f>$C$11/$C$7-$BB$16-$BB$21-$BB$26-$BB$31</f>
        <v/>
      </c>
      <c r="AK22" s="519">
        <f>$C$12/$C$7-$BB$17-$BB$22-$BB$27-$BB$32</f>
        <v/>
      </c>
      <c r="AL22" s="92" t="n"/>
      <c r="AM22" s="196">
        <f>H22-G22+1</f>
        <v/>
      </c>
      <c r="AN22" s="629" t="n"/>
      <c r="AO22" s="206" t="n"/>
      <c r="AP22" s="206" t="n"/>
      <c r="AQ22" s="206" t="n"/>
      <c r="AR22" s="94" t="n"/>
      <c r="AS22" s="206" t="n"/>
      <c r="AT22" s="206" t="n"/>
      <c r="AU22" s="206" t="n"/>
      <c r="AV22" s="206" t="n"/>
      <c r="AW22" s="94" t="n"/>
      <c r="AZ22" s="376" t="n"/>
      <c r="BA22" s="524" t="inlineStr">
        <is>
          <t>보증</t>
        </is>
      </c>
      <c r="BB22" s="507">
        <f>ROUND(BB19*$C$12/$C$14,-2)</f>
        <v/>
      </c>
      <c r="BD22" s="376" t="n"/>
      <c r="BE22" s="524" t="inlineStr">
        <is>
          <t>보증</t>
        </is>
      </c>
      <c r="BF22" s="507">
        <f>ROUND(BF19*$C$12/$C$14,0)</f>
        <v/>
      </c>
      <c r="BG22" s="505">
        <f>ROUND(BF22*1.1,)</f>
        <v/>
      </c>
    </row>
    <row r="23">
      <c r="A23" s="176" t="n"/>
      <c r="B23" s="9" t="inlineStr">
        <is>
          <t>(최종) 월 선납금 (V-)</t>
        </is>
      </c>
      <c r="C23" s="506">
        <f>+C22/C7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$C$33</f>
        <v/>
      </c>
      <c r="O23" s="516">
        <f>N23-P23-Q23</f>
        <v/>
      </c>
      <c r="P23" s="500">
        <f>L23</f>
        <v/>
      </c>
      <c r="Q23" s="519">
        <f>M23</f>
        <v/>
      </c>
      <c r="R23" s="515">
        <f>$C$57</f>
        <v/>
      </c>
      <c r="S23" s="516">
        <f>R23-T23-U23</f>
        <v/>
      </c>
      <c r="T23" s="500">
        <f>$C$11/$C$7-$BB$16-$BB$21-$BB$26-$BB$31</f>
        <v/>
      </c>
      <c r="U23" s="519">
        <f>$C$12/$C$7-$BB$17-$BB$22-$BB$27-$BB$32</f>
        <v/>
      </c>
      <c r="V23" s="92" t="n"/>
      <c r="W23" s="196">
        <f>H23-G23+1</f>
        <v/>
      </c>
      <c r="X23" s="92" t="inlineStr">
        <is>
          <t>* 위약금은 비과세로 총구독료(v+)기준으로 계산</t>
        </is>
      </c>
      <c r="Y23" s="206" t="n"/>
      <c r="Z23" s="206" t="n"/>
      <c r="AA23" s="206" t="n"/>
      <c r="AB23" s="94" t="n"/>
      <c r="AC23" s="206" t="n"/>
      <c r="AD23" s="206" t="n"/>
      <c r="AE23" s="206" t="n"/>
      <c r="AF23" s="206" t="n"/>
      <c r="AG23" s="94" t="n"/>
      <c r="AH23" s="515">
        <f>$C$57</f>
        <v/>
      </c>
      <c r="AI23" s="516">
        <f>AH23-AJ23-AK23</f>
        <v/>
      </c>
      <c r="AJ23" s="500">
        <f>$C$11/$C$7-$BB$16-$BB$21-$BB$26-$BB$31</f>
        <v/>
      </c>
      <c r="AK23" s="519">
        <f>$C$12/$C$7-$BB$17-$BB$22-$BB$27-$BB$32</f>
        <v/>
      </c>
      <c r="AL23" s="92" t="n"/>
      <c r="AM23" s="196">
        <f>H23-G23+1</f>
        <v/>
      </c>
      <c r="AN23" s="92" t="inlineStr">
        <is>
          <t>* 위약금은 비과세로 총구독료(v+)기준으로 계산</t>
        </is>
      </c>
      <c r="AO23" s="206" t="n"/>
      <c r="AP23" s="206" t="n"/>
      <c r="AQ23" s="206" t="n"/>
      <c r="AR23" s="94" t="n"/>
      <c r="AS23" s="206" t="n"/>
      <c r="AT23" s="206" t="n"/>
      <c r="AU23" s="206" t="n"/>
      <c r="AV23" s="206" t="n"/>
      <c r="AW23" s="94" t="n"/>
    </row>
    <row r="24">
      <c r="B24" s="9" t="inlineStr">
        <is>
          <t>(최종) 선납금 반영 월 구독료 (V+)</t>
        </is>
      </c>
      <c r="C24" s="506">
        <f>+(C15-C23)*1.1</f>
        <v/>
      </c>
      <c r="D24" s="505">
        <f>C22*1.1=C26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$C$33</f>
        <v/>
      </c>
      <c r="O24" s="516">
        <f>N24-P24-Q24</f>
        <v/>
      </c>
      <c r="P24" s="500">
        <f>L24</f>
        <v/>
      </c>
      <c r="Q24" s="519">
        <f>M24</f>
        <v/>
      </c>
      <c r="R24" s="515">
        <f>$C$57</f>
        <v/>
      </c>
      <c r="S24" s="516">
        <f>R24-T24-U24</f>
        <v/>
      </c>
      <c r="T24" s="500">
        <f>$C$11/$C$7-$BB$16-$BB$21-$BB$26-$BB$31</f>
        <v/>
      </c>
      <c r="U24" s="519">
        <f>$C$12/$C$7-$BB$17-$BB$22-$BB$27-$BB$32</f>
        <v/>
      </c>
      <c r="V24" s="99" t="n">
        <v>46494</v>
      </c>
      <c r="W24" s="415">
        <f>V24-G24</f>
        <v/>
      </c>
      <c r="X24" s="636">
        <f>ROUNDDOWN(((C16)*(C8-SUM(W5:W24))/C8)*20%,-1)</f>
        <v/>
      </c>
      <c r="Y24" s="632">
        <f>ROUNDDOWN(R24*W24/DAY(H24),-2)</f>
        <v/>
      </c>
      <c r="Z24" s="632">
        <f>ROUNDDOWN((C31)*SUM(W5:W24)/C8,-2)+ROUNDDOWN((C51)*SUM(W5:W24)/C8,-2)+ROUNDDOWN((C41)*SUM(W5:W24)/C8,-2)</f>
        <v/>
      </c>
      <c r="AA24" s="637">
        <f>-ROUNDUP((C22*(C8-SUM(W5:W24))/C8),-2)</f>
        <v/>
      </c>
      <c r="AB24" s="638">
        <f>ROUNDDOWN(100000/1.1*SUM(W5:W24)/C8,-2)</f>
        <v/>
      </c>
      <c r="AC24" s="639">
        <f>X24</f>
        <v/>
      </c>
      <c r="AD24" s="632">
        <f>Y24*1.1</f>
        <v/>
      </c>
      <c r="AE24" s="632">
        <f>Z24*1.1</f>
        <v/>
      </c>
      <c r="AF24" s="637">
        <f>AA24*1.1</f>
        <v/>
      </c>
      <c r="AG24" s="638">
        <f>AB24*1.1</f>
        <v/>
      </c>
      <c r="AH24" s="630">
        <f>$C$57</f>
        <v/>
      </c>
      <c r="AI24" s="631">
        <f>AH24-AJ24-AK24</f>
        <v/>
      </c>
      <c r="AJ24" s="634">
        <f>$C$11/$C$7-$BB$16-$BB$21-$BB$26-$BB$31</f>
        <v/>
      </c>
      <c r="AK24" s="635">
        <f>$C$12/$C$7-$BB$17-$BB$22-$BB$27-$BB$32</f>
        <v/>
      </c>
      <c r="AL24" s="99" t="n">
        <v>46494</v>
      </c>
      <c r="AM24" s="415">
        <f>+AL24-G24</f>
        <v/>
      </c>
      <c r="AN24" s="636">
        <f>ROUNDDOWN(((C16)*(C8-SUM(AM5:AM24))/C8)*20%,-1)</f>
        <v/>
      </c>
      <c r="AO24" s="632">
        <f>ROUNDDOWN(R24*W24/DAY(H24),-2)</f>
        <v/>
      </c>
      <c r="AP24" s="648">
        <f>ROUNDDOWN((C31)*SUM(W5:W24)/C8,-2)+ROUNDDOWN((C51)*SUM(W5:W24)/C8,-2)+ROUNDDOWN((C41)*SUM(W5:W24)/C8,-2)+ROUNDDOWN(COUNTBLANK(AH5:AH24)*C70,-2)</f>
        <v/>
      </c>
      <c r="AQ24" s="637">
        <f>-ROUNDUP((C22*(C8-SUM(W5:W24))/C8),-2)</f>
        <v/>
      </c>
      <c r="AR24" s="638">
        <f>ROUNDDOWN(100000/1.1*SUM(W5:W24)/C8,-2)</f>
        <v/>
      </c>
      <c r="AS24" s="639">
        <f>AN24</f>
        <v/>
      </c>
      <c r="AT24" s="632">
        <f>AO24*1.1</f>
        <v/>
      </c>
      <c r="AU24" s="632">
        <f>AP24*1.1</f>
        <v/>
      </c>
      <c r="AV24" s="637">
        <f>AQ24*1.1</f>
        <v/>
      </c>
      <c r="AW24" s="638">
        <f>AR24*1.1</f>
        <v/>
      </c>
      <c r="AX24" s="206" t="inlineStr">
        <is>
          <t>* 위약금, 할인회수, 선납잔액 환불, 등록비 청구 기준: 일수비율</t>
        </is>
      </c>
      <c r="AZ24" s="378" t="inlineStr">
        <is>
          <t>월 단품할인(V-)</t>
        </is>
      </c>
      <c r="BA24" s="251" t="n"/>
      <c r="BB24" s="525">
        <f>$C$41/$C$7</f>
        <v/>
      </c>
      <c r="BD24" s="378" t="inlineStr">
        <is>
          <t>월 선납할인(V-)</t>
        </is>
      </c>
      <c r="BE24" s="251" t="n"/>
      <c r="BF24" s="525">
        <f>$C$41/$C$7</f>
        <v/>
      </c>
      <c r="BG24" s="505">
        <f>BF24*1.1</f>
        <v/>
      </c>
    </row>
    <row r="25">
      <c r="B25" s="9" t="inlineStr">
        <is>
          <t>(최종) 선납금 반영 총 구독료 (V+)</t>
        </is>
      </c>
      <c r="C25" s="506">
        <f>+C24*C7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$C$33</f>
        <v/>
      </c>
      <c r="O25" s="516">
        <f>N25-P25-Q25</f>
        <v/>
      </c>
      <c r="P25" s="500">
        <f>L25</f>
        <v/>
      </c>
      <c r="Q25" s="519">
        <f>M25</f>
        <v/>
      </c>
      <c r="R25" s="515">
        <f>$C$57</f>
        <v/>
      </c>
      <c r="S25" s="516">
        <f>R25-T25-U25</f>
        <v/>
      </c>
      <c r="T25" s="500">
        <f>$C$11/$C$7-$BB$16-$BB$21-$BB$26-$BB$31</f>
        <v/>
      </c>
      <c r="U25" s="519">
        <f>$C$12/$C$7-$BB$17-$BB$22-$BB$27-$BB$32</f>
        <v/>
      </c>
      <c r="V25" s="92" t="n"/>
      <c r="W25" s="196" t="inlineStr">
        <is>
          <t>* 사용일 기준: 제품판정일 전날까지 사용</t>
        </is>
      </c>
      <c r="X25" s="92" t="n"/>
      <c r="Y25" s="539" t="n"/>
      <c r="Z25" s="363" t="inlineStr">
        <is>
          <t>* 할인 개별 일할/단수조정 적용</t>
        </is>
      </c>
      <c r="AA25" s="206" t="n"/>
      <c r="AB25" s="94" t="n"/>
      <c r="AC25" s="206" t="inlineStr">
        <is>
          <t>* 비과세</t>
        </is>
      </c>
      <c r="AD25" s="539" t="n"/>
      <c r="AE25" s="206" t="n"/>
      <c r="AF25" s="206" t="n"/>
      <c r="AG25" s="94" t="n"/>
      <c r="AH25" s="515">
        <f>$C$57</f>
        <v/>
      </c>
      <c r="AI25" s="516">
        <f>AH25-AJ25-AK25</f>
        <v/>
      </c>
      <c r="AJ25" s="500">
        <f>$C$11/$C$7-$BB$16-$BB$21-$BB$26-$BB$31</f>
        <v/>
      </c>
      <c r="AK25" s="519">
        <f>$C$12/$C$7-$BB$17-$BB$22-$BB$27-$BB$32</f>
        <v/>
      </c>
      <c r="AL25" s="92" t="n"/>
      <c r="AM25" s="196" t="inlineStr">
        <is>
          <t>* 사용일 기준: 제품판정일 전날까지 사용</t>
        </is>
      </c>
      <c r="AN25" s="92" t="n"/>
      <c r="AO25" s="539" t="n"/>
      <c r="AP25" s="363" t="inlineStr">
        <is>
          <t>* 할인 개별 일할/단수조정 적용</t>
        </is>
      </c>
      <c r="AQ25" s="206" t="n"/>
      <c r="AR25" s="94" t="n"/>
      <c r="AS25" s="206" t="inlineStr">
        <is>
          <t>* 비과세</t>
        </is>
      </c>
      <c r="AT25" s="539" t="n"/>
      <c r="AU25" s="206" t="n"/>
      <c r="AV25" s="206" t="n"/>
      <c r="AW25" s="94" t="n"/>
      <c r="AZ25" s="375" t="n"/>
      <c r="BA25" s="506" t="inlineStr">
        <is>
          <t>제품</t>
        </is>
      </c>
      <c r="BB25" s="507">
        <f>BB24-BB26-BB27</f>
        <v/>
      </c>
      <c r="BD25" s="375" t="n"/>
      <c r="BE25" s="506" t="inlineStr">
        <is>
          <t>제품</t>
        </is>
      </c>
      <c r="BF25" s="507">
        <f>BF24-BF26-BF27</f>
        <v/>
      </c>
      <c r="BG25" s="505">
        <f>ROUND(BF25*1.1,)</f>
        <v/>
      </c>
    </row>
    <row r="26" ht="17.25" customHeight="1" s="497" thickBot="1">
      <c r="B26" s="9" t="inlineStr">
        <is>
          <t>(최종) 선납금 (V+)</t>
        </is>
      </c>
      <c r="C26" s="506">
        <f>+C16-C25</f>
        <v/>
      </c>
      <c r="D26" s="348" t="inlineStr">
        <is>
          <t>* 정책별 할인율</t>
        </is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$C$33</f>
        <v/>
      </c>
      <c r="O26" s="516">
        <f>N26-P26-Q26</f>
        <v/>
      </c>
      <c r="P26" s="500">
        <f>L26</f>
        <v/>
      </c>
      <c r="Q26" s="519">
        <f>M26</f>
        <v/>
      </c>
      <c r="R26" s="515">
        <f>$C$57</f>
        <v/>
      </c>
      <c r="S26" s="516">
        <f>R26-T26-U26</f>
        <v/>
      </c>
      <c r="T26" s="500">
        <f>$C$11/$C$7-$BB$16-$BB$21-$BB$26-$BB$31</f>
        <v/>
      </c>
      <c r="U26" s="519">
        <f>$C$12/$C$7-$BB$17-$BB$22-$BB$27-$BB$32</f>
        <v/>
      </c>
      <c r="V26" s="92" t="n"/>
      <c r="W26" s="196" t="n"/>
      <c r="X26" s="92" t="n"/>
      <c r="Y26" s="206" t="n"/>
      <c r="Z26" s="206" t="n"/>
      <c r="AA26" s="206" t="n"/>
      <c r="AB26" s="94" t="n"/>
      <c r="AC26" s="206" t="n"/>
      <c r="AD26" s="206" t="n"/>
      <c r="AE26" s="206" t="n"/>
      <c r="AF26" s="206" t="n"/>
      <c r="AG26" s="94" t="n"/>
      <c r="AH26" s="515">
        <f>$C$57</f>
        <v/>
      </c>
      <c r="AI26" s="516">
        <f>AH26-AJ26-AK26</f>
        <v/>
      </c>
      <c r="AJ26" s="500">
        <f>$C$11/$C$7-$BB$16-$BB$21-$BB$26-$BB$31</f>
        <v/>
      </c>
      <c r="AK26" s="519">
        <f>$C$12/$C$7-$BB$17-$BB$22-$BB$27-$BB$32</f>
        <v/>
      </c>
      <c r="AL26" s="92" t="n"/>
      <c r="AM26" s="196" t="n"/>
      <c r="AN26" s="92" t="n"/>
      <c r="AO26" s="206" t="n"/>
      <c r="AP26" s="206" t="n"/>
      <c r="AQ26" s="206" t="n"/>
      <c r="AR26" s="94" t="n"/>
      <c r="AS26" s="206" t="n"/>
      <c r="AT26" s="206" t="n"/>
      <c r="AU26" s="206" t="n"/>
      <c r="AV26" s="206" t="n"/>
      <c r="AW26" s="94" t="n"/>
      <c r="AZ26" s="375" t="n"/>
      <c r="BA26" s="506" t="inlineStr">
        <is>
          <t>케어</t>
        </is>
      </c>
      <c r="BB26" s="507">
        <f>ROUND(BB24*$C$11/$C$14,-2)</f>
        <v/>
      </c>
      <c r="BD26" s="375" t="n"/>
      <c r="BE26" s="506" t="inlineStr">
        <is>
          <t>케어</t>
        </is>
      </c>
      <c r="BF26" s="507">
        <f>ROUND(BF24*$C$11/$C$14,0)</f>
        <v/>
      </c>
      <c r="BG26" s="505">
        <f>ROUND(BF26*1.1,)</f>
        <v/>
      </c>
    </row>
    <row r="27">
      <c r="A27" s="176" t="n"/>
      <c r="B27" s="296" t="inlineStr">
        <is>
          <t>(계산용) 선납 할인금 (V+)</t>
        </is>
      </c>
      <c r="C27" s="528">
        <f>C16*D27</f>
        <v/>
      </c>
      <c r="D27" s="529" t="n">
        <v>0.04</v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$C$33</f>
        <v/>
      </c>
      <c r="O27" s="516">
        <f>N27-P27-Q27</f>
        <v/>
      </c>
      <c r="P27" s="500">
        <f>L27</f>
        <v/>
      </c>
      <c r="Q27" s="519">
        <f>M27</f>
        <v/>
      </c>
      <c r="R27" s="515">
        <f>$C$57</f>
        <v/>
      </c>
      <c r="S27" s="516">
        <f>R27-T27-U27</f>
        <v/>
      </c>
      <c r="T27" s="500">
        <f>$C$11/$C$7-$BB$16-$BB$21-$BB$26-$BB$31</f>
        <v/>
      </c>
      <c r="U27" s="519">
        <f>$C$12/$C$7-$BB$17-$BB$22-$BB$27-$BB$32</f>
        <v/>
      </c>
      <c r="V27" s="92" t="n"/>
      <c r="W27" s="196" t="n"/>
      <c r="X27" s="92" t="n"/>
      <c r="Y27" s="206" t="n"/>
      <c r="Z27" s="206" t="n"/>
      <c r="AA27" s="206" t="n"/>
      <c r="AB27" s="94" t="n"/>
      <c r="AC27" s="206" t="n"/>
      <c r="AD27" s="206" t="n"/>
      <c r="AE27" s="206" t="n"/>
      <c r="AF27" s="206" t="n"/>
      <c r="AG27" s="94" t="n"/>
      <c r="AH27" s="515">
        <f>$C$57</f>
        <v/>
      </c>
      <c r="AI27" s="516">
        <f>AH27-AJ27-AK27</f>
        <v/>
      </c>
      <c r="AJ27" s="500">
        <f>$C$11/$C$7-$BB$16-$BB$21-$BB$26-$BB$31</f>
        <v/>
      </c>
      <c r="AK27" s="519">
        <f>$C$12/$C$7-$BB$17-$BB$22-$BB$27-$BB$32</f>
        <v/>
      </c>
      <c r="AL27" s="92" t="n"/>
      <c r="AM27" s="196" t="n"/>
      <c r="AN27" s="92" t="n"/>
      <c r="AO27" s="206" t="n"/>
      <c r="AP27" s="206" t="n"/>
      <c r="AQ27" s="206" t="n"/>
      <c r="AR27" s="94" t="n"/>
      <c r="AS27" s="206" t="n"/>
      <c r="AT27" s="206" t="n"/>
      <c r="AU27" s="206" t="n"/>
      <c r="AV27" s="206" t="n"/>
      <c r="AW27" s="94" t="n"/>
      <c r="AZ27" s="376" t="n"/>
      <c r="BA27" s="524" t="inlineStr">
        <is>
          <t>보증</t>
        </is>
      </c>
      <c r="BB27" s="507">
        <f>ROUND(BB24*$C$12/$C$14,-2)</f>
        <v/>
      </c>
      <c r="BD27" s="376" t="n"/>
      <c r="BE27" s="524" t="inlineStr">
        <is>
          <t>보증</t>
        </is>
      </c>
      <c r="BF27" s="507">
        <f>ROUND(BF24*$C$12/$C$14,0)</f>
        <v/>
      </c>
      <c r="BG27" s="505">
        <f>ROUND(BF27*1.1,)</f>
        <v/>
      </c>
    </row>
    <row r="28">
      <c r="B28" s="298" t="inlineStr">
        <is>
          <t>(계산용) 선납 할인금 (V-)</t>
        </is>
      </c>
      <c r="C28" s="530">
        <f>+C27/1.1</f>
        <v/>
      </c>
      <c r="D28" s="531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$C$33</f>
        <v/>
      </c>
      <c r="O28" s="516">
        <f>N28-P28-Q28</f>
        <v/>
      </c>
      <c r="P28" s="500">
        <f>L28</f>
        <v/>
      </c>
      <c r="Q28" s="519">
        <f>M28</f>
        <v/>
      </c>
      <c r="R28" s="515">
        <f>$C$57</f>
        <v/>
      </c>
      <c r="S28" s="516">
        <f>R28-T28-U28</f>
        <v/>
      </c>
      <c r="T28" s="500">
        <f>$C$11/$C$7-$BB$16-$BB$21-$BB$26-$BB$31</f>
        <v/>
      </c>
      <c r="U28" s="519">
        <f>$C$12/$C$7-$BB$17-$BB$22-$BB$27-$BB$32</f>
        <v/>
      </c>
      <c r="V28" s="92" t="n"/>
      <c r="W28" s="196" t="n"/>
      <c r="X28" s="92" t="n"/>
      <c r="Y28" s="206" t="n"/>
      <c r="Z28" s="206" t="n"/>
      <c r="AA28" s="206" t="n"/>
      <c r="AB28" s="94" t="n"/>
      <c r="AC28" s="206" t="n"/>
      <c r="AD28" s="206" t="n"/>
      <c r="AE28" s="206" t="n"/>
      <c r="AF28" s="206" t="n"/>
      <c r="AG28" s="94" t="n"/>
      <c r="AH28" s="515">
        <f>$C$57</f>
        <v/>
      </c>
      <c r="AI28" s="516">
        <f>AH28-AJ28-AK28</f>
        <v/>
      </c>
      <c r="AJ28" s="500">
        <f>$C$11/$C$7-$BB$16-$BB$21-$BB$26-$BB$31</f>
        <v/>
      </c>
      <c r="AK28" s="519">
        <f>$C$12/$C$7-$BB$17-$BB$22-$BB$27-$BB$32</f>
        <v/>
      </c>
      <c r="AL28" s="92" t="n"/>
      <c r="AM28" s="196" t="n"/>
      <c r="AN28" s="92" t="n"/>
      <c r="AO28" s="206" t="n"/>
      <c r="AP28" s="500" t="n"/>
      <c r="AQ28" s="206" t="n"/>
      <c r="AR28" s="94" t="n"/>
      <c r="AS28" s="206" t="n"/>
      <c r="AT28" s="206" t="n"/>
      <c r="AU28" s="206" t="n"/>
      <c r="AV28" s="206" t="n"/>
      <c r="AW28" s="94" t="n"/>
    </row>
    <row r="29">
      <c r="B29" s="298" t="inlineStr">
        <is>
          <t>(계산용) 선납 월할인금 (V-)</t>
        </is>
      </c>
      <c r="C29" s="532">
        <f>+ROUNDUP(C28/C7,-2)</f>
        <v/>
      </c>
      <c r="D29" s="531" t="n"/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$C$33</f>
        <v/>
      </c>
      <c r="O29" s="516">
        <f>N29-P29-Q29</f>
        <v/>
      </c>
      <c r="P29" s="500">
        <f>L29</f>
        <v/>
      </c>
      <c r="Q29" s="519">
        <f>M29</f>
        <v/>
      </c>
      <c r="R29" s="515">
        <f>$C$57</f>
        <v/>
      </c>
      <c r="S29" s="516">
        <f>R29-T29-U29</f>
        <v/>
      </c>
      <c r="T29" s="500">
        <f>$C$11/$C$7-$BB$16-$BB$21-$BB$26-$BB$31</f>
        <v/>
      </c>
      <c r="U29" s="519">
        <f>$C$12/$C$7-$BB$17-$BB$22-$BB$27-$BB$32</f>
        <v/>
      </c>
      <c r="V29" s="92" t="n"/>
      <c r="W29" s="196" t="n"/>
      <c r="X29" s="92" t="n"/>
      <c r="Y29" s="206" t="n"/>
      <c r="Z29" s="206" t="n"/>
      <c r="AA29" s="206" t="n"/>
      <c r="AB29" s="94" t="n"/>
      <c r="AC29" s="206" t="n"/>
      <c r="AD29" s="206" t="n"/>
      <c r="AE29" s="206" t="n"/>
      <c r="AF29" s="206" t="n"/>
      <c r="AG29" s="94" t="n"/>
      <c r="AH29" s="515">
        <f>$C$57</f>
        <v/>
      </c>
      <c r="AI29" s="516">
        <f>AH29-AJ29-AK29</f>
        <v/>
      </c>
      <c r="AJ29" s="500">
        <f>$C$11/$C$7-$BB$16-$BB$21-$BB$26-$BB$31</f>
        <v/>
      </c>
      <c r="AK29" s="519">
        <f>$C$12/$C$7-$BB$17-$BB$22-$BB$27-$BB$32</f>
        <v/>
      </c>
      <c r="AL29" s="92" t="n"/>
      <c r="AM29" s="196" t="n"/>
      <c r="AN29" s="92" t="n"/>
      <c r="AO29" s="206" t="n"/>
      <c r="AP29" s="206" t="n"/>
      <c r="AQ29" s="206" t="n"/>
      <c r="AR29" s="94" t="n"/>
      <c r="AS29" s="206" t="n"/>
      <c r="AT29" s="206" t="n"/>
      <c r="AU29" s="206" t="n"/>
      <c r="AV29" s="206" t="n"/>
      <c r="AW29" s="94" t="n"/>
      <c r="AZ29" s="378" t="inlineStr">
        <is>
          <t>월 결합할인(V-)</t>
        </is>
      </c>
      <c r="BA29" s="251" t="n"/>
      <c r="BB29" s="525">
        <f>$C$51/$C$7</f>
        <v/>
      </c>
      <c r="BD29" s="378" t="inlineStr">
        <is>
          <t>월 선납할인(V-)</t>
        </is>
      </c>
      <c r="BE29" s="251" t="n"/>
      <c r="BF29" s="525">
        <f>$C$51/$C$7</f>
        <v/>
      </c>
      <c r="BG29" s="505">
        <f>BF29*1.1</f>
        <v/>
      </c>
    </row>
    <row r="30" ht="17.25" customHeight="1" s="497" thickBot="1">
      <c r="B30" s="301" t="inlineStr">
        <is>
          <t>(계산용) 선납 월할인금 (V+)</t>
        </is>
      </c>
      <c r="C30" s="533">
        <f>+C29*1.1</f>
        <v/>
      </c>
      <c r="D30" s="534" t="n"/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$C$33</f>
        <v/>
      </c>
      <c r="O30" s="516">
        <f>N30-P30-Q30</f>
        <v/>
      </c>
      <c r="P30" s="500">
        <f>L30</f>
        <v/>
      </c>
      <c r="Q30" s="519">
        <f>M30</f>
        <v/>
      </c>
      <c r="R30" s="515">
        <f>$C$57</f>
        <v/>
      </c>
      <c r="S30" s="516">
        <f>R30-T30-U30</f>
        <v/>
      </c>
      <c r="T30" s="500">
        <f>$C$11/$C$7-$BB$16-$BB$21-$BB$26-$BB$31</f>
        <v/>
      </c>
      <c r="U30" s="519">
        <f>$C$12/$C$7-$BB$17-$BB$22-$BB$27-$BB$32</f>
        <v/>
      </c>
      <c r="V30" s="92" t="n"/>
      <c r="W30" s="196" t="n"/>
      <c r="X30" s="92" t="n"/>
      <c r="Y30" s="206" t="n"/>
      <c r="Z30" s="206" t="n"/>
      <c r="AA30" s="206" t="n"/>
      <c r="AB30" s="94" t="n"/>
      <c r="AC30" s="206" t="n"/>
      <c r="AD30" s="206" t="n"/>
      <c r="AE30" s="206" t="n"/>
      <c r="AF30" s="206" t="n"/>
      <c r="AG30" s="94" t="n"/>
      <c r="AH30" s="515">
        <f>$C$57</f>
        <v/>
      </c>
      <c r="AI30" s="516">
        <f>AH30-AJ30-AK30</f>
        <v/>
      </c>
      <c r="AJ30" s="500">
        <f>$C$11/$C$7-$BB$16-$BB$21-$BB$26-$BB$31</f>
        <v/>
      </c>
      <c r="AK30" s="519">
        <f>$C$12/$C$7-$BB$17-$BB$22-$BB$27-$BB$32</f>
        <v/>
      </c>
      <c r="AL30" s="92" t="n"/>
      <c r="AM30" s="196" t="n"/>
      <c r="AN30" s="92" t="n"/>
      <c r="AO30" s="206" t="n"/>
      <c r="AP30" s="206" t="n"/>
      <c r="AQ30" s="206" t="n"/>
      <c r="AR30" s="94" t="n"/>
      <c r="AS30" s="206" t="n"/>
      <c r="AT30" s="206" t="n"/>
      <c r="AU30" s="206" t="n"/>
      <c r="AV30" s="206" t="n"/>
      <c r="AW30" s="94" t="n"/>
      <c r="AZ30" s="375" t="n"/>
      <c r="BA30" s="506" t="inlineStr">
        <is>
          <t>제품</t>
        </is>
      </c>
      <c r="BB30" s="507">
        <f>BB29-BB31-BB32</f>
        <v/>
      </c>
      <c r="BD30" s="375" t="n"/>
      <c r="BE30" s="506" t="inlineStr">
        <is>
          <t>제품</t>
        </is>
      </c>
      <c r="BF30" s="507">
        <f>BF29-BF31-BF32</f>
        <v/>
      </c>
      <c r="BG30" s="505">
        <f>ROUND(BF30*1.1,)</f>
        <v/>
      </c>
    </row>
    <row r="31">
      <c r="B31" s="265" t="inlineStr">
        <is>
          <t>(최종) 선납 할인금 (V-)</t>
        </is>
      </c>
      <c r="C31" s="506">
        <f>+C29*C7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$C$33</f>
        <v/>
      </c>
      <c r="O31" s="516">
        <f>N31-P31-Q31</f>
        <v/>
      </c>
      <c r="P31" s="500">
        <f>L31</f>
        <v/>
      </c>
      <c r="Q31" s="519">
        <f>M31</f>
        <v/>
      </c>
      <c r="R31" s="515">
        <f>$C$57</f>
        <v/>
      </c>
      <c r="S31" s="516">
        <f>R31-T31-U31</f>
        <v/>
      </c>
      <c r="T31" s="500">
        <f>$C$11/$C$7-$BB$16-$BB$21-$BB$26-$BB$31</f>
        <v/>
      </c>
      <c r="U31" s="519">
        <f>$C$12/$C$7-$BB$17-$BB$22-$BB$27-$BB$32</f>
        <v/>
      </c>
      <c r="V31" s="92" t="n"/>
      <c r="W31" s="196" t="n"/>
      <c r="X31" s="92" t="n"/>
      <c r="Y31" s="206" t="n"/>
      <c r="Z31" s="206" t="n"/>
      <c r="AA31" s="206" t="n"/>
      <c r="AB31" s="94" t="n"/>
      <c r="AC31" s="206" t="n"/>
      <c r="AD31" s="206" t="n"/>
      <c r="AE31" s="206" t="n"/>
      <c r="AF31" s="206" t="n"/>
      <c r="AG31" s="94" t="n"/>
      <c r="AH31" s="515">
        <f>$C$57</f>
        <v/>
      </c>
      <c r="AI31" s="516">
        <f>AH31-AJ31-AK31</f>
        <v/>
      </c>
      <c r="AJ31" s="500">
        <f>$C$11/$C$7-$BB$16-$BB$21-$BB$26-$BB$31</f>
        <v/>
      </c>
      <c r="AK31" s="519">
        <f>$C$12/$C$7-$BB$17-$BB$22-$BB$27-$BB$32</f>
        <v/>
      </c>
      <c r="AL31" s="92" t="n"/>
      <c r="AM31" s="196" t="n"/>
      <c r="AN31" s="92" t="n"/>
      <c r="AO31" s="206" t="n"/>
      <c r="AP31" s="206" t="n"/>
      <c r="AQ31" s="206" t="n"/>
      <c r="AR31" s="94" t="n"/>
      <c r="AS31" s="206" t="n"/>
      <c r="AT31" s="206" t="n"/>
      <c r="AU31" s="206" t="n"/>
      <c r="AV31" s="206" t="n"/>
      <c r="AW31" s="94" t="n"/>
      <c r="AZ31" s="375" t="n"/>
      <c r="BA31" s="506" t="inlineStr">
        <is>
          <t>케어</t>
        </is>
      </c>
      <c r="BB31" s="507">
        <f>ROUND(BB29*$C$11/$C$14,-2)</f>
        <v/>
      </c>
      <c r="BD31" s="375" t="n"/>
      <c r="BE31" s="506" t="inlineStr">
        <is>
          <t>케어</t>
        </is>
      </c>
      <c r="BF31" s="507">
        <f>ROUND(BF29*$C$11/$C$14,0)</f>
        <v/>
      </c>
      <c r="BG31" s="505">
        <f>ROUND(BF31*1.1,)</f>
        <v/>
      </c>
    </row>
    <row r="32" ht="17.25" customHeight="1" s="497" thickBot="1">
      <c r="B32" s="9" t="inlineStr">
        <is>
          <t>(최종) 선납 할인금 (V+)</t>
        </is>
      </c>
      <c r="C32" s="506">
        <f>+C30*C7</f>
        <v/>
      </c>
      <c r="D32" s="535">
        <f>C31*1.1=C32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$C$33</f>
        <v/>
      </c>
      <c r="O32" s="516">
        <f>N32-P32-Q32</f>
        <v/>
      </c>
      <c r="P32" s="500">
        <f>L32</f>
        <v/>
      </c>
      <c r="Q32" s="519">
        <f>M32</f>
        <v/>
      </c>
      <c r="R32" s="515">
        <f>$C$57</f>
        <v/>
      </c>
      <c r="S32" s="516">
        <f>R32-T32-U32</f>
        <v/>
      </c>
      <c r="T32" s="500">
        <f>$C$11/$C$7-$BB$16-$BB$21-$BB$26-$BB$31</f>
        <v/>
      </c>
      <c r="U32" s="519">
        <f>$C$12/$C$7-$BB$17-$BB$22-$BB$27-$BB$32</f>
        <v/>
      </c>
      <c r="V32" s="92" t="n"/>
      <c r="W32" s="196" t="n"/>
      <c r="X32" s="92" t="n"/>
      <c r="Y32" s="206" t="n"/>
      <c r="Z32" s="206" t="n"/>
      <c r="AA32" s="206" t="n"/>
      <c r="AB32" s="94" t="n"/>
      <c r="AC32" s="206" t="n"/>
      <c r="AD32" s="206" t="n"/>
      <c r="AE32" s="206" t="n"/>
      <c r="AF32" s="206" t="n"/>
      <c r="AG32" s="94" t="n"/>
      <c r="AH32" s="515">
        <f>$C$57</f>
        <v/>
      </c>
      <c r="AI32" s="516">
        <f>AH32-AJ32-AK32</f>
        <v/>
      </c>
      <c r="AJ32" s="500">
        <f>$C$11/$C$7-$BB$16-$BB$21-$BB$26-$BB$31</f>
        <v/>
      </c>
      <c r="AK32" s="519">
        <f>$C$12/$C$7-$BB$17-$BB$22-$BB$27-$BB$32</f>
        <v/>
      </c>
      <c r="AL32" s="92" t="n"/>
      <c r="AM32" s="196" t="n"/>
      <c r="AN32" s="92" t="n"/>
      <c r="AO32" s="206" t="n"/>
      <c r="AP32" s="206" t="n"/>
      <c r="AQ32" s="206" t="n"/>
      <c r="AR32" s="94" t="n"/>
      <c r="AS32" s="206" t="n"/>
      <c r="AT32" s="206" t="n"/>
      <c r="AU32" s="206" t="n"/>
      <c r="AV32" s="206" t="n"/>
      <c r="AW32" s="94" t="n"/>
      <c r="AZ32" s="376" t="n"/>
      <c r="BA32" s="524" t="inlineStr">
        <is>
          <t>보증</t>
        </is>
      </c>
      <c r="BB32" s="507">
        <f>ROUND(BB29*$C$12/$C$14,-2)</f>
        <v/>
      </c>
      <c r="BD32" s="376" t="n"/>
      <c r="BE32" s="524" t="inlineStr">
        <is>
          <t>보증</t>
        </is>
      </c>
      <c r="BF32" s="507">
        <f>ROUND(BF29*$C$12/$C$14,0)</f>
        <v/>
      </c>
      <c r="BG32" s="505">
        <f>ROUND(BF32*1.1,)</f>
        <v/>
      </c>
    </row>
    <row r="33">
      <c r="B33" s="293" t="inlineStr">
        <is>
          <t>(최종) 선납금+선납 할인 반영 월 구독료 (V-)</t>
        </is>
      </c>
      <c r="C33" s="536">
        <f>+(C14-C31-C22)/C7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$C$33</f>
        <v/>
      </c>
      <c r="O33" s="516">
        <f>N33-P33-Q33</f>
        <v/>
      </c>
      <c r="P33" s="500">
        <f>L33</f>
        <v/>
      </c>
      <c r="Q33" s="519">
        <f>M33</f>
        <v/>
      </c>
      <c r="R33" s="515">
        <f>$C$57</f>
        <v/>
      </c>
      <c r="S33" s="516">
        <f>R33-T33-U33</f>
        <v/>
      </c>
      <c r="T33" s="500">
        <f>$C$11/$C$7-$BB$16-$BB$21-$BB$26-$BB$31</f>
        <v/>
      </c>
      <c r="U33" s="519">
        <f>$C$12/$C$7-$BB$17-$BB$22-$BB$27-$BB$32</f>
        <v/>
      </c>
      <c r="V33" s="92" t="n"/>
      <c r="W33" s="196" t="n"/>
      <c r="X33" s="92" t="n"/>
      <c r="Y33" s="206" t="n"/>
      <c r="Z33" s="206" t="n"/>
      <c r="AA33" s="206" t="n"/>
      <c r="AB33" s="94" t="n"/>
      <c r="AC33" s="206" t="n"/>
      <c r="AD33" s="206" t="n"/>
      <c r="AE33" s="206" t="n"/>
      <c r="AF33" s="206" t="n"/>
      <c r="AG33" s="94" t="n"/>
      <c r="AH33" s="515">
        <f>$C$57</f>
        <v/>
      </c>
      <c r="AI33" s="516">
        <f>AH33-AJ33-AK33</f>
        <v/>
      </c>
      <c r="AJ33" s="500">
        <f>$C$11/$C$7-$BB$16-$BB$21-$BB$26-$BB$31</f>
        <v/>
      </c>
      <c r="AK33" s="519">
        <f>$C$12/$C$7-$BB$17-$BB$22-$BB$27-$BB$32</f>
        <v/>
      </c>
      <c r="AL33" s="92" t="n"/>
      <c r="AM33" s="196" t="n"/>
      <c r="AN33" s="92" t="n"/>
      <c r="AO33" s="206" t="n"/>
      <c r="AP33" s="206" t="n"/>
      <c r="AQ33" s="206" t="n"/>
      <c r="AR33" s="94" t="n"/>
      <c r="AS33" s="206" t="n"/>
      <c r="AT33" s="206" t="n"/>
      <c r="AU33" s="206" t="n"/>
      <c r="AV33" s="206" t="n"/>
      <c r="AW33" s="94" t="n"/>
    </row>
    <row r="34" ht="17.25" customHeight="1" s="497" thickBot="1">
      <c r="B34" s="294" t="inlineStr">
        <is>
          <t>(최종) 선납금+선납 할인 반영 총 구독료 (V-)</t>
        </is>
      </c>
      <c r="C34" s="537">
        <f>C33*C7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$C$33</f>
        <v/>
      </c>
      <c r="O34" s="516">
        <f>N34-P34-Q34</f>
        <v/>
      </c>
      <c r="P34" s="500">
        <f>L34</f>
        <v/>
      </c>
      <c r="Q34" s="519">
        <f>M34</f>
        <v/>
      </c>
      <c r="R34" s="515">
        <f>$C$57</f>
        <v/>
      </c>
      <c r="S34" s="516">
        <f>R34-T34-U34</f>
        <v/>
      </c>
      <c r="T34" s="500">
        <f>$C$11/$C$7-$BB$16-$BB$21-$BB$26-$BB$31</f>
        <v/>
      </c>
      <c r="U34" s="519">
        <f>$C$12/$C$7-$BB$17-$BB$22-$BB$27-$BB$32</f>
        <v/>
      </c>
      <c r="V34" s="92" t="n"/>
      <c r="W34" s="196" t="n"/>
      <c r="X34" s="92" t="n"/>
      <c r="Y34" s="206" t="n"/>
      <c r="Z34" s="206" t="n"/>
      <c r="AA34" s="206" t="n"/>
      <c r="AB34" s="94" t="n"/>
      <c r="AC34" s="206" t="n"/>
      <c r="AD34" s="206" t="n"/>
      <c r="AE34" s="206" t="n"/>
      <c r="AF34" s="206" t="n"/>
      <c r="AG34" s="94" t="n"/>
      <c r="AH34" s="515">
        <f>$C$57</f>
        <v/>
      </c>
      <c r="AI34" s="516">
        <f>AH34-AJ34-AK34</f>
        <v/>
      </c>
      <c r="AJ34" s="500">
        <f>$C$11/$C$7-$BB$16-$BB$21-$BB$26-$BB$31</f>
        <v/>
      </c>
      <c r="AK34" s="519">
        <f>$C$12/$C$7-$BB$17-$BB$22-$BB$27-$BB$32</f>
        <v/>
      </c>
      <c r="AL34" s="92" t="n"/>
      <c r="AM34" s="196" t="n"/>
      <c r="AN34" s="92" t="n"/>
      <c r="AO34" s="206" t="n"/>
      <c r="AP34" s="206" t="n"/>
      <c r="AQ34" s="206" t="n"/>
      <c r="AR34" s="94" t="n"/>
      <c r="AS34" s="206" t="n"/>
      <c r="AT34" s="206" t="n"/>
      <c r="AU34" s="206" t="n"/>
      <c r="AV34" s="206" t="n"/>
      <c r="AW34" s="94" t="n"/>
    </row>
    <row r="35">
      <c r="B35" s="295" t="inlineStr">
        <is>
          <t>(최종) 선납금+선납 할인 반영 월 구독료 (V+)</t>
        </is>
      </c>
      <c r="C35" s="538">
        <f>+(C16-C22*1.1-C32)/C7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$C$33</f>
        <v/>
      </c>
      <c r="O35" s="516">
        <f>N35-P35-Q35</f>
        <v/>
      </c>
      <c r="P35" s="500">
        <f>L35</f>
        <v/>
      </c>
      <c r="Q35" s="519">
        <f>M35</f>
        <v/>
      </c>
      <c r="R35" s="515">
        <f>$C$57</f>
        <v/>
      </c>
      <c r="S35" s="516">
        <f>R35-T35-U35</f>
        <v/>
      </c>
      <c r="T35" s="500">
        <f>$C$11/$C$7-$BB$16-$BB$21-$BB$26-$BB$31</f>
        <v/>
      </c>
      <c r="U35" s="519">
        <f>$C$12/$C$7-$BB$17-$BB$22-$BB$27-$BB$32</f>
        <v/>
      </c>
      <c r="V35" s="92" t="n"/>
      <c r="W35" s="196" t="n"/>
      <c r="X35" s="92" t="n"/>
      <c r="Y35" s="206" t="n"/>
      <c r="Z35" s="206" t="n"/>
      <c r="AA35" s="206" t="n"/>
      <c r="AB35" s="94" t="n"/>
      <c r="AC35" s="206" t="n"/>
      <c r="AD35" s="206" t="n"/>
      <c r="AE35" s="206" t="n"/>
      <c r="AF35" s="206" t="n"/>
      <c r="AG35" s="94" t="n"/>
      <c r="AH35" s="515">
        <f>$C$57</f>
        <v/>
      </c>
      <c r="AI35" s="516">
        <f>AH35-AJ35-AK35</f>
        <v/>
      </c>
      <c r="AJ35" s="500">
        <f>$C$11/$C$7-$BB$16-$BB$21-$BB$26-$BB$31</f>
        <v/>
      </c>
      <c r="AK35" s="519">
        <f>$C$12/$C$7-$BB$17-$BB$22-$BB$27-$BB$32</f>
        <v/>
      </c>
      <c r="AL35" s="92" t="n"/>
      <c r="AM35" s="196" t="n"/>
      <c r="AN35" s="92" t="n"/>
      <c r="AO35" s="206" t="n"/>
      <c r="AP35" s="206" t="n"/>
      <c r="AQ35" s="206" t="n"/>
      <c r="AR35" s="94" t="n"/>
      <c r="AS35" s="206" t="n"/>
      <c r="AT35" s="206" t="n"/>
      <c r="AU35" s="206" t="n"/>
      <c r="AV35" s="206" t="n"/>
      <c r="AW35" s="94" t="n"/>
    </row>
    <row r="36" ht="17.25" customHeight="1" s="497" thickBot="1">
      <c r="B36" s="294" t="inlineStr">
        <is>
          <t>(최종) 선납금+선납 할인 반영 총 구독료 (V+)</t>
        </is>
      </c>
      <c r="C36" s="537">
        <f>C35*C7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$C$33</f>
        <v/>
      </c>
      <c r="O36" s="516">
        <f>N36-P36-Q36</f>
        <v/>
      </c>
      <c r="P36" s="500">
        <f>L36</f>
        <v/>
      </c>
      <c r="Q36" s="519">
        <f>M36</f>
        <v/>
      </c>
      <c r="R36" s="515">
        <f>$C$57</f>
        <v/>
      </c>
      <c r="S36" s="516">
        <f>R36-T36-U36</f>
        <v/>
      </c>
      <c r="T36" s="500">
        <f>$C$11/$C$7-$BB$16-$BB$21-$BB$26-$BB$31</f>
        <v/>
      </c>
      <c r="U36" s="519">
        <f>$C$12/$C$7-$BB$17-$BB$22-$BB$27-$BB$32</f>
        <v/>
      </c>
      <c r="V36" s="92" t="n"/>
      <c r="W36" s="196" t="n"/>
      <c r="X36" s="92" t="n"/>
      <c r="Y36" s="206" t="n"/>
      <c r="Z36" s="206" t="n"/>
      <c r="AA36" s="206" t="n"/>
      <c r="AB36" s="94" t="n"/>
      <c r="AC36" s="206" t="n"/>
      <c r="AD36" s="206" t="n"/>
      <c r="AE36" s="206" t="n"/>
      <c r="AF36" s="206" t="n"/>
      <c r="AG36" s="94" t="n"/>
      <c r="AH36" s="515">
        <f>$C$57</f>
        <v/>
      </c>
      <c r="AI36" s="516">
        <f>AH36-AJ36-AK36</f>
        <v/>
      </c>
      <c r="AJ36" s="500">
        <f>$C$11/$C$7-$BB$16-$BB$21-$BB$26-$BB$31</f>
        <v/>
      </c>
      <c r="AK36" s="519">
        <f>$C$12/$C$7-$BB$17-$BB$22-$BB$27-$BB$32</f>
        <v/>
      </c>
      <c r="AL36" s="92" t="n"/>
      <c r="AM36" s="196" t="n"/>
      <c r="AN36" s="92" t="n"/>
      <c r="AO36" s="206" t="n"/>
      <c r="AP36" s="206" t="n"/>
      <c r="AQ36" s="206" t="n"/>
      <c r="AR36" s="94" t="n"/>
      <c r="AS36" s="206" t="n"/>
      <c r="AT36" s="206" t="n"/>
      <c r="AU36" s="206" t="n"/>
      <c r="AV36" s="206" t="n"/>
      <c r="AW36" s="94" t="n"/>
    </row>
    <row r="37">
      <c r="B37" s="296" t="inlineStr">
        <is>
          <t>(계산용) 단품 할인금 (V+)</t>
        </is>
      </c>
      <c r="C37" s="528">
        <f>C16*D37</f>
        <v/>
      </c>
      <c r="D37" s="540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$C$33</f>
        <v/>
      </c>
      <c r="O37" s="516">
        <f>N37-P37-Q37</f>
        <v/>
      </c>
      <c r="P37" s="500">
        <f>L37</f>
        <v/>
      </c>
      <c r="Q37" s="519">
        <f>M37</f>
        <v/>
      </c>
      <c r="R37" s="515">
        <f>$C$57</f>
        <v/>
      </c>
      <c r="S37" s="516">
        <f>R37-T37-U37</f>
        <v/>
      </c>
      <c r="T37" s="500">
        <f>$C$11/$C$7-$BB$16-$BB$21-$BB$26-$BB$31</f>
        <v/>
      </c>
      <c r="U37" s="519">
        <f>$C$12/$C$7-$BB$17-$BB$22-$BB$27-$BB$32</f>
        <v/>
      </c>
      <c r="V37" s="92" t="n"/>
      <c r="W37" s="196" t="n"/>
      <c r="X37" s="92" t="n"/>
      <c r="Y37" s="206" t="n"/>
      <c r="Z37" s="206" t="n"/>
      <c r="AA37" s="206" t="n"/>
      <c r="AB37" s="94" t="n"/>
      <c r="AC37" s="206" t="n"/>
      <c r="AD37" s="206" t="n"/>
      <c r="AE37" s="206" t="n"/>
      <c r="AF37" s="206" t="n"/>
      <c r="AG37" s="94" t="n"/>
      <c r="AH37" s="515">
        <f>$C$57</f>
        <v/>
      </c>
      <c r="AI37" s="516">
        <f>AH37-AJ37-AK37</f>
        <v/>
      </c>
      <c r="AJ37" s="500">
        <f>$C$11/$C$7-$BB$16-$BB$21-$BB$26-$BB$31</f>
        <v/>
      </c>
      <c r="AK37" s="519">
        <f>$C$12/$C$7-$BB$17-$BB$22-$BB$27-$BB$32</f>
        <v/>
      </c>
      <c r="AL37" s="92" t="n"/>
      <c r="AM37" s="196" t="n"/>
      <c r="AN37" s="92" t="n"/>
      <c r="AO37" s="206" t="n"/>
      <c r="AP37" s="206" t="n"/>
      <c r="AQ37" s="206" t="n"/>
      <c r="AR37" s="94" t="n"/>
      <c r="AS37" s="206" t="n"/>
      <c r="AT37" s="206" t="n"/>
      <c r="AU37" s="206" t="n"/>
      <c r="AV37" s="206" t="n"/>
      <c r="AW37" s="94" t="n"/>
    </row>
    <row r="38">
      <c r="B38" s="298" t="inlineStr">
        <is>
          <t>(계산용) 단품 할인금 (V-)</t>
        </is>
      </c>
      <c r="C38" s="530">
        <f>+C37/1.1</f>
        <v/>
      </c>
      <c r="D38" s="531" t="n"/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$C$33</f>
        <v/>
      </c>
      <c r="O38" s="516">
        <f>N38-P38-Q38</f>
        <v/>
      </c>
      <c r="P38" s="500">
        <f>L38</f>
        <v/>
      </c>
      <c r="Q38" s="519">
        <f>M38</f>
        <v/>
      </c>
      <c r="R38" s="515">
        <f>$C$57</f>
        <v/>
      </c>
      <c r="S38" s="516">
        <f>R38-T38-U38</f>
        <v/>
      </c>
      <c r="T38" s="500">
        <f>$C$11/$C$7-$BB$16-$BB$21-$BB$26-$BB$31</f>
        <v/>
      </c>
      <c r="U38" s="519">
        <f>$C$12/$C$7-$BB$17-$BB$22-$BB$27-$BB$32</f>
        <v/>
      </c>
      <c r="V38" s="92" t="n"/>
      <c r="W38" s="196" t="n"/>
      <c r="X38" s="92" t="n"/>
      <c r="Y38" s="206" t="n"/>
      <c r="Z38" s="206" t="n"/>
      <c r="AA38" s="206" t="n"/>
      <c r="AB38" s="94" t="n"/>
      <c r="AC38" s="206" t="n"/>
      <c r="AD38" s="206" t="n"/>
      <c r="AE38" s="206" t="n"/>
      <c r="AF38" s="206" t="n"/>
      <c r="AG38" s="94" t="n"/>
      <c r="AH38" s="515">
        <f>$C$57</f>
        <v/>
      </c>
      <c r="AI38" s="516">
        <f>AH38-AJ38-AK38</f>
        <v/>
      </c>
      <c r="AJ38" s="500">
        <f>$C$11/$C$7-$BB$16-$BB$21-$BB$26-$BB$31</f>
        <v/>
      </c>
      <c r="AK38" s="519">
        <f>$C$12/$C$7-$BB$17-$BB$22-$BB$27-$BB$32</f>
        <v/>
      </c>
      <c r="AL38" s="92" t="n"/>
      <c r="AM38" s="196" t="n"/>
      <c r="AN38" s="92" t="n"/>
      <c r="AO38" s="206" t="n"/>
      <c r="AP38" s="206" t="n"/>
      <c r="AQ38" s="206" t="n"/>
      <c r="AR38" s="94" t="n"/>
      <c r="AS38" s="206" t="n"/>
      <c r="AT38" s="206" t="n"/>
      <c r="AU38" s="206" t="n"/>
      <c r="AV38" s="206" t="n"/>
      <c r="AW38" s="94" t="n"/>
    </row>
    <row r="39">
      <c r="B39" s="298" t="inlineStr">
        <is>
          <t>(계산용) 단품 월할인금 (V-)</t>
        </is>
      </c>
      <c r="C39" s="532">
        <f>+ROUNDUP(C38/C7,-2)</f>
        <v/>
      </c>
      <c r="D39" s="531" t="n"/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$C$33</f>
        <v/>
      </c>
      <c r="O39" s="516">
        <f>N39-P39-Q39</f>
        <v/>
      </c>
      <c r="P39" s="500">
        <f>L39</f>
        <v/>
      </c>
      <c r="Q39" s="519">
        <f>M39</f>
        <v/>
      </c>
      <c r="R39" s="515">
        <f>$C$57</f>
        <v/>
      </c>
      <c r="S39" s="516">
        <f>R39-T39-U39</f>
        <v/>
      </c>
      <c r="T39" s="500">
        <f>$C$11/$C$7-$BB$16-$BB$21-$BB$26-$BB$31</f>
        <v/>
      </c>
      <c r="U39" s="519">
        <f>$C$12/$C$7-$BB$17-$BB$22-$BB$27-$BB$32</f>
        <v/>
      </c>
      <c r="V39" s="92" t="n"/>
      <c r="W39" s="196" t="n"/>
      <c r="X39" s="92" t="n"/>
      <c r="Y39" s="206" t="n"/>
      <c r="Z39" s="206" t="n"/>
      <c r="AA39" s="206" t="n"/>
      <c r="AB39" s="94" t="n"/>
      <c r="AC39" s="206" t="n"/>
      <c r="AD39" s="206" t="n"/>
      <c r="AE39" s="206" t="n"/>
      <c r="AF39" s="206" t="n"/>
      <c r="AG39" s="94" t="n"/>
      <c r="AH39" s="515">
        <f>$C$57</f>
        <v/>
      </c>
      <c r="AI39" s="516">
        <f>AH39-AJ39-AK39</f>
        <v/>
      </c>
      <c r="AJ39" s="500">
        <f>$C$11/$C$7-$BB$16-$BB$21-$BB$26-$BB$31</f>
        <v/>
      </c>
      <c r="AK39" s="519">
        <f>$C$12/$C$7-$BB$17-$BB$22-$BB$27-$BB$32</f>
        <v/>
      </c>
      <c r="AL39" s="92" t="n"/>
      <c r="AM39" s="196" t="n"/>
      <c r="AN39" s="92" t="n"/>
      <c r="AO39" s="206" t="n"/>
      <c r="AP39" s="206" t="n"/>
      <c r="AQ39" s="206" t="n"/>
      <c r="AR39" s="94" t="n"/>
      <c r="AS39" s="206" t="n"/>
      <c r="AT39" s="206" t="n"/>
      <c r="AU39" s="206" t="n"/>
      <c r="AV39" s="206" t="n"/>
      <c r="AW39" s="94" t="n"/>
    </row>
    <row r="40" ht="17.25" customHeight="1" s="497" thickBot="1">
      <c r="B40" s="301" t="inlineStr">
        <is>
          <t>(계산용) 단품 월할인금 (V+)</t>
        </is>
      </c>
      <c r="C40" s="533">
        <f>+C39*1.1</f>
        <v/>
      </c>
      <c r="D40" s="541" t="n"/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$C$33</f>
        <v/>
      </c>
      <c r="O40" s="516">
        <f>N40-P40-Q40</f>
        <v/>
      </c>
      <c r="P40" s="500">
        <f>L40</f>
        <v/>
      </c>
      <c r="Q40" s="519">
        <f>M40</f>
        <v/>
      </c>
      <c r="R40" s="515">
        <f>$C$57</f>
        <v/>
      </c>
      <c r="S40" s="516">
        <f>R40-T40-U40</f>
        <v/>
      </c>
      <c r="T40" s="500">
        <f>$C$11/$C$7-$BB$16-$BB$21-$BB$26-$BB$31</f>
        <v/>
      </c>
      <c r="U40" s="519">
        <f>$C$12/$C$7-$BB$17-$BB$22-$BB$27-$BB$32</f>
        <v/>
      </c>
      <c r="V40" s="92" t="n"/>
      <c r="W40" s="196" t="n"/>
      <c r="X40" s="92" t="n"/>
      <c r="Y40" s="206" t="n"/>
      <c r="Z40" s="206" t="n"/>
      <c r="AA40" s="206" t="n"/>
      <c r="AB40" s="94" t="n"/>
      <c r="AC40" s="206" t="n"/>
      <c r="AD40" s="206" t="n"/>
      <c r="AE40" s="206" t="n"/>
      <c r="AF40" s="206" t="n"/>
      <c r="AG40" s="94" t="n"/>
      <c r="AH40" s="515">
        <f>$C$57</f>
        <v/>
      </c>
      <c r="AI40" s="516">
        <f>AH40-AJ40-AK40</f>
        <v/>
      </c>
      <c r="AJ40" s="500">
        <f>$C$11/$C$7-$BB$16-$BB$21-$BB$26-$BB$31</f>
        <v/>
      </c>
      <c r="AK40" s="519">
        <f>$C$12/$C$7-$BB$17-$BB$22-$BB$27-$BB$32</f>
        <v/>
      </c>
      <c r="AL40" s="92" t="n"/>
      <c r="AM40" s="196" t="n"/>
      <c r="AN40" s="92" t="n"/>
      <c r="AO40" s="206" t="n"/>
      <c r="AP40" s="206" t="n"/>
      <c r="AQ40" s="206" t="n"/>
      <c r="AR40" s="94" t="n"/>
      <c r="AS40" s="206" t="n"/>
      <c r="AT40" s="206" t="n"/>
      <c r="AU40" s="206" t="n"/>
      <c r="AV40" s="206" t="n"/>
      <c r="AW40" s="94" t="n"/>
    </row>
    <row r="41">
      <c r="B41" s="265" t="inlineStr">
        <is>
          <t>(최종) 단품 할인금 (V-)</t>
        </is>
      </c>
      <c r="C41" s="506">
        <f>+C39*C7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$C$33</f>
        <v/>
      </c>
      <c r="O41" s="516">
        <f>N41-P41-Q41</f>
        <v/>
      </c>
      <c r="P41" s="500">
        <f>L41</f>
        <v/>
      </c>
      <c r="Q41" s="519">
        <f>M41</f>
        <v/>
      </c>
      <c r="R41" s="515">
        <f>$C$57</f>
        <v/>
      </c>
      <c r="S41" s="516">
        <f>R41-T41-U41</f>
        <v/>
      </c>
      <c r="T41" s="500">
        <f>$C$11/$C$7-$BB$16-$BB$21-$BB$26-$BB$31</f>
        <v/>
      </c>
      <c r="U41" s="519">
        <f>$C$12/$C$7-$BB$17-$BB$22-$BB$27-$BB$32</f>
        <v/>
      </c>
      <c r="V41" s="92" t="n"/>
      <c r="W41" s="196" t="n"/>
      <c r="X41" s="92" t="n"/>
      <c r="Y41" s="206" t="n"/>
      <c r="Z41" s="206" t="n"/>
      <c r="AA41" s="206" t="n"/>
      <c r="AB41" s="94" t="n"/>
      <c r="AC41" s="206" t="n"/>
      <c r="AD41" s="206" t="n"/>
      <c r="AE41" s="206" t="n"/>
      <c r="AF41" s="206" t="n"/>
      <c r="AG41" s="94" t="n"/>
      <c r="AH41" s="515">
        <f>$C$57</f>
        <v/>
      </c>
      <c r="AI41" s="516">
        <f>AH41-AJ41-AK41</f>
        <v/>
      </c>
      <c r="AJ41" s="500">
        <f>$C$11/$C$7-$BB$16-$BB$21-$BB$26-$BB$31</f>
        <v/>
      </c>
      <c r="AK41" s="519">
        <f>$C$12/$C$7-$BB$17-$BB$22-$BB$27-$BB$32</f>
        <v/>
      </c>
      <c r="AL41" s="92" t="n"/>
      <c r="AM41" s="196" t="n"/>
      <c r="AN41" s="92" t="n"/>
      <c r="AO41" s="206" t="n"/>
      <c r="AP41" s="206" t="n"/>
      <c r="AQ41" s="206" t="n"/>
      <c r="AR41" s="94" t="n"/>
      <c r="AS41" s="206" t="n"/>
      <c r="AT41" s="206" t="n"/>
      <c r="AU41" s="206" t="n"/>
      <c r="AV41" s="206" t="n"/>
      <c r="AW41" s="94" t="n"/>
    </row>
    <row r="42" ht="17.25" customHeight="1" s="497" thickBot="1">
      <c r="B42" s="9" t="inlineStr">
        <is>
          <t>(최종) 단품 할인금 (V+)</t>
        </is>
      </c>
      <c r="C42" s="506">
        <f>+C40*C7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$C$33</f>
        <v/>
      </c>
      <c r="O42" s="516">
        <f>N42-P42-Q42</f>
        <v/>
      </c>
      <c r="P42" s="500">
        <f>L42</f>
        <v/>
      </c>
      <c r="Q42" s="519">
        <f>M42</f>
        <v/>
      </c>
      <c r="R42" s="515">
        <f>$C$57</f>
        <v/>
      </c>
      <c r="S42" s="516">
        <f>R42-T42-U42</f>
        <v/>
      </c>
      <c r="T42" s="500">
        <f>$C$11/$C$7-$BB$16-$BB$21-$BB$26-$BB$31</f>
        <v/>
      </c>
      <c r="U42" s="519">
        <f>$C$12/$C$7-$BB$17-$BB$22-$BB$27-$BB$32</f>
        <v/>
      </c>
      <c r="V42" s="92" t="n"/>
      <c r="W42" s="196" t="n"/>
      <c r="X42" s="92" t="n"/>
      <c r="Y42" s="206" t="n"/>
      <c r="Z42" s="206" t="n"/>
      <c r="AA42" s="206" t="n"/>
      <c r="AB42" s="94" t="n"/>
      <c r="AC42" s="206" t="n"/>
      <c r="AD42" s="206" t="n"/>
      <c r="AE42" s="206" t="n"/>
      <c r="AF42" s="206" t="n"/>
      <c r="AG42" s="94" t="n"/>
      <c r="AH42" s="515">
        <f>$C$57</f>
        <v/>
      </c>
      <c r="AI42" s="516">
        <f>AH42-AJ42-AK42</f>
        <v/>
      </c>
      <c r="AJ42" s="500">
        <f>$C$11/$C$7-$BB$16-$BB$21-$BB$26-$BB$31</f>
        <v/>
      </c>
      <c r="AK42" s="519">
        <f>$C$12/$C$7-$BB$17-$BB$22-$BB$27-$BB$32</f>
        <v/>
      </c>
      <c r="AL42" s="92" t="n"/>
      <c r="AM42" s="196" t="n"/>
      <c r="AN42" s="92" t="n"/>
      <c r="AO42" s="206" t="n"/>
      <c r="AP42" s="206" t="n"/>
      <c r="AQ42" s="206" t="n"/>
      <c r="AR42" s="94" t="n"/>
      <c r="AS42" s="206" t="n"/>
      <c r="AT42" s="206" t="n"/>
      <c r="AU42" s="206" t="n"/>
      <c r="AV42" s="206" t="n"/>
      <c r="AW42" s="94" t="n"/>
    </row>
    <row r="43">
      <c r="B43" s="293" t="inlineStr">
        <is>
          <t>(최종) 단품 할인 반영 월 구독료 (V-)</t>
        </is>
      </c>
      <c r="C43" s="536">
        <f>+(C14-C41)/C7</f>
        <v/>
      </c>
      <c r="D43" s="343">
        <f>+C15-C39=C43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$C$33</f>
        <v/>
      </c>
      <c r="O43" s="516">
        <f>N43-P43-Q43</f>
        <v/>
      </c>
      <c r="P43" s="500">
        <f>L43</f>
        <v/>
      </c>
      <c r="Q43" s="519">
        <f>M43</f>
        <v/>
      </c>
      <c r="R43" s="515">
        <f>$C$57</f>
        <v/>
      </c>
      <c r="S43" s="516">
        <f>R43-T43-U43</f>
        <v/>
      </c>
      <c r="T43" s="500">
        <f>$C$11/$C$7-$BB$16-$BB$21-$BB$26-$BB$31</f>
        <v/>
      </c>
      <c r="U43" s="519">
        <f>$C$12/$C$7-$BB$17-$BB$22-$BB$27-$BB$32</f>
        <v/>
      </c>
      <c r="V43" s="92" t="n"/>
      <c r="W43" s="196" t="n"/>
      <c r="X43" s="92" t="n"/>
      <c r="Y43" s="206" t="n"/>
      <c r="Z43" s="206" t="n"/>
      <c r="AA43" s="206" t="n"/>
      <c r="AB43" s="94" t="n"/>
      <c r="AC43" s="206" t="n"/>
      <c r="AD43" s="206" t="n"/>
      <c r="AE43" s="206" t="n"/>
      <c r="AF43" s="206" t="n"/>
      <c r="AG43" s="94" t="n"/>
      <c r="AH43" s="515">
        <f>$C$57</f>
        <v/>
      </c>
      <c r="AI43" s="516">
        <f>AH43-AJ43-AK43</f>
        <v/>
      </c>
      <c r="AJ43" s="500">
        <f>$C$11/$C$7-$BB$16-$BB$21-$BB$26-$BB$31</f>
        <v/>
      </c>
      <c r="AK43" s="519">
        <f>$C$12/$C$7-$BB$17-$BB$22-$BB$27-$BB$32</f>
        <v/>
      </c>
      <c r="AL43" s="92" t="n"/>
      <c r="AM43" s="196" t="n"/>
      <c r="AN43" s="92" t="n"/>
      <c r="AO43" s="206" t="n"/>
      <c r="AP43" s="206" t="n"/>
      <c r="AQ43" s="206" t="n"/>
      <c r="AR43" s="94" t="n"/>
      <c r="AS43" s="206" t="n"/>
      <c r="AT43" s="206" t="n"/>
      <c r="AU43" s="206" t="n"/>
      <c r="AV43" s="206" t="n"/>
      <c r="AW43" s="94" t="n"/>
    </row>
    <row r="44" ht="17.25" customHeight="1" s="497" thickBot="1">
      <c r="B44" s="294" t="inlineStr">
        <is>
          <t>(최종) 단품 할인 반영 총 구독료 (V-)</t>
        </is>
      </c>
      <c r="C44" s="537">
        <f>C43*C7</f>
        <v/>
      </c>
      <c r="D44" s="343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$C$33</f>
        <v/>
      </c>
      <c r="O44" s="516">
        <f>N44-P44-Q44</f>
        <v/>
      </c>
      <c r="P44" s="500">
        <f>L44</f>
        <v/>
      </c>
      <c r="Q44" s="519">
        <f>M44</f>
        <v/>
      </c>
      <c r="R44" s="515">
        <f>$C$57</f>
        <v/>
      </c>
      <c r="S44" s="516">
        <f>R44-T44-U44</f>
        <v/>
      </c>
      <c r="T44" s="500">
        <f>$C$11/$C$7-$BB$16-$BB$21-$BB$26-$BB$31</f>
        <v/>
      </c>
      <c r="U44" s="519">
        <f>$C$12/$C$7-$BB$17-$BB$22-$BB$27-$BB$32</f>
        <v/>
      </c>
      <c r="V44" s="92" t="n"/>
      <c r="W44" s="196" t="n"/>
      <c r="X44" s="92" t="n"/>
      <c r="Y44" s="206" t="n"/>
      <c r="Z44" s="206" t="n"/>
      <c r="AA44" s="206" t="n"/>
      <c r="AB44" s="94" t="n"/>
      <c r="AC44" s="206" t="n"/>
      <c r="AD44" s="206" t="n"/>
      <c r="AE44" s="206" t="n"/>
      <c r="AF44" s="206" t="n"/>
      <c r="AG44" s="94" t="n"/>
      <c r="AH44" s="515">
        <f>$C$57</f>
        <v/>
      </c>
      <c r="AI44" s="516">
        <f>AH44-AJ44-AK44</f>
        <v/>
      </c>
      <c r="AJ44" s="500">
        <f>$C$11/$C$7-$BB$16-$BB$21-$BB$26-$BB$31</f>
        <v/>
      </c>
      <c r="AK44" s="519">
        <f>$C$12/$C$7-$BB$17-$BB$22-$BB$27-$BB$32</f>
        <v/>
      </c>
      <c r="AL44" s="92" t="n"/>
      <c r="AM44" s="196" t="n"/>
      <c r="AN44" s="92" t="n"/>
      <c r="AO44" s="206" t="n"/>
      <c r="AP44" s="206" t="n"/>
      <c r="AQ44" s="206" t="n"/>
      <c r="AR44" s="94" t="n"/>
      <c r="AS44" s="206" t="n"/>
      <c r="AT44" s="206" t="n"/>
      <c r="AU44" s="206" t="n"/>
      <c r="AV44" s="206" t="n"/>
      <c r="AW44" s="94" t="n"/>
    </row>
    <row r="45">
      <c r="B45" s="295" t="inlineStr">
        <is>
          <t>(최종) 단품 할인 반영 월 구독료 (V+)</t>
        </is>
      </c>
      <c r="C45" s="538">
        <f>+C43*1.1</f>
        <v/>
      </c>
      <c r="D45" s="343">
        <f>+C15*1.1-C40=C45</f>
        <v/>
      </c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$C$33</f>
        <v/>
      </c>
      <c r="O45" s="516">
        <f>N45-P45-Q45</f>
        <v/>
      </c>
      <c r="P45" s="500">
        <f>L45</f>
        <v/>
      </c>
      <c r="Q45" s="519">
        <f>M45</f>
        <v/>
      </c>
      <c r="R45" s="515">
        <f>$C$57</f>
        <v/>
      </c>
      <c r="S45" s="516">
        <f>R45-T45-U45</f>
        <v/>
      </c>
      <c r="T45" s="500">
        <f>$C$11/$C$7-$BB$16-$BB$21-$BB$26-$BB$31</f>
        <v/>
      </c>
      <c r="U45" s="519">
        <f>$C$12/$C$7-$BB$17-$BB$22-$BB$27-$BB$32</f>
        <v/>
      </c>
      <c r="V45" s="92" t="n"/>
      <c r="W45" s="196" t="n"/>
      <c r="X45" s="92" t="n"/>
      <c r="Y45" s="206" t="n"/>
      <c r="Z45" s="206" t="n"/>
      <c r="AA45" s="206" t="n"/>
      <c r="AB45" s="94" t="n"/>
      <c r="AC45" s="206" t="n"/>
      <c r="AD45" s="206" t="n"/>
      <c r="AE45" s="206" t="n"/>
      <c r="AF45" s="206" t="n"/>
      <c r="AG45" s="94" t="n"/>
      <c r="AH45" s="515">
        <f>$C$57</f>
        <v/>
      </c>
      <c r="AI45" s="516">
        <f>AH45-AJ45-AK45</f>
        <v/>
      </c>
      <c r="AJ45" s="500">
        <f>$C$11/$C$7-$BB$16-$BB$21-$BB$26-$BB$31</f>
        <v/>
      </c>
      <c r="AK45" s="519">
        <f>$C$12/$C$7-$BB$17-$BB$22-$BB$27-$BB$32</f>
        <v/>
      </c>
      <c r="AL45" s="92" t="n"/>
      <c r="AM45" s="196" t="n"/>
      <c r="AN45" s="92" t="n"/>
      <c r="AO45" s="206" t="n"/>
      <c r="AP45" s="206" t="n"/>
      <c r="AQ45" s="206" t="n"/>
      <c r="AR45" s="94" t="n"/>
      <c r="AS45" s="206" t="n"/>
      <c r="AT45" s="206" t="n"/>
      <c r="AU45" s="206" t="n"/>
      <c r="AV45" s="206" t="n"/>
      <c r="AW45" s="94" t="n"/>
    </row>
    <row r="46" ht="17.25" customHeight="1" s="497" thickBot="1">
      <c r="B46" s="294" t="inlineStr">
        <is>
          <t>(최종) 단품 할인 반영 총 구독료 (V+)</t>
        </is>
      </c>
      <c r="C46" s="537">
        <f>+C45*C7</f>
        <v/>
      </c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$C$33</f>
        <v/>
      </c>
      <c r="O46" s="516">
        <f>N46-P46-Q46</f>
        <v/>
      </c>
      <c r="P46" s="500">
        <f>L46</f>
        <v/>
      </c>
      <c r="Q46" s="519">
        <f>M46</f>
        <v/>
      </c>
      <c r="R46" s="515">
        <f>$C$57</f>
        <v/>
      </c>
      <c r="S46" s="516">
        <f>R46-T46-U46</f>
        <v/>
      </c>
      <c r="T46" s="500">
        <f>$C$11/$C$7-$BB$16-$BB$21-$BB$26-$BB$31</f>
        <v/>
      </c>
      <c r="U46" s="519">
        <f>$C$12/$C$7-$BB$17-$BB$22-$BB$27-$BB$32</f>
        <v/>
      </c>
      <c r="V46" s="92" t="n"/>
      <c r="W46" s="196" t="n"/>
      <c r="X46" s="92" t="n"/>
      <c r="Y46" s="206" t="n"/>
      <c r="Z46" s="206" t="n"/>
      <c r="AA46" s="206" t="n"/>
      <c r="AB46" s="94" t="n"/>
      <c r="AC46" s="206" t="n"/>
      <c r="AD46" s="206" t="n"/>
      <c r="AE46" s="206" t="n"/>
      <c r="AF46" s="206" t="n"/>
      <c r="AG46" s="94" t="n"/>
      <c r="AH46" s="515">
        <f>$C$57</f>
        <v/>
      </c>
      <c r="AI46" s="516">
        <f>AH46-AJ46-AK46</f>
        <v/>
      </c>
      <c r="AJ46" s="500">
        <f>$C$11/$C$7-$BB$16-$BB$21-$BB$26-$BB$31</f>
        <v/>
      </c>
      <c r="AK46" s="519">
        <f>$C$12/$C$7-$BB$17-$BB$22-$BB$27-$BB$32</f>
        <v/>
      </c>
      <c r="AL46" s="92" t="n"/>
      <c r="AM46" s="196" t="n"/>
      <c r="AN46" s="92" t="n"/>
      <c r="AO46" s="206" t="n"/>
      <c r="AP46" s="206" t="n"/>
      <c r="AQ46" s="206" t="n"/>
      <c r="AR46" s="94" t="n"/>
      <c r="AS46" s="206" t="n"/>
      <c r="AT46" s="206" t="n"/>
      <c r="AU46" s="206" t="n"/>
      <c r="AV46" s="206" t="n"/>
      <c r="AW46" s="94" t="n"/>
    </row>
    <row r="47">
      <c r="B47" s="296" t="inlineStr">
        <is>
          <t>(계산용) 결합 할인금 (V+)</t>
        </is>
      </c>
      <c r="C47" s="528">
        <f>C16*D47</f>
        <v/>
      </c>
      <c r="D47" s="540" t="n">
        <v>0.05</v>
      </c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$C$33</f>
        <v/>
      </c>
      <c r="O47" s="516">
        <f>N47-P47-Q47</f>
        <v/>
      </c>
      <c r="P47" s="500">
        <f>L47</f>
        <v/>
      </c>
      <c r="Q47" s="519">
        <f>M47</f>
        <v/>
      </c>
      <c r="R47" s="515">
        <f>$C$57</f>
        <v/>
      </c>
      <c r="S47" s="516">
        <f>R47-T47-U47</f>
        <v/>
      </c>
      <c r="T47" s="500">
        <f>$C$11/$C$7-$BB$16-$BB$21-$BB$26-$BB$31</f>
        <v/>
      </c>
      <c r="U47" s="519">
        <f>$C$12/$C$7-$BB$17-$BB$22-$BB$27-$BB$32</f>
        <v/>
      </c>
      <c r="V47" s="92" t="n"/>
      <c r="W47" s="196" t="n"/>
      <c r="X47" s="92" t="n"/>
      <c r="Y47" s="206" t="n"/>
      <c r="Z47" s="206" t="n"/>
      <c r="AA47" s="206" t="n"/>
      <c r="AB47" s="94" t="n"/>
      <c r="AC47" s="206" t="n"/>
      <c r="AD47" s="206" t="n"/>
      <c r="AE47" s="206" t="n"/>
      <c r="AF47" s="206" t="n"/>
      <c r="AG47" s="94" t="n"/>
      <c r="AH47" s="515">
        <f>$C$57</f>
        <v/>
      </c>
      <c r="AI47" s="516">
        <f>AH47-AJ47-AK47</f>
        <v/>
      </c>
      <c r="AJ47" s="500">
        <f>$C$11/$C$7-$BB$16-$BB$21-$BB$26-$BB$31</f>
        <v/>
      </c>
      <c r="AK47" s="519">
        <f>$C$12/$C$7-$BB$17-$BB$22-$BB$27-$BB$32</f>
        <v/>
      </c>
      <c r="AL47" s="92" t="n"/>
      <c r="AM47" s="196" t="n"/>
      <c r="AN47" s="92" t="n"/>
      <c r="AO47" s="206" t="n"/>
      <c r="AP47" s="206" t="n"/>
      <c r="AQ47" s="206" t="n"/>
      <c r="AR47" s="94" t="n"/>
      <c r="AS47" s="206" t="n"/>
      <c r="AT47" s="206" t="n"/>
      <c r="AU47" s="206" t="n"/>
      <c r="AV47" s="206" t="n"/>
      <c r="AW47" s="94" t="n"/>
    </row>
    <row r="48">
      <c r="B48" s="298" t="inlineStr">
        <is>
          <t>(계산용) 결합 할인금 (V-)</t>
        </is>
      </c>
      <c r="C48" s="530">
        <f>+C47/1.1</f>
        <v/>
      </c>
      <c r="D48" s="531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$C$33</f>
        <v/>
      </c>
      <c r="O48" s="516">
        <f>N48-P48-Q48</f>
        <v/>
      </c>
      <c r="P48" s="500">
        <f>L48</f>
        <v/>
      </c>
      <c r="Q48" s="519">
        <f>M48</f>
        <v/>
      </c>
      <c r="R48" s="515">
        <f>$C$57</f>
        <v/>
      </c>
      <c r="S48" s="516">
        <f>R48-T48-U48</f>
        <v/>
      </c>
      <c r="T48" s="500">
        <f>$C$11/$C$7-$BB$16-$BB$21-$BB$26-$BB$31</f>
        <v/>
      </c>
      <c r="U48" s="519">
        <f>$C$12/$C$7-$BB$17-$BB$22-$BB$27-$BB$32</f>
        <v/>
      </c>
      <c r="V48" s="92" t="n"/>
      <c r="W48" s="196" t="n"/>
      <c r="X48" s="92" t="n"/>
      <c r="Y48" s="206" t="n"/>
      <c r="Z48" s="206" t="n"/>
      <c r="AA48" s="206" t="n"/>
      <c r="AB48" s="94" t="n"/>
      <c r="AC48" s="206" t="n"/>
      <c r="AD48" s="206" t="n"/>
      <c r="AE48" s="206" t="n"/>
      <c r="AF48" s="206" t="n"/>
      <c r="AG48" s="94" t="n"/>
      <c r="AH48" s="515">
        <f>$C$57</f>
        <v/>
      </c>
      <c r="AI48" s="516">
        <f>AH48-AJ48-AK48</f>
        <v/>
      </c>
      <c r="AJ48" s="500">
        <f>$C$11/$C$7-$BB$16-$BB$21-$BB$26-$BB$31</f>
        <v/>
      </c>
      <c r="AK48" s="519">
        <f>$C$12/$C$7-$BB$17-$BB$22-$BB$27-$BB$32</f>
        <v/>
      </c>
      <c r="AL48" s="92" t="n"/>
      <c r="AM48" s="196" t="n"/>
      <c r="AN48" s="92" t="n"/>
      <c r="AO48" s="206" t="n"/>
      <c r="AP48" s="206" t="n"/>
      <c r="AQ48" s="206" t="n"/>
      <c r="AR48" s="94" t="n"/>
      <c r="AS48" s="206" t="n"/>
      <c r="AT48" s="206" t="n"/>
      <c r="AU48" s="206" t="n"/>
      <c r="AV48" s="206" t="n"/>
      <c r="AW48" s="94" t="n"/>
    </row>
    <row r="49">
      <c r="B49" s="298" t="inlineStr">
        <is>
          <t>(계산용) 결합 월할인금 (V-)</t>
        </is>
      </c>
      <c r="C49" s="532">
        <f>+ROUNDUP(C48/C7,-2)</f>
        <v/>
      </c>
      <c r="D49" s="531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$C$33</f>
        <v/>
      </c>
      <c r="O49" s="516">
        <f>N49-P49-Q49</f>
        <v/>
      </c>
      <c r="P49" s="500">
        <f>L49</f>
        <v/>
      </c>
      <c r="Q49" s="519">
        <f>M49</f>
        <v/>
      </c>
      <c r="R49" s="515">
        <f>$C$57</f>
        <v/>
      </c>
      <c r="S49" s="516">
        <f>R49-T49-U49</f>
        <v/>
      </c>
      <c r="T49" s="500">
        <f>$C$11/$C$7-$BB$16-$BB$21-$BB$26-$BB$31</f>
        <v/>
      </c>
      <c r="U49" s="519">
        <f>$C$12/$C$7-$BB$17-$BB$22-$BB$27-$BB$32</f>
        <v/>
      </c>
      <c r="V49" s="92" t="n"/>
      <c r="W49" s="196" t="n"/>
      <c r="X49" s="92" t="n"/>
      <c r="Y49" s="206" t="n"/>
      <c r="Z49" s="206" t="n"/>
      <c r="AA49" s="206" t="n"/>
      <c r="AB49" s="94" t="n"/>
      <c r="AC49" s="206" t="n"/>
      <c r="AD49" s="206" t="n"/>
      <c r="AE49" s="206" t="n"/>
      <c r="AF49" s="206" t="n"/>
      <c r="AG49" s="94" t="n"/>
      <c r="AH49" s="515">
        <f>$C$57</f>
        <v/>
      </c>
      <c r="AI49" s="516">
        <f>AH49-AJ49-AK49</f>
        <v/>
      </c>
      <c r="AJ49" s="500">
        <f>$C$11/$C$7-$BB$16-$BB$21-$BB$26-$BB$31</f>
        <v/>
      </c>
      <c r="AK49" s="519">
        <f>$C$12/$C$7-$BB$17-$BB$22-$BB$27-$BB$32</f>
        <v/>
      </c>
      <c r="AL49" s="92" t="n"/>
      <c r="AM49" s="196" t="n"/>
      <c r="AN49" s="92" t="n"/>
      <c r="AO49" s="206" t="n"/>
      <c r="AP49" s="206" t="n"/>
      <c r="AQ49" s="206" t="n"/>
      <c r="AR49" s="94" t="n"/>
      <c r="AS49" s="206" t="n"/>
      <c r="AT49" s="206" t="n"/>
      <c r="AU49" s="206" t="n"/>
      <c r="AV49" s="206" t="n"/>
      <c r="AW49" s="94" t="n"/>
    </row>
    <row r="50" ht="17.25" customHeight="1" s="497" thickBot="1">
      <c r="B50" s="301" t="inlineStr">
        <is>
          <t>(계산용) 결합 월할인금 (V+)</t>
        </is>
      </c>
      <c r="C50" s="533">
        <f>+C49*1.1</f>
        <v/>
      </c>
      <c r="D50" s="541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$C$33</f>
        <v/>
      </c>
      <c r="O50" s="516">
        <f>N50-P50-Q50</f>
        <v/>
      </c>
      <c r="P50" s="500">
        <f>L50</f>
        <v/>
      </c>
      <c r="Q50" s="519">
        <f>M50</f>
        <v/>
      </c>
      <c r="R50" s="515">
        <f>$C$57</f>
        <v/>
      </c>
      <c r="S50" s="516">
        <f>R50-T50-U50</f>
        <v/>
      </c>
      <c r="T50" s="500">
        <f>$C$11/$C$7-$BB$16-$BB$21-$BB$26-$BB$31</f>
        <v/>
      </c>
      <c r="U50" s="519">
        <f>$C$12/$C$7-$BB$17-$BB$22-$BB$27-$BB$32</f>
        <v/>
      </c>
      <c r="V50" s="92" t="n"/>
      <c r="W50" s="196" t="n"/>
      <c r="X50" s="92" t="n"/>
      <c r="Y50" s="206" t="n"/>
      <c r="Z50" s="206" t="n"/>
      <c r="AA50" s="206" t="n"/>
      <c r="AB50" s="94" t="n"/>
      <c r="AC50" s="206" t="n"/>
      <c r="AD50" s="206" t="n"/>
      <c r="AE50" s="206" t="n"/>
      <c r="AF50" s="206" t="n"/>
      <c r="AG50" s="94" t="n"/>
      <c r="AH50" s="515">
        <f>$C$57</f>
        <v/>
      </c>
      <c r="AI50" s="516">
        <f>AH50-AJ50-AK50</f>
        <v/>
      </c>
      <c r="AJ50" s="500">
        <f>$C$11/$C$7-$BB$16-$BB$21-$BB$26-$BB$31</f>
        <v/>
      </c>
      <c r="AK50" s="519">
        <f>$C$12/$C$7-$BB$17-$BB$22-$BB$27-$BB$32</f>
        <v/>
      </c>
      <c r="AL50" s="92" t="n"/>
      <c r="AM50" s="196" t="n"/>
      <c r="AN50" s="92" t="n"/>
      <c r="AO50" s="206" t="n"/>
      <c r="AP50" s="206" t="n"/>
      <c r="AQ50" s="206" t="n"/>
      <c r="AR50" s="94" t="n"/>
      <c r="AS50" s="206" t="n"/>
      <c r="AT50" s="206" t="n"/>
      <c r="AU50" s="206" t="n"/>
      <c r="AV50" s="206" t="n"/>
      <c r="AW50" s="94" t="n"/>
    </row>
    <row r="51">
      <c r="B51" s="265" t="inlineStr">
        <is>
          <t>(최종) 결합 할인금 (V-)</t>
        </is>
      </c>
      <c r="C51" s="506">
        <f>+C49*C7</f>
        <v/>
      </c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$C$33</f>
        <v/>
      </c>
      <c r="O51" s="516">
        <f>N51-P51-Q51</f>
        <v/>
      </c>
      <c r="P51" s="500">
        <f>L51</f>
        <v/>
      </c>
      <c r="Q51" s="519">
        <f>M51</f>
        <v/>
      </c>
      <c r="R51" s="515">
        <f>$C$57</f>
        <v/>
      </c>
      <c r="S51" s="516">
        <f>R51-T51-U51</f>
        <v/>
      </c>
      <c r="T51" s="500">
        <f>$C$11/$C$7-$BB$16-$BB$21-$BB$26-$BB$31</f>
        <v/>
      </c>
      <c r="U51" s="519">
        <f>$C$12/$C$7-$BB$17-$BB$22-$BB$27-$BB$32</f>
        <v/>
      </c>
      <c r="V51" s="92" t="n"/>
      <c r="W51" s="196" t="n"/>
      <c r="X51" s="92" t="n"/>
      <c r="Y51" s="206" t="n"/>
      <c r="Z51" s="206" t="n"/>
      <c r="AA51" s="206" t="n"/>
      <c r="AB51" s="94" t="n"/>
      <c r="AC51" s="206" t="n"/>
      <c r="AD51" s="206" t="n"/>
      <c r="AE51" s="206" t="n"/>
      <c r="AF51" s="206" t="n"/>
      <c r="AG51" s="94" t="n"/>
      <c r="AH51" s="515">
        <f>$C$57</f>
        <v/>
      </c>
      <c r="AI51" s="516">
        <f>AH51-AJ51-AK51</f>
        <v/>
      </c>
      <c r="AJ51" s="500">
        <f>$C$11/$C$7-$BB$16-$BB$21-$BB$26-$BB$31</f>
        <v/>
      </c>
      <c r="AK51" s="519">
        <f>$C$12/$C$7-$BB$17-$BB$22-$BB$27-$BB$32</f>
        <v/>
      </c>
      <c r="AL51" s="92" t="n"/>
      <c r="AM51" s="196" t="n"/>
      <c r="AN51" s="92" t="n"/>
      <c r="AO51" s="206" t="n"/>
      <c r="AP51" s="206" t="n"/>
      <c r="AQ51" s="206" t="n"/>
      <c r="AR51" s="94" t="n"/>
      <c r="AS51" s="206" t="n"/>
      <c r="AT51" s="206" t="n"/>
      <c r="AU51" s="206" t="n"/>
      <c r="AV51" s="206" t="n"/>
      <c r="AW51" s="94" t="n"/>
    </row>
    <row r="52" ht="17.25" customHeight="1" s="497" thickBot="1">
      <c r="B52" s="9" t="inlineStr">
        <is>
          <t>(최종) 결합 할인금 (V+)</t>
        </is>
      </c>
      <c r="C52" s="506">
        <f>+C50*C7</f>
        <v/>
      </c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$C$33</f>
        <v/>
      </c>
      <c r="O52" s="516">
        <f>N52-P52-Q52</f>
        <v/>
      </c>
      <c r="P52" s="500">
        <f>L52</f>
        <v/>
      </c>
      <c r="Q52" s="519">
        <f>M52</f>
        <v/>
      </c>
      <c r="R52" s="515">
        <f>$C$57</f>
        <v/>
      </c>
      <c r="S52" s="516">
        <f>R52-T52-U52</f>
        <v/>
      </c>
      <c r="T52" s="500">
        <f>$C$11/$C$7-$BB$16-$BB$21-$BB$26-$BB$31</f>
        <v/>
      </c>
      <c r="U52" s="519">
        <f>$C$12/$C$7-$BB$17-$BB$22-$BB$27-$BB$32</f>
        <v/>
      </c>
      <c r="V52" s="92" t="n"/>
      <c r="W52" s="196" t="n"/>
      <c r="X52" s="92" t="n"/>
      <c r="Y52" s="206" t="n"/>
      <c r="Z52" s="206" t="n"/>
      <c r="AA52" s="206" t="n"/>
      <c r="AB52" s="94" t="n"/>
      <c r="AC52" s="206" t="n"/>
      <c r="AD52" s="206" t="n"/>
      <c r="AE52" s="206" t="n"/>
      <c r="AF52" s="206" t="n"/>
      <c r="AG52" s="94" t="n"/>
      <c r="AH52" s="515">
        <f>$C$57</f>
        <v/>
      </c>
      <c r="AI52" s="516">
        <f>AH52-AJ52-AK52</f>
        <v/>
      </c>
      <c r="AJ52" s="500">
        <f>$C$11/$C$7-$BB$16-$BB$21-$BB$26-$BB$31</f>
        <v/>
      </c>
      <c r="AK52" s="519">
        <f>$C$12/$C$7-$BB$17-$BB$22-$BB$27-$BB$32</f>
        <v/>
      </c>
      <c r="AL52" s="92" t="n"/>
      <c r="AM52" s="196" t="n"/>
      <c r="AN52" s="92" t="n"/>
      <c r="AO52" s="206" t="n"/>
      <c r="AP52" s="206" t="n"/>
      <c r="AQ52" s="206" t="n"/>
      <c r="AR52" s="94" t="n"/>
      <c r="AS52" s="206" t="n"/>
      <c r="AT52" s="206" t="n"/>
      <c r="AU52" s="206" t="n"/>
      <c r="AV52" s="206" t="n"/>
      <c r="AW52" s="94" t="n"/>
    </row>
    <row r="53">
      <c r="B53" s="293" t="inlineStr">
        <is>
          <t>(최종) 결합 할인 반영 월 구독료 (V-)</t>
        </is>
      </c>
      <c r="C53" s="536">
        <f>+(C14-C51)/C7</f>
        <v/>
      </c>
      <c r="D53" s="343">
        <f>+C15-C49=C53</f>
        <v/>
      </c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$C$33</f>
        <v/>
      </c>
      <c r="O53" s="516">
        <f>N53-P53-Q53</f>
        <v/>
      </c>
      <c r="P53" s="500">
        <f>L53</f>
        <v/>
      </c>
      <c r="Q53" s="519">
        <f>M53</f>
        <v/>
      </c>
      <c r="R53" s="515">
        <f>$C$57</f>
        <v/>
      </c>
      <c r="S53" s="516">
        <f>R53-T53-U53</f>
        <v/>
      </c>
      <c r="T53" s="500">
        <f>$C$11/$C$7-$BB$16-$BB$21-$BB$26-$BB$31</f>
        <v/>
      </c>
      <c r="U53" s="519">
        <f>$C$12/$C$7-$BB$17-$BB$22-$BB$27-$BB$32</f>
        <v/>
      </c>
      <c r="V53" s="92" t="n"/>
      <c r="W53" s="196" t="n"/>
      <c r="X53" s="92" t="n"/>
      <c r="Y53" s="206" t="n"/>
      <c r="Z53" s="206" t="n"/>
      <c r="AA53" s="206" t="n"/>
      <c r="AB53" s="94" t="n"/>
      <c r="AC53" s="206" t="n"/>
      <c r="AD53" s="206" t="n"/>
      <c r="AE53" s="206" t="n"/>
      <c r="AF53" s="206" t="n"/>
      <c r="AG53" s="94" t="n"/>
      <c r="AH53" s="515">
        <f>$C$57</f>
        <v/>
      </c>
      <c r="AI53" s="516">
        <f>AH53-AJ53-AK53</f>
        <v/>
      </c>
      <c r="AJ53" s="500">
        <f>$C$11/$C$7-$BB$16-$BB$21-$BB$26-$BB$31</f>
        <v/>
      </c>
      <c r="AK53" s="519">
        <f>$C$12/$C$7-$BB$17-$BB$22-$BB$27-$BB$32</f>
        <v/>
      </c>
      <c r="AL53" s="92" t="n"/>
      <c r="AM53" s="196" t="n"/>
      <c r="AN53" s="92" t="n"/>
      <c r="AO53" s="206" t="n"/>
      <c r="AP53" s="206" t="n"/>
      <c r="AQ53" s="206" t="n"/>
      <c r="AR53" s="94" t="n"/>
      <c r="AS53" s="206" t="n"/>
      <c r="AT53" s="206" t="n"/>
      <c r="AU53" s="206" t="n"/>
      <c r="AV53" s="206" t="n"/>
      <c r="AW53" s="94" t="n"/>
    </row>
    <row r="54" ht="17.25" customHeight="1" s="497" thickBot="1">
      <c r="B54" s="294" t="inlineStr">
        <is>
          <t>(최종) 결합 할인 반영 총 구독료 (V-)</t>
        </is>
      </c>
      <c r="C54" s="537">
        <f>C53*C7</f>
        <v/>
      </c>
      <c r="D54" s="343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$C$33</f>
        <v/>
      </c>
      <c r="O54" s="516">
        <f>N54-P54-Q54</f>
        <v/>
      </c>
      <c r="P54" s="500">
        <f>L54</f>
        <v/>
      </c>
      <c r="Q54" s="519">
        <f>M54</f>
        <v/>
      </c>
      <c r="R54" s="515">
        <f>$C$57</f>
        <v/>
      </c>
      <c r="S54" s="516">
        <f>R54-T54-U54</f>
        <v/>
      </c>
      <c r="T54" s="500">
        <f>$C$11/$C$7-$BB$16-$BB$21-$BB$26-$BB$31</f>
        <v/>
      </c>
      <c r="U54" s="519">
        <f>$C$12/$C$7-$BB$17-$BB$22-$BB$27-$BB$32</f>
        <v/>
      </c>
      <c r="V54" s="92" t="n"/>
      <c r="W54" s="196" t="n"/>
      <c r="X54" s="92" t="n"/>
      <c r="Y54" s="206" t="n"/>
      <c r="Z54" s="206" t="n"/>
      <c r="AA54" s="206" t="n"/>
      <c r="AB54" s="94" t="n"/>
      <c r="AC54" s="206" t="n"/>
      <c r="AD54" s="206" t="n"/>
      <c r="AE54" s="206" t="n"/>
      <c r="AF54" s="206" t="n"/>
      <c r="AG54" s="94" t="n"/>
      <c r="AH54" s="515">
        <f>$C$57</f>
        <v/>
      </c>
      <c r="AI54" s="516">
        <f>AH54-AJ54-AK54</f>
        <v/>
      </c>
      <c r="AJ54" s="500">
        <f>$C$11/$C$7-$BB$16-$BB$21-$BB$26-$BB$31</f>
        <v/>
      </c>
      <c r="AK54" s="519">
        <f>$C$12/$C$7-$BB$17-$BB$22-$BB$27-$BB$32</f>
        <v/>
      </c>
      <c r="AL54" s="92" t="n"/>
      <c r="AM54" s="196" t="n"/>
      <c r="AN54" s="92" t="n"/>
      <c r="AO54" s="206" t="n"/>
      <c r="AP54" s="206" t="n"/>
      <c r="AQ54" s="206" t="n"/>
      <c r="AR54" s="94" t="n"/>
      <c r="AS54" s="206" t="n"/>
      <c r="AT54" s="206" t="n"/>
      <c r="AU54" s="206" t="n"/>
      <c r="AV54" s="206" t="n"/>
      <c r="AW54" s="94" t="n"/>
    </row>
    <row r="55">
      <c r="B55" s="295" t="inlineStr">
        <is>
          <t>(최종) 결합 할인 반영 월 구독료 (V+)</t>
        </is>
      </c>
      <c r="C55" s="538">
        <f>+C53*1.1</f>
        <v/>
      </c>
      <c r="D55" s="343">
        <f>+C15*1.1-C50=C55</f>
        <v/>
      </c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$C$33</f>
        <v/>
      </c>
      <c r="O55" s="516">
        <f>N55-P55-Q55</f>
        <v/>
      </c>
      <c r="P55" s="500">
        <f>L55</f>
        <v/>
      </c>
      <c r="Q55" s="519">
        <f>M55</f>
        <v/>
      </c>
      <c r="R55" s="515">
        <f>$C$57</f>
        <v/>
      </c>
      <c r="S55" s="516">
        <f>R55-T55-U55</f>
        <v/>
      </c>
      <c r="T55" s="500">
        <f>$C$11/$C$7-$BB$16-$BB$21-$BB$26-$BB$31</f>
        <v/>
      </c>
      <c r="U55" s="519">
        <f>$C$12/$C$7-$BB$17-$BB$22-$BB$27-$BB$32</f>
        <v/>
      </c>
      <c r="V55" s="92" t="n"/>
      <c r="W55" s="196" t="n"/>
      <c r="X55" s="92" t="n"/>
      <c r="Y55" s="206" t="n"/>
      <c r="Z55" s="206" t="n"/>
      <c r="AA55" s="206" t="n"/>
      <c r="AB55" s="94" t="n"/>
      <c r="AC55" s="206" t="n"/>
      <c r="AD55" s="206" t="n"/>
      <c r="AE55" s="206" t="n"/>
      <c r="AF55" s="206" t="n"/>
      <c r="AG55" s="94" t="n"/>
      <c r="AH55" s="515">
        <f>$C$57</f>
        <v/>
      </c>
      <c r="AI55" s="516">
        <f>AH55-AJ55-AK55</f>
        <v/>
      </c>
      <c r="AJ55" s="500">
        <f>$C$11/$C$7-$BB$16-$BB$21-$BB$26-$BB$31</f>
        <v/>
      </c>
      <c r="AK55" s="519">
        <f>$C$12/$C$7-$BB$17-$BB$22-$BB$27-$BB$32</f>
        <v/>
      </c>
      <c r="AL55" s="92" t="n"/>
      <c r="AM55" s="196" t="n"/>
      <c r="AN55" s="92" t="n"/>
      <c r="AO55" s="206" t="n"/>
      <c r="AP55" s="206" t="n"/>
      <c r="AQ55" s="206" t="n"/>
      <c r="AR55" s="94" t="n"/>
      <c r="AS55" s="206" t="n"/>
      <c r="AT55" s="206" t="n"/>
      <c r="AU55" s="206" t="n"/>
      <c r="AV55" s="206" t="n"/>
      <c r="AW55" s="94" t="n"/>
    </row>
    <row r="56" ht="17.25" customHeight="1" s="497" thickBot="1">
      <c r="B56" s="294" t="inlineStr">
        <is>
          <t>(최종) 결합 할인 반영 총 구독료 (V+)</t>
        </is>
      </c>
      <c r="C56" s="537">
        <f>+C55*C7</f>
        <v/>
      </c>
      <c r="D56" s="343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$C$33</f>
        <v/>
      </c>
      <c r="O56" s="516">
        <f>N56-P56-Q56</f>
        <v/>
      </c>
      <c r="P56" s="500">
        <f>L56</f>
        <v/>
      </c>
      <c r="Q56" s="519">
        <f>M56</f>
        <v/>
      </c>
      <c r="R56" s="515">
        <f>$C$57</f>
        <v/>
      </c>
      <c r="S56" s="516">
        <f>R56-T56-U56</f>
        <v/>
      </c>
      <c r="T56" s="500">
        <f>$C$11/$C$7-$BB$16-$BB$21-$BB$26-$BB$31</f>
        <v/>
      </c>
      <c r="U56" s="519">
        <f>$C$12/$C$7-$BB$17-$BB$22-$BB$27-$BB$32</f>
        <v/>
      </c>
      <c r="V56" s="92" t="n"/>
      <c r="W56" s="196" t="n"/>
      <c r="X56" s="92" t="n"/>
      <c r="Y56" s="206" t="n"/>
      <c r="Z56" s="206" t="n"/>
      <c r="AA56" s="206" t="n"/>
      <c r="AB56" s="94" t="n"/>
      <c r="AC56" s="206" t="n"/>
      <c r="AD56" s="206" t="n"/>
      <c r="AE56" s="206" t="n"/>
      <c r="AF56" s="206" t="n"/>
      <c r="AG56" s="94" t="n"/>
      <c r="AH56" s="515">
        <f>$C$57</f>
        <v/>
      </c>
      <c r="AI56" s="516">
        <f>AH56-AJ56-AK56</f>
        <v/>
      </c>
      <c r="AJ56" s="500">
        <f>$C$11/$C$7-$BB$16-$BB$21-$BB$26-$BB$31</f>
        <v/>
      </c>
      <c r="AK56" s="519">
        <f>$C$12/$C$7-$BB$17-$BB$22-$BB$27-$BB$32</f>
        <v/>
      </c>
      <c r="AL56" s="92" t="n"/>
      <c r="AM56" s="196" t="n"/>
      <c r="AN56" s="92" t="n"/>
      <c r="AO56" s="206" t="n"/>
      <c r="AP56" s="206" t="n"/>
      <c r="AQ56" s="206" t="n"/>
      <c r="AR56" s="94" t="n"/>
      <c r="AS56" s="206" t="n"/>
      <c r="AT56" s="206" t="n"/>
      <c r="AU56" s="206" t="n"/>
      <c r="AV56" s="206" t="n"/>
      <c r="AW56" s="94" t="n"/>
    </row>
    <row r="57">
      <c r="B57" s="320" t="inlineStr">
        <is>
          <t>(최종) 선납+단품+결합 할인 반영 월 구독료 (V-)</t>
        </is>
      </c>
      <c r="C57" s="542">
        <f>+(C14-C26/1.1-C41-C31-C51)/C7</f>
        <v/>
      </c>
      <c r="D57" s="543">
        <f>+C15-C39-C29-C26/1.1/C7-C49=C57</f>
        <v/>
      </c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$C$33</f>
        <v/>
      </c>
      <c r="O57" s="516">
        <f>N57-P57-Q57</f>
        <v/>
      </c>
      <c r="P57" s="500">
        <f>L57</f>
        <v/>
      </c>
      <c r="Q57" s="519">
        <f>M57</f>
        <v/>
      </c>
      <c r="R57" s="515">
        <f>$C$57</f>
        <v/>
      </c>
      <c r="S57" s="516">
        <f>R57-T57-U57</f>
        <v/>
      </c>
      <c r="T57" s="500">
        <f>$C$11/$C$7-$BB$16-$BB$21-$BB$26-$BB$31</f>
        <v/>
      </c>
      <c r="U57" s="519">
        <f>$C$12/$C$7-$BB$17-$BB$22-$BB$27-$BB$32</f>
        <v/>
      </c>
      <c r="V57" s="92" t="n"/>
      <c r="W57" s="196" t="n"/>
      <c r="X57" s="92" t="n"/>
      <c r="Y57" s="206" t="n"/>
      <c r="Z57" s="206" t="n"/>
      <c r="AA57" s="206" t="n"/>
      <c r="AB57" s="94" t="n"/>
      <c r="AC57" s="206" t="n"/>
      <c r="AD57" s="206" t="n"/>
      <c r="AE57" s="206" t="n"/>
      <c r="AF57" s="206" t="n"/>
      <c r="AG57" s="94" t="n"/>
      <c r="AH57" s="515">
        <f>$C$57</f>
        <v/>
      </c>
      <c r="AI57" s="516">
        <f>AH57-AJ57-AK57</f>
        <v/>
      </c>
      <c r="AJ57" s="500">
        <f>$C$11/$C$7-$BB$16-$BB$21-$BB$26-$BB$31</f>
        <v/>
      </c>
      <c r="AK57" s="519">
        <f>$C$12/$C$7-$BB$17-$BB$22-$BB$27-$BB$32</f>
        <v/>
      </c>
      <c r="AL57" s="92" t="n"/>
      <c r="AM57" s="196" t="n"/>
      <c r="AN57" s="92" t="n"/>
      <c r="AO57" s="206" t="n"/>
      <c r="AP57" s="206" t="n"/>
      <c r="AQ57" s="206" t="n"/>
      <c r="AR57" s="94" t="n"/>
      <c r="AS57" s="206" t="n"/>
      <c r="AT57" s="206" t="n"/>
      <c r="AU57" s="206" t="n"/>
      <c r="AV57" s="206" t="n"/>
      <c r="AW57" s="94" t="n"/>
    </row>
    <row r="58" ht="17.25" customHeight="1" s="497" thickBot="1">
      <c r="B58" s="322" t="inlineStr">
        <is>
          <t>(최종) 선납+단품+결합 할인 반영 총 구독료 (V-)</t>
        </is>
      </c>
      <c r="C58" s="544">
        <f>+C57*C7</f>
        <v/>
      </c>
      <c r="D58" s="343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$C$33</f>
        <v/>
      </c>
      <c r="O58" s="516">
        <f>N58-P58-Q58</f>
        <v/>
      </c>
      <c r="P58" s="500">
        <f>L58</f>
        <v/>
      </c>
      <c r="Q58" s="519">
        <f>M58</f>
        <v/>
      </c>
      <c r="R58" s="515">
        <f>$C$57</f>
        <v/>
      </c>
      <c r="S58" s="516">
        <f>R58-T58-U58</f>
        <v/>
      </c>
      <c r="T58" s="500">
        <f>$C$11/$C$7-$BB$16-$BB$21-$BB$26-$BB$31</f>
        <v/>
      </c>
      <c r="U58" s="519">
        <f>$C$12/$C$7-$BB$17-$BB$22-$BB$27-$BB$32</f>
        <v/>
      </c>
      <c r="V58" s="92" t="n"/>
      <c r="W58" s="196" t="n"/>
      <c r="X58" s="92" t="n"/>
      <c r="Y58" s="206" t="n"/>
      <c r="Z58" s="206" t="n"/>
      <c r="AA58" s="206" t="n"/>
      <c r="AB58" s="94" t="n"/>
      <c r="AC58" s="206" t="n"/>
      <c r="AD58" s="206" t="n"/>
      <c r="AE58" s="206" t="n"/>
      <c r="AF58" s="206" t="n"/>
      <c r="AG58" s="94" t="n"/>
      <c r="AH58" s="515">
        <f>$C$57</f>
        <v/>
      </c>
      <c r="AI58" s="516">
        <f>AH58-AJ58-AK58</f>
        <v/>
      </c>
      <c r="AJ58" s="500">
        <f>$C$11/$C$7-$BB$16-$BB$21-$BB$26-$BB$31</f>
        <v/>
      </c>
      <c r="AK58" s="519">
        <f>$C$12/$C$7-$BB$17-$BB$22-$BB$27-$BB$32</f>
        <v/>
      </c>
      <c r="AL58" s="92" t="n"/>
      <c r="AM58" s="196" t="n"/>
      <c r="AN58" s="92" t="n"/>
      <c r="AO58" s="206" t="n"/>
      <c r="AP58" s="206" t="n"/>
      <c r="AQ58" s="206" t="n"/>
      <c r="AR58" s="94" t="n"/>
      <c r="AS58" s="206" t="n"/>
      <c r="AT58" s="206" t="n"/>
      <c r="AU58" s="206" t="n"/>
      <c r="AV58" s="206" t="n"/>
      <c r="AW58" s="94" t="n"/>
    </row>
    <row r="59">
      <c r="B59" s="324" t="inlineStr">
        <is>
          <t>(최종) 선납+단품+결합 할인 반영 월 구독료 (V+)</t>
        </is>
      </c>
      <c r="C59" s="545">
        <f>+C57*1.1</f>
        <v/>
      </c>
      <c r="D59" s="343">
        <f>+C15*1.1-C30-C40-C26/C7-C50=C59</f>
        <v/>
      </c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$C$33</f>
        <v/>
      </c>
      <c r="O59" s="516">
        <f>N59-P59-Q59</f>
        <v/>
      </c>
      <c r="P59" s="500">
        <f>L59</f>
        <v/>
      </c>
      <c r="Q59" s="519">
        <f>M59</f>
        <v/>
      </c>
      <c r="R59" s="515">
        <f>$C$57</f>
        <v/>
      </c>
      <c r="S59" s="516">
        <f>R59-T59-U59</f>
        <v/>
      </c>
      <c r="T59" s="500">
        <f>$C$11/$C$7-$BB$16-$BB$21-$BB$26-$BB$31</f>
        <v/>
      </c>
      <c r="U59" s="519">
        <f>$C$12/$C$7-$BB$17-$BB$22-$BB$27-$BB$32</f>
        <v/>
      </c>
      <c r="V59" s="92" t="n"/>
      <c r="W59" s="196" t="n"/>
      <c r="X59" s="92" t="n"/>
      <c r="Y59" s="206" t="n"/>
      <c r="Z59" s="206" t="n"/>
      <c r="AA59" s="206" t="n"/>
      <c r="AB59" s="94" t="n"/>
      <c r="AC59" s="206" t="n"/>
      <c r="AD59" s="206" t="n"/>
      <c r="AE59" s="206" t="n"/>
      <c r="AF59" s="206" t="n"/>
      <c r="AG59" s="94" t="n"/>
      <c r="AH59" s="515">
        <f>$C$57</f>
        <v/>
      </c>
      <c r="AI59" s="516">
        <f>AH59-AJ59-AK59</f>
        <v/>
      </c>
      <c r="AJ59" s="500">
        <f>$C$11/$C$7-$BB$16-$BB$21-$BB$26-$BB$31</f>
        <v/>
      </c>
      <c r="AK59" s="519">
        <f>$C$12/$C$7-$BB$17-$BB$22-$BB$27-$BB$32</f>
        <v/>
      </c>
      <c r="AL59" s="92" t="n"/>
      <c r="AM59" s="196" t="n"/>
      <c r="AN59" s="92" t="n"/>
      <c r="AO59" s="206" t="n"/>
      <c r="AP59" s="206" t="n"/>
      <c r="AQ59" s="206" t="n"/>
      <c r="AR59" s="94" t="n"/>
      <c r="AS59" s="206" t="n"/>
      <c r="AT59" s="206" t="n"/>
      <c r="AU59" s="206" t="n"/>
      <c r="AV59" s="206" t="n"/>
      <c r="AW59" s="94" t="n"/>
    </row>
    <row r="60" ht="17.25" customHeight="1" s="497" thickBot="1">
      <c r="B60" s="322" t="inlineStr">
        <is>
          <t>(최종) 선납+단품+결합 할인 반영 총 구독료 (V+)</t>
        </is>
      </c>
      <c r="C60" s="544">
        <f>+C59*C7</f>
        <v/>
      </c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$C$33</f>
        <v/>
      </c>
      <c r="O60" s="516">
        <f>N60-P60-Q60</f>
        <v/>
      </c>
      <c r="P60" s="500">
        <f>L60</f>
        <v/>
      </c>
      <c r="Q60" s="519">
        <f>M60</f>
        <v/>
      </c>
      <c r="R60" s="515">
        <f>$C$57</f>
        <v/>
      </c>
      <c r="S60" s="516">
        <f>R60-T60-U60</f>
        <v/>
      </c>
      <c r="T60" s="500">
        <f>$C$11/$C$7-$BB$16-$BB$21-$BB$26-$BB$31</f>
        <v/>
      </c>
      <c r="U60" s="519">
        <f>$C$12/$C$7-$BB$17-$BB$22-$BB$27-$BB$32</f>
        <v/>
      </c>
      <c r="V60" s="92" t="n"/>
      <c r="W60" s="196" t="n"/>
      <c r="X60" s="92" t="n"/>
      <c r="Y60" s="206" t="n"/>
      <c r="Z60" s="206" t="n"/>
      <c r="AA60" s="206" t="n"/>
      <c r="AB60" s="94" t="n"/>
      <c r="AC60" s="206" t="n"/>
      <c r="AD60" s="206" t="n"/>
      <c r="AE60" s="206" t="n"/>
      <c r="AF60" s="206" t="n"/>
      <c r="AG60" s="94" t="n"/>
      <c r="AH60" s="515">
        <f>$C$57</f>
        <v/>
      </c>
      <c r="AI60" s="516">
        <f>AH60-AJ60-AK60</f>
        <v/>
      </c>
      <c r="AJ60" s="500">
        <f>$C$11/$C$7-$BB$16-$BB$21-$BB$26-$BB$31</f>
        <v/>
      </c>
      <c r="AK60" s="519">
        <f>$C$12/$C$7-$BB$17-$BB$22-$BB$27-$BB$32</f>
        <v/>
      </c>
      <c r="AL60" s="92" t="n"/>
      <c r="AM60" s="196" t="n"/>
      <c r="AN60" s="92" t="n"/>
      <c r="AO60" s="206" t="n"/>
      <c r="AP60" s="206" t="n"/>
      <c r="AQ60" s="206" t="n"/>
      <c r="AR60" s="94" t="n"/>
      <c r="AS60" s="206" t="n"/>
      <c r="AT60" s="206" t="n"/>
      <c r="AU60" s="206" t="n"/>
      <c r="AV60" s="206" t="n"/>
      <c r="AW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$C$33</f>
        <v/>
      </c>
      <c r="O61" s="516">
        <f>N61-P61-Q61</f>
        <v/>
      </c>
      <c r="P61" s="500">
        <f>L61</f>
        <v/>
      </c>
      <c r="Q61" s="519">
        <f>M61</f>
        <v/>
      </c>
      <c r="R61" s="515">
        <f>$C$57</f>
        <v/>
      </c>
      <c r="S61" s="516">
        <f>R61-T61-U61</f>
        <v/>
      </c>
      <c r="T61" s="500">
        <f>$C$11/$C$7-$BB$16-$BB$21-$BB$26-$BB$31</f>
        <v/>
      </c>
      <c r="U61" s="519">
        <f>$C$12/$C$7-$BB$17-$BB$22-$BB$27-$BB$32</f>
        <v/>
      </c>
      <c r="V61" s="92" t="n"/>
      <c r="W61" s="196" t="n"/>
      <c r="X61" s="92" t="n"/>
      <c r="Y61" s="206" t="n"/>
      <c r="Z61" s="206" t="n"/>
      <c r="AA61" s="206" t="n"/>
      <c r="AB61" s="94" t="n"/>
      <c r="AC61" s="206" t="n"/>
      <c r="AD61" s="206" t="n"/>
      <c r="AE61" s="206" t="n"/>
      <c r="AF61" s="206" t="n"/>
      <c r="AG61" s="94" t="n"/>
      <c r="AH61" s="515">
        <f>$C$57</f>
        <v/>
      </c>
      <c r="AI61" s="516">
        <f>AH61-AJ61-AK61</f>
        <v/>
      </c>
      <c r="AJ61" s="500">
        <f>$C$11/$C$7-$BB$16-$BB$21-$BB$26-$BB$31</f>
        <v/>
      </c>
      <c r="AK61" s="519">
        <f>$C$12/$C$7-$BB$17-$BB$22-$BB$27-$BB$32</f>
        <v/>
      </c>
      <c r="AL61" s="92" t="n"/>
      <c r="AM61" s="196" t="n"/>
      <c r="AN61" s="92" t="n"/>
      <c r="AO61" s="206" t="n"/>
      <c r="AP61" s="206" t="n"/>
      <c r="AQ61" s="206" t="n"/>
      <c r="AR61" s="94" t="n"/>
      <c r="AS61" s="206" t="n"/>
      <c r="AT61" s="206" t="n"/>
      <c r="AU61" s="206" t="n"/>
      <c r="AV61" s="206" t="n"/>
      <c r="AW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$C$33</f>
        <v/>
      </c>
      <c r="O62" s="516">
        <f>N62-P62-Q62</f>
        <v/>
      </c>
      <c r="P62" s="500">
        <f>L62</f>
        <v/>
      </c>
      <c r="Q62" s="519">
        <f>M62</f>
        <v/>
      </c>
      <c r="R62" s="515">
        <f>$C$57</f>
        <v/>
      </c>
      <c r="S62" s="516">
        <f>R62-T62-U62</f>
        <v/>
      </c>
      <c r="T62" s="500">
        <f>$C$11/$C$7-$BB$16-$BB$21-$BB$26-$BB$31</f>
        <v/>
      </c>
      <c r="U62" s="519">
        <f>$C$12/$C$7-$BB$17-$BB$22-$BB$27-$BB$32</f>
        <v/>
      </c>
      <c r="V62" s="92" t="n"/>
      <c r="W62" s="196" t="n"/>
      <c r="X62" s="92" t="n"/>
      <c r="Y62" s="206" t="n"/>
      <c r="Z62" s="206" t="n"/>
      <c r="AA62" s="206" t="n"/>
      <c r="AB62" s="94" t="n"/>
      <c r="AC62" s="206" t="n"/>
      <c r="AD62" s="206" t="n"/>
      <c r="AE62" s="206" t="n"/>
      <c r="AF62" s="206" t="n"/>
      <c r="AG62" s="94" t="n"/>
      <c r="AH62" s="515">
        <f>$C$57</f>
        <v/>
      </c>
      <c r="AI62" s="516">
        <f>AH62-AJ62-AK62</f>
        <v/>
      </c>
      <c r="AJ62" s="500">
        <f>$C$11/$C$7-$BB$16-$BB$21-$BB$26-$BB$31</f>
        <v/>
      </c>
      <c r="AK62" s="519">
        <f>$C$12/$C$7-$BB$17-$BB$22-$BB$27-$BB$32</f>
        <v/>
      </c>
      <c r="AL62" s="92" t="n"/>
      <c r="AM62" s="196" t="n"/>
      <c r="AN62" s="92" t="n"/>
      <c r="AO62" s="206" t="n"/>
      <c r="AP62" s="206" t="n"/>
      <c r="AQ62" s="206" t="n"/>
      <c r="AR62" s="94" t="n"/>
      <c r="AS62" s="206" t="n"/>
      <c r="AT62" s="206" t="n"/>
      <c r="AU62" s="206" t="n"/>
      <c r="AV62" s="206" t="n"/>
      <c r="AW62" s="94" t="n"/>
    </row>
    <row r="63">
      <c r="C63" s="505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$C$33</f>
        <v/>
      </c>
      <c r="O63" s="516">
        <f>N63-P63-Q63</f>
        <v/>
      </c>
      <c r="P63" s="500">
        <f>L63</f>
        <v/>
      </c>
      <c r="Q63" s="519">
        <f>M63</f>
        <v/>
      </c>
      <c r="R63" s="515">
        <f>$C$57</f>
        <v/>
      </c>
      <c r="S63" s="516">
        <f>R63-T63-U63</f>
        <v/>
      </c>
      <c r="T63" s="500">
        <f>$C$11/$C$7-$BB$16-$BB$21-$BB$26-$BB$31</f>
        <v/>
      </c>
      <c r="U63" s="519">
        <f>$C$12/$C$7-$BB$17-$BB$22-$BB$27-$BB$32</f>
        <v/>
      </c>
      <c r="V63" s="92" t="n"/>
      <c r="W63" s="196" t="n"/>
      <c r="X63" s="92" t="n"/>
      <c r="Y63" s="206" t="n"/>
      <c r="Z63" s="206" t="n"/>
      <c r="AA63" s="206" t="n"/>
      <c r="AB63" s="94" t="n"/>
      <c r="AC63" s="206" t="n"/>
      <c r="AD63" s="206" t="n"/>
      <c r="AE63" s="206" t="n"/>
      <c r="AF63" s="206" t="n"/>
      <c r="AG63" s="94" t="n"/>
      <c r="AH63" s="515">
        <f>$C$57</f>
        <v/>
      </c>
      <c r="AI63" s="516">
        <f>AH63-AJ63-AK63</f>
        <v/>
      </c>
      <c r="AJ63" s="500">
        <f>$C$11/$C$7-$BB$16-$BB$21-$BB$26-$BB$31</f>
        <v/>
      </c>
      <c r="AK63" s="519">
        <f>$C$12/$C$7-$BB$17-$BB$22-$BB$27-$BB$32</f>
        <v/>
      </c>
      <c r="AL63" s="92" t="n"/>
      <c r="AM63" s="196" t="n"/>
      <c r="AN63" s="92" t="n"/>
      <c r="AO63" s="206" t="n"/>
      <c r="AP63" s="206" t="n"/>
      <c r="AQ63" s="206" t="n"/>
      <c r="AR63" s="94" t="n"/>
      <c r="AS63" s="206" t="n"/>
      <c r="AT63" s="206" t="n"/>
      <c r="AU63" s="206" t="n"/>
      <c r="AV63" s="206" t="n"/>
      <c r="AW63" s="94" t="n"/>
    </row>
    <row r="64">
      <c r="B64" s="9" t="inlineStr">
        <is>
          <t>선납+단품+결합 할인 반영 순수 구독료 (V-)</t>
        </is>
      </c>
      <c r="C64" s="506">
        <f>C58-C11-C12+SUM(BB16:BB17,BB21:BB22,BB26:BB27,BB31:BB32)*C7</f>
        <v/>
      </c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$C$33</f>
        <v/>
      </c>
      <c r="O64" s="516">
        <f>N64-P64-Q64</f>
        <v/>
      </c>
      <c r="P64" s="500">
        <f>L64</f>
        <v/>
      </c>
      <c r="Q64" s="519">
        <f>M64</f>
        <v/>
      </c>
      <c r="R64" s="515">
        <f>$C$57</f>
        <v/>
      </c>
      <c r="S64" s="516">
        <f>R64-T64-U64</f>
        <v/>
      </c>
      <c r="T64" s="500">
        <f>$C$11/$C$7-$BB$16-$BB$21-$BB$26-$BB$31</f>
        <v/>
      </c>
      <c r="U64" s="519">
        <f>$C$12/$C$7-$BB$17-$BB$22-$BB$27-$BB$32</f>
        <v/>
      </c>
      <c r="V64" s="92" t="n"/>
      <c r="W64" s="196" t="n"/>
      <c r="X64" s="92" t="n"/>
      <c r="Y64" s="206" t="n"/>
      <c r="Z64" s="206" t="n"/>
      <c r="AA64" s="206" t="n"/>
      <c r="AB64" s="94" t="n"/>
      <c r="AC64" s="206" t="n"/>
      <c r="AD64" s="206" t="n"/>
      <c r="AE64" s="206" t="n"/>
      <c r="AF64" s="206" t="n"/>
      <c r="AG64" s="94" t="n"/>
      <c r="AH64" s="515">
        <f>$C$57</f>
        <v/>
      </c>
      <c r="AI64" s="516">
        <f>AH64-AJ64-AK64</f>
        <v/>
      </c>
      <c r="AJ64" s="500">
        <f>$C$11/$C$7-$BB$16-$BB$21-$BB$26-$BB$31</f>
        <v/>
      </c>
      <c r="AK64" s="519">
        <f>$C$12/$C$7-$BB$17-$BB$22-$BB$27-$BB$32</f>
        <v/>
      </c>
      <c r="AL64" s="92" t="n"/>
      <c r="AM64" s="196" t="n"/>
      <c r="AN64" s="92" t="n"/>
      <c r="AO64" s="206" t="n"/>
      <c r="AP64" s="206" t="n"/>
      <c r="AQ64" s="206" t="n"/>
      <c r="AR64" s="94" t="n"/>
      <c r="AS64" s="206" t="n"/>
      <c r="AT64" s="206" t="n"/>
      <c r="AU64" s="206" t="n"/>
      <c r="AV64" s="206" t="n"/>
      <c r="AW64" s="94" t="n"/>
    </row>
    <row r="65">
      <c r="B65" s="9" t="inlineStr">
        <is>
          <t>선납+단품+결합 할인 반영 순수 구독료 월할 (V-)</t>
        </is>
      </c>
      <c r="C65" s="506">
        <f>C64/C7</f>
        <v/>
      </c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$C$33</f>
        <v/>
      </c>
      <c r="O65" s="516">
        <f>N65-P65-Q65</f>
        <v/>
      </c>
      <c r="P65" s="500">
        <f>L65</f>
        <v/>
      </c>
      <c r="Q65" s="519">
        <f>M65</f>
        <v/>
      </c>
      <c r="R65" s="515">
        <f>$C$57</f>
        <v/>
      </c>
      <c r="S65" s="516">
        <f>R65-T65-U65</f>
        <v/>
      </c>
      <c r="T65" s="500">
        <f>$C$11/$C$7-$BB$16-$BB$21-$BB$26-$BB$31</f>
        <v/>
      </c>
      <c r="U65" s="519">
        <f>$C$12/$C$7-$BB$17-$BB$22-$BB$27-$BB$32</f>
        <v/>
      </c>
      <c r="V65" s="92" t="n"/>
      <c r="W65" s="196" t="n"/>
      <c r="X65" s="92" t="n"/>
      <c r="Y65" s="206" t="n"/>
      <c r="Z65" s="206" t="n"/>
      <c r="AA65" s="206" t="n"/>
      <c r="AB65" s="94" t="n"/>
      <c r="AC65" s="206" t="n"/>
      <c r="AD65" s="206" t="n"/>
      <c r="AE65" s="206" t="n"/>
      <c r="AF65" s="206" t="n"/>
      <c r="AG65" s="94" t="n"/>
      <c r="AH65" s="515">
        <f>$C$57</f>
        <v/>
      </c>
      <c r="AI65" s="516">
        <f>AH65-AJ65-AK65</f>
        <v/>
      </c>
      <c r="AJ65" s="500">
        <f>$C$11/$C$7-$BB$16-$BB$21-$BB$26-$BB$31</f>
        <v/>
      </c>
      <c r="AK65" s="519">
        <f>$C$12/$C$7-$BB$17-$BB$22-$BB$27-$BB$32</f>
        <v/>
      </c>
      <c r="AL65" s="92" t="n"/>
      <c r="AM65" s="196" t="n"/>
      <c r="AN65" s="92" t="n"/>
      <c r="AO65" s="206" t="n"/>
      <c r="AP65" s="206" t="n"/>
      <c r="AQ65" s="206" t="n"/>
      <c r="AR65" s="94" t="n"/>
      <c r="AS65" s="206" t="n"/>
      <c r="AT65" s="206" t="n"/>
      <c r="AU65" s="206" t="n"/>
      <c r="AV65" s="206" t="n"/>
      <c r="AW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$C$33</f>
        <v/>
      </c>
      <c r="O66" s="516">
        <f>N66-P66-Q66</f>
        <v/>
      </c>
      <c r="P66" s="500">
        <f>L66</f>
        <v/>
      </c>
      <c r="Q66" s="519">
        <f>M66</f>
        <v/>
      </c>
      <c r="R66" s="515">
        <f>$C$57</f>
        <v/>
      </c>
      <c r="S66" s="516">
        <f>R66-T66-U66</f>
        <v/>
      </c>
      <c r="T66" s="500">
        <f>$C$11/$C$7-$BB$16-$BB$21-$BB$26-$BB$31</f>
        <v/>
      </c>
      <c r="U66" s="519">
        <f>$C$12/$C$7-$BB$17-$BB$22-$BB$27-$BB$32</f>
        <v/>
      </c>
      <c r="V66" s="92" t="n"/>
      <c r="W66" s="196" t="n"/>
      <c r="X66" s="92" t="n"/>
      <c r="Y66" s="206" t="n"/>
      <c r="Z66" s="206" t="n"/>
      <c r="AA66" s="206" t="n"/>
      <c r="AB66" s="94" t="n"/>
      <c r="AC66" s="206" t="n"/>
      <c r="AD66" s="206" t="n"/>
      <c r="AE66" s="206" t="n"/>
      <c r="AF66" s="206" t="n"/>
      <c r="AG66" s="94" t="n"/>
      <c r="AH66" s="515">
        <f>$C$57</f>
        <v/>
      </c>
      <c r="AI66" s="516">
        <f>AH66-AJ66-AK66</f>
        <v/>
      </c>
      <c r="AJ66" s="500">
        <f>$C$11/$C$7-$BB$16-$BB$21-$BB$26-$BB$31</f>
        <v/>
      </c>
      <c r="AK66" s="519">
        <f>$C$12/$C$7-$BB$17-$BB$22-$BB$27-$BB$32</f>
        <v/>
      </c>
      <c r="AL66" s="92" t="n"/>
      <c r="AM66" s="196" t="n"/>
      <c r="AN66" s="92" t="n"/>
      <c r="AO66" s="206" t="n"/>
      <c r="AP66" s="206" t="n"/>
      <c r="AQ66" s="206" t="n"/>
      <c r="AR66" s="94" t="n"/>
      <c r="AS66" s="206" t="n"/>
      <c r="AT66" s="206" t="n"/>
      <c r="AU66" s="206" t="n"/>
      <c r="AV66" s="206" t="n"/>
      <c r="AW66" s="94" t="n"/>
    </row>
    <row r="67">
      <c r="C67" s="505">
        <f>(C15*1.1)*5%/1.1</f>
        <v/>
      </c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$C$33</f>
        <v/>
      </c>
      <c r="O67" s="516">
        <f>N67-P67-Q67</f>
        <v/>
      </c>
      <c r="P67" s="500">
        <f>L67</f>
        <v/>
      </c>
      <c r="Q67" s="519">
        <f>M67</f>
        <v/>
      </c>
      <c r="R67" s="515">
        <f>$C$57</f>
        <v/>
      </c>
      <c r="S67" s="516">
        <f>R67-T67-U67</f>
        <v/>
      </c>
      <c r="T67" s="500">
        <f>$C$11/$C$7-$BB$16-$BB$21-$BB$26-$BB$31</f>
        <v/>
      </c>
      <c r="U67" s="519">
        <f>$C$12/$C$7-$BB$17-$BB$22-$BB$27-$BB$32</f>
        <v/>
      </c>
      <c r="V67" s="92" t="n"/>
      <c r="W67" s="196" t="n"/>
      <c r="X67" s="92" t="n"/>
      <c r="Y67" s="206" t="n"/>
      <c r="Z67" s="206" t="n"/>
      <c r="AA67" s="206" t="n"/>
      <c r="AB67" s="94" t="n"/>
      <c r="AC67" s="206" t="n"/>
      <c r="AD67" s="206" t="n"/>
      <c r="AE67" s="206" t="n"/>
      <c r="AF67" s="206" t="n"/>
      <c r="AG67" s="94" t="n"/>
      <c r="AH67" s="515">
        <f>$C$57</f>
        <v/>
      </c>
      <c r="AI67" s="516">
        <f>AH67-AJ67-AK67</f>
        <v/>
      </c>
      <c r="AJ67" s="500">
        <f>$C$11/$C$7-$BB$16-$BB$21-$BB$26-$BB$31</f>
        <v/>
      </c>
      <c r="AK67" s="519">
        <f>$C$12/$C$7-$BB$17-$BB$22-$BB$27-$BB$32</f>
        <v/>
      </c>
      <c r="AL67" s="92" t="n"/>
      <c r="AM67" s="196" t="n"/>
      <c r="AN67" s="92" t="n"/>
      <c r="AO67" s="206" t="n"/>
      <c r="AP67" s="206" t="n"/>
      <c r="AQ67" s="206" t="n"/>
      <c r="AR67" s="94" t="n"/>
      <c r="AS67" s="206" t="n"/>
      <c r="AT67" s="206" t="n"/>
      <c r="AU67" s="206" t="n"/>
      <c r="AV67" s="206" t="n"/>
      <c r="AW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$C$33</f>
        <v/>
      </c>
      <c r="O68" s="516">
        <f>N68-P68-Q68</f>
        <v/>
      </c>
      <c r="P68" s="500">
        <f>L68</f>
        <v/>
      </c>
      <c r="Q68" s="519">
        <f>M68</f>
        <v/>
      </c>
      <c r="R68" s="515">
        <f>$C$57</f>
        <v/>
      </c>
      <c r="S68" s="516">
        <f>R68-T68-U68</f>
        <v/>
      </c>
      <c r="T68" s="500">
        <f>$C$11/$C$7-$BB$16-$BB$21-$BB$26-$BB$31</f>
        <v/>
      </c>
      <c r="U68" s="519">
        <f>$C$12/$C$7-$BB$17-$BB$22-$BB$27-$BB$32</f>
        <v/>
      </c>
      <c r="V68" s="92" t="n"/>
      <c r="W68" s="196" t="n"/>
      <c r="X68" s="92" t="n"/>
      <c r="Y68" s="206" t="n"/>
      <c r="Z68" s="206" t="n"/>
      <c r="AA68" s="206" t="n"/>
      <c r="AB68" s="94" t="n"/>
      <c r="AC68" s="206" t="n"/>
      <c r="AD68" s="206" t="n"/>
      <c r="AE68" s="206" t="n"/>
      <c r="AF68" s="206" t="n"/>
      <c r="AG68" s="94" t="n"/>
      <c r="AH68" s="515">
        <f>$C$57</f>
        <v/>
      </c>
      <c r="AI68" s="516">
        <f>AH68-AJ68-AK68</f>
        <v/>
      </c>
      <c r="AJ68" s="500">
        <f>$C$11/$C$7-$BB$16-$BB$21-$BB$26-$BB$31</f>
        <v/>
      </c>
      <c r="AK68" s="519">
        <f>$C$12/$C$7-$BB$17-$BB$22-$BB$27-$BB$32</f>
        <v/>
      </c>
      <c r="AL68" s="92" t="n"/>
      <c r="AM68" s="196" t="n"/>
      <c r="AN68" s="92" t="n"/>
      <c r="AO68" s="206" t="n"/>
      <c r="AP68" s="206" t="n"/>
      <c r="AQ68" s="206" t="n"/>
      <c r="AR68" s="94" t="n"/>
      <c r="AS68" s="206" t="n"/>
      <c r="AT68" s="206" t="n"/>
      <c r="AU68" s="206" t="n"/>
      <c r="AV68" s="206" t="n"/>
      <c r="AW68" s="94" t="n"/>
    </row>
    <row r="69" ht="17.25" customHeight="1" s="497" thickBot="1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$C$33</f>
        <v/>
      </c>
      <c r="O69" s="516">
        <f>N69-P69-Q69</f>
        <v/>
      </c>
      <c r="P69" s="500">
        <f>L69</f>
        <v/>
      </c>
      <c r="Q69" s="519">
        <f>M69</f>
        <v/>
      </c>
      <c r="R69" s="515">
        <f>$C$57</f>
        <v/>
      </c>
      <c r="S69" s="516">
        <f>R69-T69-U69</f>
        <v/>
      </c>
      <c r="T69" s="500">
        <f>$C$11/$C$7-$BB$16-$BB$21-$BB$26-$BB$31</f>
        <v/>
      </c>
      <c r="U69" s="519">
        <f>$C$12/$C$7-$BB$17-$BB$22-$BB$27-$BB$32</f>
        <v/>
      </c>
      <c r="V69" s="92" t="n"/>
      <c r="W69" s="196" t="n"/>
      <c r="X69" s="92" t="n"/>
      <c r="Y69" s="206" t="n"/>
      <c r="Z69" s="206" t="n"/>
      <c r="AA69" s="206" t="n"/>
      <c r="AB69" s="94" t="n"/>
      <c r="AC69" s="206" t="n"/>
      <c r="AD69" s="206" t="n"/>
      <c r="AE69" s="206" t="n"/>
      <c r="AF69" s="206" t="n"/>
      <c r="AG69" s="94" t="n"/>
      <c r="AH69" s="515">
        <f>$C$57</f>
        <v/>
      </c>
      <c r="AI69" s="516">
        <f>AH69-AJ69-AK69</f>
        <v/>
      </c>
      <c r="AJ69" s="500">
        <f>$C$11/$C$7-$BB$16-$BB$21-$BB$26-$BB$31</f>
        <v/>
      </c>
      <c r="AK69" s="519">
        <f>$C$12/$C$7-$BB$17-$BB$22-$BB$27-$BB$32</f>
        <v/>
      </c>
      <c r="AL69" s="92" t="n"/>
      <c r="AM69" s="196" t="n"/>
      <c r="AN69" s="92" t="n"/>
      <c r="AO69" s="206" t="n"/>
      <c r="AP69" s="206" t="n"/>
      <c r="AQ69" s="206" t="n"/>
      <c r="AR69" s="94" t="n"/>
      <c r="AS69" s="206" t="n"/>
      <c r="AT69" s="206" t="n"/>
      <c r="AU69" s="206" t="n"/>
      <c r="AV69" s="206" t="n"/>
      <c r="AW69" s="94" t="n"/>
    </row>
    <row r="70" ht="17.25" customHeight="1" s="497" thickBot="1">
      <c r="B70" s="416" t="inlineStr">
        <is>
          <t>N개월차 월 할인금(V+)</t>
        </is>
      </c>
      <c r="C70" s="656">
        <f>+C57</f>
        <v/>
      </c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$C$33</f>
        <v/>
      </c>
      <c r="O70" s="516">
        <f>N70-P70-Q70</f>
        <v/>
      </c>
      <c r="P70" s="500">
        <f>L70</f>
        <v/>
      </c>
      <c r="Q70" s="519">
        <f>M70</f>
        <v/>
      </c>
      <c r="R70" s="515">
        <f>$C$57</f>
        <v/>
      </c>
      <c r="S70" s="516">
        <f>R70-T70-U70</f>
        <v/>
      </c>
      <c r="T70" s="500">
        <f>$C$11/$C$7-$BB$16-$BB$21-$BB$26-$BB$31</f>
        <v/>
      </c>
      <c r="U70" s="519">
        <f>$C$12/$C$7-$BB$17-$BB$22-$BB$27-$BB$32</f>
        <v/>
      </c>
      <c r="V70" s="92" t="n"/>
      <c r="W70" s="196" t="n"/>
      <c r="X70" s="92" t="n"/>
      <c r="Y70" s="206" t="n"/>
      <c r="Z70" s="206" t="n"/>
      <c r="AA70" s="206" t="n"/>
      <c r="AB70" s="94" t="n"/>
      <c r="AC70" s="206" t="n"/>
      <c r="AD70" s="206" t="n"/>
      <c r="AE70" s="206" t="n"/>
      <c r="AF70" s="206" t="n"/>
      <c r="AG70" s="94" t="n"/>
      <c r="AH70" s="515">
        <f>$C$57</f>
        <v/>
      </c>
      <c r="AI70" s="516">
        <f>AH70-AJ70-AK70</f>
        <v/>
      </c>
      <c r="AJ70" s="500">
        <f>$C$11/$C$7-$BB$16-$BB$21-$BB$26-$BB$31</f>
        <v/>
      </c>
      <c r="AK70" s="519">
        <f>$C$12/$C$7-$BB$17-$BB$22-$BB$27-$BB$32</f>
        <v/>
      </c>
      <c r="AL70" s="92" t="n"/>
      <c r="AM70" s="196" t="n"/>
      <c r="AN70" s="92" t="n"/>
      <c r="AO70" s="206" t="n"/>
      <c r="AP70" s="206" t="n"/>
      <c r="AQ70" s="206" t="n"/>
      <c r="AR70" s="94" t="n"/>
      <c r="AS70" s="206" t="n"/>
      <c r="AT70" s="206" t="n"/>
      <c r="AU70" s="206" t="n"/>
      <c r="AV70" s="206" t="n"/>
      <c r="AW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$C$33</f>
        <v/>
      </c>
      <c r="O71" s="516">
        <f>N71-P71-Q71</f>
        <v/>
      </c>
      <c r="P71" s="500">
        <f>L71</f>
        <v/>
      </c>
      <c r="Q71" s="519">
        <f>M71</f>
        <v/>
      </c>
      <c r="R71" s="515">
        <f>$C$57</f>
        <v/>
      </c>
      <c r="S71" s="516">
        <f>R71-T71-U71</f>
        <v/>
      </c>
      <c r="T71" s="500">
        <f>$C$11/$C$7-$BB$16-$BB$21-$BB$26-$BB$31</f>
        <v/>
      </c>
      <c r="U71" s="519">
        <f>$C$12/$C$7-$BB$17-$BB$22-$BB$27-$BB$32</f>
        <v/>
      </c>
      <c r="V71" s="92" t="n"/>
      <c r="W71" s="196" t="n"/>
      <c r="X71" s="92" t="n"/>
      <c r="Y71" s="206" t="n"/>
      <c r="Z71" s="206" t="n"/>
      <c r="AA71" s="206" t="n"/>
      <c r="AB71" s="94" t="n"/>
      <c r="AC71" s="206" t="n"/>
      <c r="AD71" s="206" t="n"/>
      <c r="AE71" s="206" t="n"/>
      <c r="AF71" s="206" t="n"/>
      <c r="AG71" s="94" t="n"/>
      <c r="AH71" s="515">
        <f>$C$57</f>
        <v/>
      </c>
      <c r="AI71" s="516">
        <f>AH71-AJ71-AK71</f>
        <v/>
      </c>
      <c r="AJ71" s="500">
        <f>$C$11/$C$7-$BB$16-$BB$21-$BB$26-$BB$31</f>
        <v/>
      </c>
      <c r="AK71" s="519">
        <f>$C$12/$C$7-$BB$17-$BB$22-$BB$27-$BB$32</f>
        <v/>
      </c>
      <c r="AL71" s="92" t="n"/>
      <c r="AM71" s="196" t="n"/>
      <c r="AN71" s="92" t="n"/>
      <c r="AO71" s="206" t="n"/>
      <c r="AP71" s="206" t="n"/>
      <c r="AQ71" s="206" t="n"/>
      <c r="AR71" s="94" t="n"/>
      <c r="AS71" s="206" t="n"/>
      <c r="AT71" s="206" t="n"/>
      <c r="AU71" s="206" t="n"/>
      <c r="AV71" s="206" t="n"/>
      <c r="AW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$C$33</f>
        <v/>
      </c>
      <c r="O72" s="516">
        <f>N72-P72-Q72</f>
        <v/>
      </c>
      <c r="P72" s="500">
        <f>L72</f>
        <v/>
      </c>
      <c r="Q72" s="519">
        <f>M72</f>
        <v/>
      </c>
      <c r="R72" s="515">
        <f>$C$57</f>
        <v/>
      </c>
      <c r="S72" s="516">
        <f>R72-T72-U72</f>
        <v/>
      </c>
      <c r="T72" s="500">
        <f>$C$11/$C$7-$BB$16-$BB$21-$BB$26-$BB$31</f>
        <v/>
      </c>
      <c r="U72" s="519">
        <f>$C$12/$C$7-$BB$17-$BB$22-$BB$27-$BB$32</f>
        <v/>
      </c>
      <c r="V72" s="92" t="n"/>
      <c r="W72" s="196" t="n"/>
      <c r="X72" s="92" t="n"/>
      <c r="Y72" s="206" t="n"/>
      <c r="Z72" s="206" t="n"/>
      <c r="AA72" s="206" t="n"/>
      <c r="AB72" s="94" t="n"/>
      <c r="AC72" s="206" t="n"/>
      <c r="AD72" s="206" t="n"/>
      <c r="AE72" s="206" t="n"/>
      <c r="AF72" s="206" t="n"/>
      <c r="AG72" s="94" t="n"/>
      <c r="AH72" s="515">
        <f>$C$57</f>
        <v/>
      </c>
      <c r="AI72" s="516">
        <f>AH72-AJ72-AK72</f>
        <v/>
      </c>
      <c r="AJ72" s="500">
        <f>$C$11/$C$7-$BB$16-$BB$21-$BB$26-$BB$31</f>
        <v/>
      </c>
      <c r="AK72" s="519">
        <f>$C$12/$C$7-$BB$17-$BB$22-$BB$27-$BB$32</f>
        <v/>
      </c>
      <c r="AL72" s="92" t="n"/>
      <c r="AM72" s="196" t="n"/>
      <c r="AN72" s="92" t="n"/>
      <c r="AO72" s="206" t="n"/>
      <c r="AP72" s="206" t="n"/>
      <c r="AQ72" s="206" t="n"/>
      <c r="AR72" s="94" t="n"/>
      <c r="AS72" s="206" t="n"/>
      <c r="AT72" s="206" t="n"/>
      <c r="AU72" s="206" t="n"/>
      <c r="AV72" s="206" t="n"/>
      <c r="AW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$C$33</f>
        <v/>
      </c>
      <c r="O73" s="516">
        <f>N73-P73-Q73</f>
        <v/>
      </c>
      <c r="P73" s="500">
        <f>L73</f>
        <v/>
      </c>
      <c r="Q73" s="519">
        <f>M73</f>
        <v/>
      </c>
      <c r="R73" s="515">
        <f>$C$57</f>
        <v/>
      </c>
      <c r="S73" s="516">
        <f>R73-T73-U73</f>
        <v/>
      </c>
      <c r="T73" s="500">
        <f>$C$11/$C$7-$BB$16-$BB$21-$BB$26-$BB$31</f>
        <v/>
      </c>
      <c r="U73" s="519">
        <f>$C$12/$C$7-$BB$17-$BB$22-$BB$27-$BB$32</f>
        <v/>
      </c>
      <c r="V73" s="92" t="n"/>
      <c r="W73" s="196" t="n"/>
      <c r="X73" s="92" t="n"/>
      <c r="Y73" s="206" t="n"/>
      <c r="Z73" s="206" t="n"/>
      <c r="AA73" s="206" t="n"/>
      <c r="AB73" s="94" t="n"/>
      <c r="AC73" s="206" t="n"/>
      <c r="AD73" s="206" t="n"/>
      <c r="AE73" s="206" t="n"/>
      <c r="AF73" s="206" t="n"/>
      <c r="AG73" s="94" t="n"/>
      <c r="AH73" s="515">
        <f>$C$57</f>
        <v/>
      </c>
      <c r="AI73" s="516">
        <f>AH73-AJ73-AK73</f>
        <v/>
      </c>
      <c r="AJ73" s="500">
        <f>$C$11/$C$7-$BB$16-$BB$21-$BB$26-$BB$31</f>
        <v/>
      </c>
      <c r="AK73" s="519">
        <f>$C$12/$C$7-$BB$17-$BB$22-$BB$27-$BB$32</f>
        <v/>
      </c>
      <c r="AL73" s="92" t="n"/>
      <c r="AM73" s="196" t="n"/>
      <c r="AN73" s="92" t="n"/>
      <c r="AO73" s="206" t="n"/>
      <c r="AP73" s="206" t="n"/>
      <c r="AQ73" s="206" t="n"/>
      <c r="AR73" s="94" t="n"/>
      <c r="AS73" s="206" t="n"/>
      <c r="AT73" s="206" t="n"/>
      <c r="AU73" s="206" t="n"/>
      <c r="AV73" s="206" t="n"/>
      <c r="AW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$C$33</f>
        <v/>
      </c>
      <c r="O74" s="516">
        <f>N74-P74-Q74</f>
        <v/>
      </c>
      <c r="P74" s="500">
        <f>L74</f>
        <v/>
      </c>
      <c r="Q74" s="519">
        <f>M74</f>
        <v/>
      </c>
      <c r="R74" s="515">
        <f>$C$57</f>
        <v/>
      </c>
      <c r="S74" s="516">
        <f>R74-T74-U74</f>
        <v/>
      </c>
      <c r="T74" s="500">
        <f>$C$11/$C$7-$BB$16-$BB$21-$BB$26-$BB$31</f>
        <v/>
      </c>
      <c r="U74" s="519">
        <f>$C$12/$C$7-$BB$17-$BB$22-$BB$27-$BB$32</f>
        <v/>
      </c>
      <c r="V74" s="92" t="n"/>
      <c r="W74" s="196" t="n"/>
      <c r="X74" s="92" t="n"/>
      <c r="Y74" s="206" t="n"/>
      <c r="Z74" s="206" t="n"/>
      <c r="AA74" s="206" t="n"/>
      <c r="AB74" s="94" t="n"/>
      <c r="AC74" s="206" t="n"/>
      <c r="AD74" s="206" t="n"/>
      <c r="AE74" s="206" t="n"/>
      <c r="AF74" s="206" t="n"/>
      <c r="AG74" s="94" t="n"/>
      <c r="AH74" s="515">
        <f>$C$57</f>
        <v/>
      </c>
      <c r="AI74" s="516">
        <f>AH74-AJ74-AK74</f>
        <v/>
      </c>
      <c r="AJ74" s="500">
        <f>$C$11/$C$7-$BB$16-$BB$21-$BB$26-$BB$31</f>
        <v/>
      </c>
      <c r="AK74" s="519">
        <f>$C$12/$C$7-$BB$17-$BB$22-$BB$27-$BB$32</f>
        <v/>
      </c>
      <c r="AL74" s="92" t="n"/>
      <c r="AM74" s="196" t="n"/>
      <c r="AN74" s="92" t="n"/>
      <c r="AO74" s="206" t="n"/>
      <c r="AP74" s="206" t="n"/>
      <c r="AQ74" s="206" t="n"/>
      <c r="AR74" s="94" t="n"/>
      <c r="AS74" s="206" t="n"/>
      <c r="AT74" s="206" t="n"/>
      <c r="AU74" s="206" t="n"/>
      <c r="AV74" s="206" t="n"/>
      <c r="AW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$C$33</f>
        <v/>
      </c>
      <c r="O75" s="516">
        <f>N75-P75-Q75</f>
        <v/>
      </c>
      <c r="P75" s="500">
        <f>L75</f>
        <v/>
      </c>
      <c r="Q75" s="519">
        <f>M75</f>
        <v/>
      </c>
      <c r="R75" s="515">
        <f>$C$57</f>
        <v/>
      </c>
      <c r="S75" s="516">
        <f>R75-T75-U75</f>
        <v/>
      </c>
      <c r="T75" s="500">
        <f>$C$11/$C$7-$BB$16-$BB$21-$BB$26-$BB$31</f>
        <v/>
      </c>
      <c r="U75" s="519">
        <f>$C$12/$C$7-$BB$17-$BB$22-$BB$27-$BB$32</f>
        <v/>
      </c>
      <c r="V75" s="92" t="n"/>
      <c r="W75" s="196" t="n"/>
      <c r="X75" s="92" t="n"/>
      <c r="Y75" s="206" t="n"/>
      <c r="Z75" s="206" t="n"/>
      <c r="AA75" s="206" t="n"/>
      <c r="AB75" s="94" t="n"/>
      <c r="AC75" s="206" t="n"/>
      <c r="AD75" s="206" t="n"/>
      <c r="AE75" s="206" t="n"/>
      <c r="AF75" s="206" t="n"/>
      <c r="AG75" s="94" t="n"/>
      <c r="AH75" s="515">
        <f>$C$57</f>
        <v/>
      </c>
      <c r="AI75" s="516">
        <f>AH75-AJ75-AK75</f>
        <v/>
      </c>
      <c r="AJ75" s="500">
        <f>$C$11/$C$7-$BB$16-$BB$21-$BB$26-$BB$31</f>
        <v/>
      </c>
      <c r="AK75" s="519">
        <f>$C$12/$C$7-$BB$17-$BB$22-$BB$27-$BB$32</f>
        <v/>
      </c>
      <c r="AL75" s="92" t="n"/>
      <c r="AM75" s="196" t="n"/>
      <c r="AN75" s="92" t="n"/>
      <c r="AO75" s="206" t="n"/>
      <c r="AP75" s="206" t="n"/>
      <c r="AQ75" s="206" t="n"/>
      <c r="AR75" s="94" t="n"/>
      <c r="AS75" s="206" t="n"/>
      <c r="AT75" s="206" t="n"/>
      <c r="AU75" s="206" t="n"/>
      <c r="AV75" s="206" t="n"/>
      <c r="AW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$C$33</f>
        <v/>
      </c>
      <c r="O76" s="516">
        <f>N76-P76-Q76</f>
        <v/>
      </c>
      <c r="P76" s="500">
        <f>L76</f>
        <v/>
      </c>
      <c r="Q76" s="519">
        <f>M76</f>
        <v/>
      </c>
      <c r="R76" s="515">
        <f>$C$57</f>
        <v/>
      </c>
      <c r="S76" s="516">
        <f>R76-T76-U76</f>
        <v/>
      </c>
      <c r="T76" s="500">
        <f>$C$11/$C$7-$BB$16-$BB$21-$BB$26-$BB$31</f>
        <v/>
      </c>
      <c r="U76" s="519">
        <f>$C$12/$C$7-$BB$17-$BB$22-$BB$27-$BB$32</f>
        <v/>
      </c>
      <c r="V76" s="92" t="n"/>
      <c r="W76" s="196" t="n"/>
      <c r="X76" s="92" t="n"/>
      <c r="Y76" s="206" t="n"/>
      <c r="Z76" s="206" t="n"/>
      <c r="AA76" s="206" t="n"/>
      <c r="AB76" s="94" t="n"/>
      <c r="AC76" s="206" t="n"/>
      <c r="AD76" s="206" t="n"/>
      <c r="AE76" s="206" t="n"/>
      <c r="AF76" s="206" t="n"/>
      <c r="AG76" s="94" t="n"/>
      <c r="AH76" s="515">
        <f>$C$57</f>
        <v/>
      </c>
      <c r="AI76" s="516">
        <f>AH76-AJ76-AK76</f>
        <v/>
      </c>
      <c r="AJ76" s="500">
        <f>$C$11/$C$7-$BB$16-$BB$21-$BB$26-$BB$31</f>
        <v/>
      </c>
      <c r="AK76" s="519">
        <f>$C$12/$C$7-$BB$17-$BB$22-$BB$27-$BB$32</f>
        <v/>
      </c>
      <c r="AL76" s="92" t="n"/>
      <c r="AM76" s="196" t="n"/>
      <c r="AN76" s="92" t="n"/>
      <c r="AO76" s="206" t="n"/>
      <c r="AP76" s="206" t="n"/>
      <c r="AQ76" s="206" t="n"/>
      <c r="AR76" s="94" t="n"/>
      <c r="AS76" s="206" t="n"/>
      <c r="AT76" s="206" t="n"/>
      <c r="AU76" s="206" t="n"/>
      <c r="AV76" s="206" t="n"/>
      <c r="AW76" s="94" t="n"/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46">
        <f>$C$33-N5</f>
        <v/>
      </c>
      <c r="O77" s="547">
        <f>N77-P77-Q77</f>
        <v/>
      </c>
      <c r="P77" s="550">
        <f>L77</f>
        <v/>
      </c>
      <c r="Q77" s="551">
        <f>M77</f>
        <v/>
      </c>
      <c r="R77" s="546">
        <f>$C$57-R5</f>
        <v/>
      </c>
      <c r="S77" s="547">
        <f>R77-T77-U77</f>
        <v/>
      </c>
      <c r="T77" s="550">
        <f>($C$11/$C$7-$BB$16-$BB$21-$BB$26-$BB$31)-T5</f>
        <v/>
      </c>
      <c r="U77" s="551">
        <f>($C$12/$C$7-$BB$17-$BB$22-$BB$27-$BB$32)-U5</f>
        <v/>
      </c>
      <c r="V77" s="59" t="n"/>
      <c r="W77" s="12" t="n"/>
      <c r="X77" s="59" t="n"/>
      <c r="Y77" s="95" t="n"/>
      <c r="Z77" s="95" t="n"/>
      <c r="AA77" s="95" t="n"/>
      <c r="AB77" s="97" t="n"/>
      <c r="AC77" s="95" t="n"/>
      <c r="AD77" s="95" t="n"/>
      <c r="AE77" s="95" t="n"/>
      <c r="AF77" s="95" t="n"/>
      <c r="AG77" s="97" t="n"/>
      <c r="AH77" s="546">
        <f>$C$57-AH5</f>
        <v/>
      </c>
      <c r="AI77" s="547">
        <f>AH77-AJ77-AK77</f>
        <v/>
      </c>
      <c r="AJ77" s="550">
        <f>($C$11/$C$7-$BB$16-$BB$21-$BB$26-$BB$31)-AJ5</f>
        <v/>
      </c>
      <c r="AK77" s="551">
        <f>($C$12/$C$7-$BB$17-$BB$22-$BB$27-$BB$32)-AK5</f>
        <v/>
      </c>
      <c r="AL77" s="59" t="n"/>
      <c r="AM77" s="12" t="n"/>
      <c r="AN77" s="59" t="n"/>
      <c r="AO77" s="95" t="n"/>
      <c r="AP77" s="95" t="n"/>
      <c r="AQ77" s="95" t="n"/>
      <c r="AR77" s="97" t="n"/>
      <c r="AS77" s="95" t="n"/>
      <c r="AT77" s="95" t="n"/>
      <c r="AU77" s="95" t="n"/>
      <c r="AV77" s="95" t="n"/>
      <c r="AW77" s="97" t="n"/>
    </row>
    <row r="78">
      <c r="O78" s="500" t="n"/>
      <c r="S78" s="500" t="n"/>
      <c r="AI78" s="500" t="n"/>
    </row>
  </sheetData>
  <mergeCells count="3">
    <mergeCell ref="D47:D50"/>
    <mergeCell ref="D27:D30"/>
    <mergeCell ref="D37:D40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tabColor rgb="00E08A1E"/>
    <outlinePr summaryBelow="1" summaryRight="1"/>
    <pageSetUpPr/>
  </sheetPr>
  <dimension ref="A1:AC78"/>
  <sheetViews>
    <sheetView showGridLines="0" zoomScale="70" zoomScaleNormal="70" workbookViewId="0">
      <pane xSplit="6" topLeftCell="G1" activePane="topRight" state="frozen"/>
      <selection activeCell="E6" sqref="E6"/>
      <selection pane="topRight" activeCell="B24" sqref="B2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22" customWidth="1" style="497" min="18" max="18"/>
    <col width="7.375" bestFit="1" customWidth="1" style="497" min="19" max="19"/>
    <col width="7.375" customWidth="1" style="497" min="20" max="20"/>
    <col width="19" customWidth="1" style="497" min="21" max="21"/>
    <col width="13.875" customWidth="1" style="497" min="22" max="22"/>
    <col width="14" bestFit="1" customWidth="1" style="497" min="23" max="23"/>
    <col width="11.375" bestFit="1" customWidth="1" style="497" min="24" max="24"/>
    <col width="15.375" bestFit="1" customWidth="1" style="497" min="26" max="26"/>
    <col width="12.375" bestFit="1" customWidth="1" style="497" min="27" max="27"/>
    <col width="10.625" bestFit="1" customWidth="1" style="497" min="28" max="28"/>
    <col width="10.1875" bestFit="1" customWidth="1" style="497" min="30" max="30"/>
  </cols>
  <sheetData>
    <row r="1">
      <c r="P1" s="206">
        <f>ROUNDDOWN(($C$11/$C$7-AB12-AB17)*(H5-G5+1)/DAY(H5),-2)</f>
        <v/>
      </c>
      <c r="S1" s="500" t="n"/>
      <c r="T1" s="259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U2" s="206" t="inlineStr">
        <is>
          <t>* 위약금은 비과세로 총구독료(v+)기준으로 계산</t>
        </is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중도완납 시 (v-)</t>
        </is>
      </c>
      <c r="S3" s="70" t="n"/>
      <c r="T3" s="254" t="n"/>
      <c r="U3" s="254" t="n"/>
      <c r="V3" s="254" t="n"/>
      <c r="W3" s="255" t="n"/>
      <c r="AC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26" t="inlineStr">
        <is>
          <t>중도완납 확정일</t>
        </is>
      </c>
      <c r="S4" s="9" t="inlineStr">
        <is>
          <t>경과일</t>
        </is>
      </c>
      <c r="T4" s="26" t="inlineStr">
        <is>
          <t>미사용일</t>
        </is>
      </c>
      <c r="U4" s="26" t="inlineStr">
        <is>
          <t>중도완납금</t>
        </is>
      </c>
      <c r="V4" s="15" t="inlineStr">
        <is>
          <t>사용분 청구</t>
        </is>
      </c>
      <c r="W4" s="27" t="inlineStr">
        <is>
          <t>선납액 차감</t>
        </is>
      </c>
      <c r="Z4" s="273" t="inlineStr">
        <is>
          <t>사용분 청구 (v-)</t>
        </is>
      </c>
      <c r="AA4" s="274" t="n"/>
      <c r="AB4" s="274" t="n"/>
      <c r="AC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ROUNDDOWN(($C$11/$C$7-$AB$12-$AB$17)*(H5-G5+1)/DAY(H5),-2)</f>
        <v/>
      </c>
      <c r="Q5" s="519">
        <f>ROUNDDOWN(($C$12/$C$7-$AB$13-$AB$18)*(H5-G5+1)/DAY(H5),-2)</f>
        <v/>
      </c>
      <c r="R5" s="55" t="n"/>
      <c r="S5" s="54">
        <f>H5-G5+1</f>
        <v/>
      </c>
      <c r="T5" s="55" t="n"/>
      <c r="U5" s="55" t="n"/>
      <c r="V5" s="626" t="n"/>
      <c r="W5" s="91" t="n"/>
      <c r="Z5" s="130" t="n"/>
      <c r="AA5" s="9" t="inlineStr">
        <is>
          <t>제품</t>
        </is>
      </c>
      <c r="AB5" s="9" t="inlineStr">
        <is>
          <t>케어</t>
        </is>
      </c>
      <c r="AC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$C$11/$C$7-$AB$12-$AB$17</f>
        <v/>
      </c>
      <c r="Q6" s="519">
        <f>$C$12/$C$7-$AB$13-$AB$18</f>
        <v/>
      </c>
      <c r="R6" s="92" t="n"/>
      <c r="S6" s="196">
        <f>H6-G6+1</f>
        <v/>
      </c>
      <c r="T6" s="92" t="n"/>
      <c r="U6" s="516" t="n"/>
      <c r="V6" s="206" t="n"/>
      <c r="W6" s="94" t="n"/>
      <c r="Z6" s="527">
        <f>V24</f>
        <v/>
      </c>
      <c r="AA6" s="527">
        <f>Z6-AB6-AC6</f>
        <v/>
      </c>
      <c r="AB6" s="2">
        <f>ROUNDDOWN(P24*S24/DAY(H24),-2)</f>
        <v/>
      </c>
      <c r="AC6" s="2">
        <f>ROUNDDOWN(Q24*S24/DAY(H24),-2)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$C$11/$C$7-$AB$12-$AB$17</f>
        <v/>
      </c>
      <c r="Q7" s="519">
        <f>$C$12/$C$7-$AB$13-$AB$18</f>
        <v/>
      </c>
      <c r="R7" s="92" t="n"/>
      <c r="S7" s="196">
        <f>H7-G7+1</f>
        <v/>
      </c>
      <c r="T7" s="92" t="n"/>
      <c r="U7" s="516" t="n"/>
      <c r="V7" s="206" t="n"/>
      <c r="W7" s="94" t="n"/>
      <c r="Z7" s="505" t="n"/>
      <c r="AA7" s="505" t="n"/>
      <c r="AB7" s="505" t="n"/>
      <c r="AC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$C$11/$C$7-$AB$12-$AB$17</f>
        <v/>
      </c>
      <c r="Q8" s="519">
        <f>$C$12/$C$7-$AB$13-$AB$18</f>
        <v/>
      </c>
      <c r="R8" s="92" t="n"/>
      <c r="S8" s="196">
        <f>H8-G8+1</f>
        <v/>
      </c>
      <c r="T8" s="92" t="n"/>
      <c r="U8" s="516" t="n"/>
      <c r="V8" s="206" t="n"/>
      <c r="W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$C$11/$C$7-$AB$12-$AB$17</f>
        <v/>
      </c>
      <c r="Q9" s="519">
        <f>$C$12/$C$7-$AB$13-$AB$18</f>
        <v/>
      </c>
      <c r="R9" s="92" t="n"/>
      <c r="S9" s="196">
        <f>H9-G9+1</f>
        <v/>
      </c>
      <c r="T9" s="92" t="n"/>
      <c r="U9" s="516" t="n"/>
      <c r="V9" s="206" t="n"/>
      <c r="W9" s="94" t="n"/>
      <c r="Z9" s="206" t="inlineStr">
        <is>
          <t>v- 100단위 조정</t>
        </is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$C$11/$C$7-$AB$12-$AB$17</f>
        <v/>
      </c>
      <c r="Q10" s="519">
        <f>$C$12/$C$7-$AB$13-$AB$18</f>
        <v/>
      </c>
      <c r="R10" s="92" t="n"/>
      <c r="S10" s="196">
        <f>H10-G10+1</f>
        <v/>
      </c>
      <c r="T10" s="92" t="n"/>
      <c r="U10" s="516" t="n"/>
      <c r="V10" s="206" t="n"/>
      <c r="W10" s="94" t="n"/>
      <c r="Z10" s="378" t="inlineStr">
        <is>
          <t>월 선납금(v-)</t>
        </is>
      </c>
      <c r="AA10" s="251" t="n"/>
      <c r="AB10" s="504">
        <f>C26/C7</f>
        <v/>
      </c>
    </row>
    <row r="11">
      <c r="B11" s="9" t="inlineStr">
        <is>
          <t>케어서비스(v-)</t>
        </is>
      </c>
      <c r="C11" s="526">
        <f>5900*72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$C$11/$C$7-$AB$12-$AB$17</f>
        <v/>
      </c>
      <c r="Q11" s="519">
        <f>$C$12/$C$7-$AB$13-$AB$18</f>
        <v/>
      </c>
      <c r="R11" s="92" t="n"/>
      <c r="S11" s="196">
        <f>H11-G11+1</f>
        <v/>
      </c>
      <c r="T11" s="92" t="n"/>
      <c r="U11" s="516" t="n"/>
      <c r="V11" s="206" t="n"/>
      <c r="W11" s="94" t="n"/>
      <c r="Z11" s="375" t="n"/>
      <c r="AA11" s="506" t="inlineStr">
        <is>
          <t>제품</t>
        </is>
      </c>
      <c r="AB11" s="507">
        <f>AB10-AB12-AB13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$C$11/$C$7-$AB$12-$AB$17</f>
        <v/>
      </c>
      <c r="Q12" s="519">
        <f>$C$12/$C$7-$AB$13-$AB$18</f>
        <v/>
      </c>
      <c r="R12" s="92" t="n"/>
      <c r="S12" s="196">
        <f>H12-G12+1</f>
        <v/>
      </c>
      <c r="T12" s="92" t="n"/>
      <c r="U12" s="516" t="n"/>
      <c r="V12" s="206" t="n"/>
      <c r="W12" s="94" t="n"/>
      <c r="Z12" s="375" t="n"/>
      <c r="AA12" s="506" t="inlineStr">
        <is>
          <t>케어</t>
        </is>
      </c>
      <c r="AB12" s="507">
        <f>ROUND(AB10*C11/$C$14,-2)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$C$11/$C$7-$AB$12-$AB$17</f>
        <v/>
      </c>
      <c r="Q13" s="519">
        <f>$C$12/$C$7-$AB$13-$AB$18</f>
        <v/>
      </c>
      <c r="R13" s="92" t="n"/>
      <c r="S13" s="196">
        <f>H13-G13+1</f>
        <v/>
      </c>
      <c r="T13" s="92" t="n"/>
      <c r="U13" s="516" t="n"/>
      <c r="V13" s="206" t="n"/>
      <c r="W13" s="94" t="n"/>
      <c r="Z13" s="376" t="n"/>
      <c r="AA13" s="524" t="inlineStr">
        <is>
          <t>보증</t>
        </is>
      </c>
      <c r="AB13" s="507">
        <f>ROUND(AB10*C12/$C$14,-2)</f>
        <v/>
      </c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$C$11/$C$7-$AB$12-$AB$17</f>
        <v/>
      </c>
      <c r="Q14" s="519">
        <f>$C$12/$C$7-$AB$13-$AB$18</f>
        <v/>
      </c>
      <c r="R14" s="92" t="n"/>
      <c r="S14" s="196">
        <f>H14-G14+1</f>
        <v/>
      </c>
      <c r="T14" s="92" t="n"/>
      <c r="U14" s="516" t="n"/>
      <c r="V14" s="206" t="n"/>
      <c r="W14" s="94" t="n"/>
      <c r="Z14" s="399" t="n"/>
      <c r="AA14" s="500" t="n"/>
      <c r="AB14" s="206" t="n"/>
    </row>
    <row r="15">
      <c r="B15" s="9" t="inlineStr">
        <is>
          <t>월구독료(v-)</t>
        </is>
      </c>
      <c r="C15" s="526">
        <f>C14/C7</f>
        <v/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$C$11/$C$7-$AB$12-$AB$17</f>
        <v/>
      </c>
      <c r="Q15" s="519">
        <f>$C$12/$C$7-$AB$13-$AB$18</f>
        <v/>
      </c>
      <c r="R15" s="92" t="n"/>
      <c r="S15" s="196">
        <f>H15-G15+1</f>
        <v/>
      </c>
      <c r="T15" s="92" t="n"/>
      <c r="U15" s="516" t="n"/>
      <c r="V15" s="206" t="n"/>
      <c r="W15" s="94" t="n"/>
      <c r="Z15" s="378" t="inlineStr">
        <is>
          <t>월 선납할인(V-)</t>
        </is>
      </c>
      <c r="AA15" s="251" t="n"/>
      <c r="AB15" s="525">
        <f>C30/C7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$C$11/$C$7-$AB$12-$AB$17</f>
        <v/>
      </c>
      <c r="Q16" s="519">
        <f>$C$12/$C$7-$AB$13-$AB$18</f>
        <v/>
      </c>
      <c r="R16" s="92" t="n"/>
      <c r="S16" s="196">
        <f>H16-G16+1</f>
        <v/>
      </c>
      <c r="T16" s="92" t="n"/>
      <c r="U16" s="516" t="n"/>
      <c r="V16" s="206" t="n"/>
      <c r="W16" s="94" t="n"/>
      <c r="Z16" s="375" t="n"/>
      <c r="AA16" s="506" t="inlineStr">
        <is>
          <t>제품</t>
        </is>
      </c>
      <c r="AB16" s="507">
        <f>AB15-AB17-AB18</f>
        <v/>
      </c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$C$11/$C$7-$AB$12-$AB$17</f>
        <v/>
      </c>
      <c r="Q17" s="519">
        <f>$C$12/$C$7-$AB$13-$AB$18</f>
        <v/>
      </c>
      <c r="R17" s="92" t="n"/>
      <c r="S17" s="196">
        <f>H17-G17+1</f>
        <v/>
      </c>
      <c r="T17" s="92" t="n"/>
      <c r="U17" s="516" t="n"/>
      <c r="V17" s="206" t="n"/>
      <c r="W17" s="94" t="n"/>
      <c r="Z17" s="375" t="n"/>
      <c r="AA17" s="506" t="inlineStr">
        <is>
          <t>케어</t>
        </is>
      </c>
      <c r="AB17" s="507">
        <f>ROUND(AB15*$C$11/$C$14,-2)</f>
        <v/>
      </c>
    </row>
    <row r="18">
      <c r="C18" s="505" t="n"/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$C$11/$C$7-$AB$12-$AB$17</f>
        <v/>
      </c>
      <c r="Q18" s="519">
        <f>$C$12/$C$7-$AB$13-$AB$18</f>
        <v/>
      </c>
      <c r="R18" s="92" t="n"/>
      <c r="S18" s="196">
        <f>H18-G18+1</f>
        <v/>
      </c>
      <c r="T18" s="92" t="n"/>
      <c r="U18" s="516" t="n"/>
      <c r="V18" s="206" t="n"/>
      <c r="W18" s="94" t="n"/>
      <c r="Z18" s="376" t="n"/>
      <c r="AA18" s="524" t="inlineStr">
        <is>
          <t>보증</t>
        </is>
      </c>
      <c r="AB18" s="507">
        <f>ROUND(AB15*$C$12/$C$14,-2)</f>
        <v/>
      </c>
    </row>
    <row r="19">
      <c r="C19" s="505" t="n"/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$C$11/$C$7-$AB$12-$AB$17</f>
        <v/>
      </c>
      <c r="Q19" s="519">
        <f>$C$12/$C$7-$AB$13-$AB$18</f>
        <v/>
      </c>
      <c r="R19" s="92" t="n"/>
      <c r="S19" s="196">
        <f>H19-G19+1</f>
        <v/>
      </c>
      <c r="T19" s="92" t="n"/>
      <c r="U19" s="516" t="n"/>
      <c r="V19" s="206" t="n"/>
      <c r="W19" s="94" t="n"/>
    </row>
    <row r="20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$C$11/$C$7-$AB$12-$AB$17</f>
        <v/>
      </c>
      <c r="Q20" s="519">
        <f>$C$12/$C$7-$AB$13-$AB$18</f>
        <v/>
      </c>
      <c r="R20" s="92" t="n"/>
      <c r="S20" s="196">
        <f>H20-G20+1</f>
        <v/>
      </c>
      <c r="T20" s="92" t="n"/>
      <c r="U20" s="516" t="n"/>
      <c r="V20" s="206" t="n"/>
      <c r="W20" s="94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$C$11/$C$7-$AB$12-$AB$17</f>
        <v/>
      </c>
      <c r="Q21" s="519">
        <f>$C$12/$C$7-$AB$13-$AB$18</f>
        <v/>
      </c>
      <c r="R21" s="92" t="n"/>
      <c r="S21" s="196">
        <f>H21-G21+1</f>
        <v/>
      </c>
      <c r="T21" s="92" t="n"/>
      <c r="U21" s="516" t="n"/>
      <c r="V21" s="206" t="n"/>
      <c r="W21" s="94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$C$11/$C$7-$AB$12-$AB$17</f>
        <v/>
      </c>
      <c r="Q22" s="519">
        <f>$C$12/$C$7-$AB$13-$AB$18</f>
        <v/>
      </c>
      <c r="R22" s="92" t="n"/>
      <c r="S22" s="196">
        <f>H22-G22+1</f>
        <v/>
      </c>
      <c r="T22" s="92" t="n"/>
      <c r="U22" s="516" t="n"/>
      <c r="V22" s="206" t="n"/>
      <c r="W22" s="94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$C$11/$C$7-$AB$12-$AB$17</f>
        <v/>
      </c>
      <c r="Q23" s="519">
        <f>$C$12/$C$7-$AB$13-$AB$18</f>
        <v/>
      </c>
      <c r="R23" s="92" t="n"/>
      <c r="S23" s="196">
        <f>H23-G23+1</f>
        <v/>
      </c>
      <c r="T23" s="92" t="n"/>
      <c r="U23" s="516" t="n"/>
      <c r="V23" s="206" t="n"/>
      <c r="W23" s="94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$C$11/$C$7-$AB$12-$AB$17</f>
        <v/>
      </c>
      <c r="Q24" s="635">
        <f>$C$12/$C$7-$AB$13-$AB$18</f>
        <v/>
      </c>
      <c r="R24" s="99" t="n">
        <v>46494</v>
      </c>
      <c r="S24" s="415">
        <f>R24-G24</f>
        <v/>
      </c>
      <c r="T24" s="258">
        <f>H24-G24+1-S24</f>
        <v/>
      </c>
      <c r="U24" s="717">
        <f>ROUNDDOWN($C$13*(SUM(T24:T77)/$C$8),-2)</f>
        <v/>
      </c>
      <c r="V24" s="718">
        <f>ROUNDDOWN(N24*S24/DAY(H24),-2)</f>
        <v/>
      </c>
      <c r="W24" s="638">
        <f>-ROUNDUP((C26*(C8-SUM(S5:S24))/C8),-2)</f>
        <v/>
      </c>
      <c r="X24" s="206" t="inlineStr">
        <is>
          <t>* 중도완납 청구 기준: 케어+보증 제외한 매출인식기준구독료의 일수비율</t>
        </is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$C$11/$C$7-$AB$12-$AB$17</f>
        <v/>
      </c>
      <c r="Q25" s="519">
        <f>$C$12/$C$7-$AB$13-$AB$18</f>
        <v/>
      </c>
      <c r="R25" s="488" t="inlineStr">
        <is>
          <t>* 사용일 기준: 고객센터 접수 전일까지 사용</t>
        </is>
      </c>
      <c r="S25" s="196">
        <f>T25</f>
        <v/>
      </c>
      <c r="T25" s="92">
        <f>H25-G25+1</f>
        <v/>
      </c>
      <c r="U25" s="629" t="n"/>
      <c r="V25" s="539" t="n"/>
      <c r="W25" s="94" t="n"/>
    </row>
    <row r="26">
      <c r="A26" s="176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$C$11/$C$7-$AB$12-$AB$17</f>
        <v/>
      </c>
      <c r="Q26" s="519">
        <f>$C$12/$C$7-$AB$13-$AB$18</f>
        <v/>
      </c>
      <c r="R26" s="719" t="n"/>
      <c r="S26" s="196">
        <f>T26</f>
        <v/>
      </c>
      <c r="T26" s="92">
        <f>H26-G26+1</f>
        <v/>
      </c>
      <c r="U26" s="516" t="n"/>
      <c r="V26" s="206" t="n"/>
      <c r="W26" s="94" t="n"/>
      <c r="X26" s="500" t="n"/>
    </row>
    <row r="27">
      <c r="B27" s="9" t="inlineStr">
        <is>
          <t>(계산용) 선납 할인금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$C$11/$C$7-$AB$12-$AB$17</f>
        <v/>
      </c>
      <c r="Q27" s="519">
        <f>$C$12/$C$7-$AB$13-$AB$18</f>
        <v/>
      </c>
      <c r="R27" s="92" t="n"/>
      <c r="S27" s="196">
        <f>T27</f>
        <v/>
      </c>
      <c r="T27" s="92">
        <f>H27-G27+1</f>
        <v/>
      </c>
      <c r="U27" s="92" t="n"/>
      <c r="V27" s="206" t="n"/>
      <c r="W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$C$11/$C$7-$AB$12-$AB$17</f>
        <v/>
      </c>
      <c r="Q28" s="519">
        <f>$C$12/$C$7-$AB$13-$AB$18</f>
        <v/>
      </c>
      <c r="R28" s="92" t="n"/>
      <c r="S28" s="196">
        <f>T28</f>
        <v/>
      </c>
      <c r="T28" s="92">
        <f>H28-G28+1</f>
        <v/>
      </c>
      <c r="U28" s="92" t="n"/>
      <c r="V28" s="206" t="n"/>
      <c r="W28" s="94" t="n"/>
      <c r="X28" s="500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$C$11/$C$7-$AB$12-$AB$17</f>
        <v/>
      </c>
      <c r="Q29" s="519">
        <f>$C$12/$C$7-$AB$13-$AB$18</f>
        <v/>
      </c>
      <c r="R29" s="92" t="n"/>
      <c r="S29" s="196">
        <f>T29</f>
        <v/>
      </c>
      <c r="T29" s="92">
        <f>H29-G29+1</f>
        <v/>
      </c>
      <c r="U29" s="92" t="n"/>
      <c r="V29" s="206" t="n"/>
      <c r="W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$C$11/$C$7-$AB$12-$AB$17</f>
        <v/>
      </c>
      <c r="Q30" s="519">
        <f>$C$12/$C$7-$AB$13-$AB$18</f>
        <v/>
      </c>
      <c r="R30" s="92" t="n"/>
      <c r="S30" s="196">
        <f>T30</f>
        <v/>
      </c>
      <c r="T30" s="92">
        <f>H30-G30+1</f>
        <v/>
      </c>
      <c r="U30" s="92" t="n"/>
      <c r="V30" s="206" t="n"/>
      <c r="W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$C$11/$C$7-$AB$12-$AB$17</f>
        <v/>
      </c>
      <c r="Q31" s="519">
        <f>$C$12/$C$7-$AB$13-$AB$18</f>
        <v/>
      </c>
      <c r="R31" s="92" t="n"/>
      <c r="S31" s="196">
        <f>T31</f>
        <v/>
      </c>
      <c r="T31" s="92">
        <f>H31-G31+1</f>
        <v/>
      </c>
      <c r="U31" s="92" t="n"/>
      <c r="V31" s="206" t="n"/>
      <c r="W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$C$11/$C$7-$AB$12-$AB$17</f>
        <v/>
      </c>
      <c r="Q32" s="519">
        <f>$C$12/$C$7-$AB$13-$AB$18</f>
        <v/>
      </c>
      <c r="R32" s="92" t="n"/>
      <c r="S32" s="196">
        <f>T32</f>
        <v/>
      </c>
      <c r="T32" s="92">
        <f>H32-G32+1</f>
        <v/>
      </c>
      <c r="U32" s="92" t="n"/>
      <c r="V32" s="206" t="n"/>
      <c r="W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$C$11/$C$7-$AB$12-$AB$17</f>
        <v/>
      </c>
      <c r="Q33" s="519">
        <f>$C$12/$C$7-$AB$13-$AB$18</f>
        <v/>
      </c>
      <c r="R33" s="92" t="n"/>
      <c r="S33" s="196">
        <f>T33</f>
        <v/>
      </c>
      <c r="T33" s="92">
        <f>H33-G33+1</f>
        <v/>
      </c>
      <c r="U33" s="92" t="n"/>
      <c r="V33" s="206" t="n"/>
      <c r="W33" s="94" t="n"/>
    </row>
    <row r="34">
      <c r="B34" s="9" t="inlineStr">
        <is>
          <t>선납금+선납 할인 반영 순수 구독료 (V-)</t>
        </is>
      </c>
      <c r="C34" s="506">
        <f>C32-C11-C12+SUM(AB12:AB13,AB17:AB18)*C7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$C$11/$C$7-$AB$12-$AB$17</f>
        <v/>
      </c>
      <c r="Q34" s="519">
        <f>$C$12/$C$7-$AB$13-$AB$18</f>
        <v/>
      </c>
      <c r="R34" s="92" t="n"/>
      <c r="S34" s="196">
        <f>T34</f>
        <v/>
      </c>
      <c r="T34" s="92">
        <f>H34-G34+1</f>
        <v/>
      </c>
      <c r="U34" s="92" t="n"/>
      <c r="V34" s="206" t="n"/>
      <c r="W34" s="94" t="n"/>
      <c r="X34" s="206" t="inlineStr">
        <is>
          <t> </t>
        </is>
      </c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$C$11/$C$7-$AB$12-$AB$17</f>
        <v/>
      </c>
      <c r="Q35" s="519">
        <f>$C$12/$C$7-$AB$13-$AB$18</f>
        <v/>
      </c>
      <c r="R35" s="92" t="n"/>
      <c r="S35" s="196">
        <f>T35</f>
        <v/>
      </c>
      <c r="T35" s="92">
        <f>H35-G35+1</f>
        <v/>
      </c>
      <c r="U35" s="92" t="n"/>
      <c r="V35" s="206" t="n"/>
      <c r="W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$C$11/$C$7-$AB$12-$AB$17</f>
        <v/>
      </c>
      <c r="Q36" s="519">
        <f>$C$12/$C$7-$AB$13-$AB$18</f>
        <v/>
      </c>
      <c r="R36" s="92" t="n"/>
      <c r="S36" s="196">
        <f>T36</f>
        <v/>
      </c>
      <c r="T36" s="92">
        <f>H36-G36+1</f>
        <v/>
      </c>
      <c r="U36" s="92" t="n"/>
      <c r="V36" s="206" t="n"/>
      <c r="W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$C$11/$C$7-$AB$12-$AB$17</f>
        <v/>
      </c>
      <c r="Q37" s="519">
        <f>$C$12/$C$7-$AB$13-$AB$18</f>
        <v/>
      </c>
      <c r="R37" s="92" t="n"/>
      <c r="S37" s="196">
        <f>T37</f>
        <v/>
      </c>
      <c r="T37" s="92">
        <f>H37-G37+1</f>
        <v/>
      </c>
      <c r="U37" s="92" t="n"/>
      <c r="V37" s="206" t="n"/>
      <c r="W37" s="94" t="n"/>
    </row>
    <row r="38">
      <c r="B38" s="256" t="inlineStr">
        <is>
          <t>등록비 (V+)</t>
        </is>
      </c>
      <c r="C38" s="526" t="n">
        <v>100000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$C$11/$C$7-$AB$12-$AB$17</f>
        <v/>
      </c>
      <c r="Q38" s="519">
        <f>$C$12/$C$7-$AB$13-$AB$18</f>
        <v/>
      </c>
      <c r="R38" s="92" t="n"/>
      <c r="S38" s="196">
        <f>T38</f>
        <v/>
      </c>
      <c r="T38" s="92">
        <f>H38-G38+1</f>
        <v/>
      </c>
      <c r="U38" s="92" t="n"/>
      <c r="V38" s="206" t="n"/>
      <c r="W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$C$11/$C$7-$AB$12-$AB$17</f>
        <v/>
      </c>
      <c r="Q39" s="519">
        <f>$C$12/$C$7-$AB$13-$AB$18</f>
        <v/>
      </c>
      <c r="R39" s="92" t="n"/>
      <c r="S39" s="196">
        <f>T39</f>
        <v/>
      </c>
      <c r="T39" s="92">
        <f>H39-G39+1</f>
        <v/>
      </c>
      <c r="U39" s="92" t="n"/>
      <c r="V39" s="206" t="n"/>
      <c r="W39" s="94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$C$11/$C$7-$AB$12-$AB$17</f>
        <v/>
      </c>
      <c r="Q40" s="519">
        <f>$C$12/$C$7-$AB$13-$AB$18</f>
        <v/>
      </c>
      <c r="R40" s="92" t="n"/>
      <c r="S40" s="196">
        <f>T40</f>
        <v/>
      </c>
      <c r="T40" s="92">
        <f>H40-G40+1</f>
        <v/>
      </c>
      <c r="U40" s="92" t="n"/>
      <c r="V40" s="206" t="n"/>
      <c r="W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$C$11/$C$7-$AB$12-$AB$17</f>
        <v/>
      </c>
      <c r="Q41" s="519">
        <f>$C$12/$C$7-$AB$13-$AB$18</f>
        <v/>
      </c>
      <c r="R41" s="92" t="n"/>
      <c r="S41" s="196">
        <f>T41</f>
        <v/>
      </c>
      <c r="T41" s="92">
        <f>H41-G41+1</f>
        <v/>
      </c>
      <c r="U41" s="92" t="n"/>
      <c r="V41" s="206" t="n"/>
      <c r="W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$C$11/$C$7-$AB$12-$AB$17</f>
        <v/>
      </c>
      <c r="Q42" s="519">
        <f>$C$12/$C$7-$AB$13-$AB$18</f>
        <v/>
      </c>
      <c r="R42" s="92" t="n"/>
      <c r="S42" s="196">
        <f>T42</f>
        <v/>
      </c>
      <c r="T42" s="92">
        <f>H42-G42+1</f>
        <v/>
      </c>
      <c r="U42" s="92" t="n"/>
      <c r="V42" s="206" t="n"/>
      <c r="W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$C$11/$C$7-$AB$12-$AB$17</f>
        <v/>
      </c>
      <c r="Q43" s="519">
        <f>$C$12/$C$7-$AB$13-$AB$18</f>
        <v/>
      </c>
      <c r="R43" s="92" t="n"/>
      <c r="S43" s="196">
        <f>T43</f>
        <v/>
      </c>
      <c r="T43" s="92">
        <f>H43-G43+1</f>
        <v/>
      </c>
      <c r="U43" s="92" t="n"/>
      <c r="V43" s="206" t="n"/>
      <c r="W43" s="94" t="n"/>
    </row>
    <row r="44">
      <c r="C44" s="500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$C$11/$C$7-$AB$12-$AB$17</f>
        <v/>
      </c>
      <c r="Q44" s="519">
        <f>$C$12/$C$7-$AB$13-$AB$18</f>
        <v/>
      </c>
      <c r="R44" s="92" t="n"/>
      <c r="S44" s="196">
        <f>T44</f>
        <v/>
      </c>
      <c r="T44" s="92">
        <f>H44-G44+1</f>
        <v/>
      </c>
      <c r="U44" s="92" t="n"/>
      <c r="V44" s="206" t="n"/>
      <c r="W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$C$11/$C$7-$AB$12-$AB$17</f>
        <v/>
      </c>
      <c r="Q45" s="519">
        <f>$C$12/$C$7-$AB$13-$AB$18</f>
        <v/>
      </c>
      <c r="R45" s="92" t="n"/>
      <c r="S45" s="196">
        <f>T45</f>
        <v/>
      </c>
      <c r="T45" s="92">
        <f>H45-G45+1</f>
        <v/>
      </c>
      <c r="U45" s="92" t="n"/>
      <c r="V45" s="206" t="n"/>
      <c r="W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$C$11/$C$7-$AB$12-$AB$17</f>
        <v/>
      </c>
      <c r="Q46" s="519">
        <f>$C$12/$C$7-$AB$13-$AB$18</f>
        <v/>
      </c>
      <c r="R46" s="92" t="n"/>
      <c r="S46" s="196">
        <f>T46</f>
        <v/>
      </c>
      <c r="T46" s="92">
        <f>H46-G46+1</f>
        <v/>
      </c>
      <c r="U46" s="92" t="n"/>
      <c r="V46" s="206" t="n"/>
      <c r="W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$C$11/$C$7-$AB$12-$AB$17</f>
        <v/>
      </c>
      <c r="Q47" s="519">
        <f>$C$12/$C$7-$AB$13-$AB$18</f>
        <v/>
      </c>
      <c r="R47" s="92" t="n"/>
      <c r="S47" s="196">
        <f>T47</f>
        <v/>
      </c>
      <c r="T47" s="92">
        <f>H47-G47+1</f>
        <v/>
      </c>
      <c r="U47" s="92" t="n"/>
      <c r="V47" s="206" t="n"/>
      <c r="W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$C$11/$C$7-$AB$12-$AB$17</f>
        <v/>
      </c>
      <c r="Q48" s="519">
        <f>$C$12/$C$7-$AB$13-$AB$18</f>
        <v/>
      </c>
      <c r="R48" s="92" t="n"/>
      <c r="S48" s="196">
        <f>T48</f>
        <v/>
      </c>
      <c r="T48" s="92">
        <f>H48-G48+1</f>
        <v/>
      </c>
      <c r="U48" s="92" t="n"/>
      <c r="V48" s="206" t="n"/>
      <c r="W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$C$11/$C$7-$AB$12-$AB$17</f>
        <v/>
      </c>
      <c r="Q49" s="519">
        <f>$C$12/$C$7-$AB$13-$AB$18</f>
        <v/>
      </c>
      <c r="R49" s="92" t="n"/>
      <c r="S49" s="196">
        <f>T49</f>
        <v/>
      </c>
      <c r="T49" s="92">
        <f>H49-G49+1</f>
        <v/>
      </c>
      <c r="U49" s="92" t="n"/>
      <c r="V49" s="206" t="n"/>
      <c r="W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$C$11/$C$7-$AB$12-$AB$17</f>
        <v/>
      </c>
      <c r="Q50" s="519">
        <f>$C$12/$C$7-$AB$13-$AB$18</f>
        <v/>
      </c>
      <c r="R50" s="92" t="n"/>
      <c r="S50" s="196">
        <f>T50</f>
        <v/>
      </c>
      <c r="T50" s="92">
        <f>H50-G50+1</f>
        <v/>
      </c>
      <c r="U50" s="92" t="n"/>
      <c r="V50" s="206" t="n"/>
      <c r="W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$C$11/$C$7-$AB$12-$AB$17</f>
        <v/>
      </c>
      <c r="Q51" s="519">
        <f>$C$12/$C$7-$AB$13-$AB$18</f>
        <v/>
      </c>
      <c r="R51" s="92" t="n"/>
      <c r="S51" s="196">
        <f>T51</f>
        <v/>
      </c>
      <c r="T51" s="92">
        <f>H51-G51+1</f>
        <v/>
      </c>
      <c r="U51" s="92" t="n"/>
      <c r="V51" s="206" t="n"/>
      <c r="W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$C$11/$C$7-$AB$12-$AB$17</f>
        <v/>
      </c>
      <c r="Q52" s="519">
        <f>$C$12/$C$7-$AB$13-$AB$18</f>
        <v/>
      </c>
      <c r="R52" s="92" t="n"/>
      <c r="S52" s="196">
        <f>T52</f>
        <v/>
      </c>
      <c r="T52" s="92">
        <f>H52-G52+1</f>
        <v/>
      </c>
      <c r="U52" s="92" t="n"/>
      <c r="V52" s="206" t="n"/>
      <c r="W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$C$11/$C$7-$AB$12-$AB$17</f>
        <v/>
      </c>
      <c r="Q53" s="519">
        <f>$C$12/$C$7-$AB$13-$AB$18</f>
        <v/>
      </c>
      <c r="R53" s="92" t="n"/>
      <c r="S53" s="196">
        <f>T53</f>
        <v/>
      </c>
      <c r="T53" s="92">
        <f>H53-G53+1</f>
        <v/>
      </c>
      <c r="U53" s="92" t="n"/>
      <c r="V53" s="206" t="n"/>
      <c r="W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$C$11/$C$7-$AB$12-$AB$17</f>
        <v/>
      </c>
      <c r="Q54" s="519">
        <f>$C$12/$C$7-$AB$13-$AB$18</f>
        <v/>
      </c>
      <c r="R54" s="92" t="n"/>
      <c r="S54" s="196">
        <f>T54</f>
        <v/>
      </c>
      <c r="T54" s="92">
        <f>H54-G54+1</f>
        <v/>
      </c>
      <c r="U54" s="92" t="n"/>
      <c r="V54" s="206" t="n"/>
      <c r="W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$C$11/$C$7-$AB$12-$AB$17</f>
        <v/>
      </c>
      <c r="Q55" s="519">
        <f>$C$12/$C$7-$AB$13-$AB$18</f>
        <v/>
      </c>
      <c r="R55" s="92" t="n"/>
      <c r="S55" s="196">
        <f>T55</f>
        <v/>
      </c>
      <c r="T55" s="92">
        <f>H55-G55+1</f>
        <v/>
      </c>
      <c r="U55" s="92" t="n"/>
      <c r="V55" s="206" t="n"/>
      <c r="W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$C$11/$C$7-$AB$12-$AB$17</f>
        <v/>
      </c>
      <c r="Q56" s="519">
        <f>$C$12/$C$7-$AB$13-$AB$18</f>
        <v/>
      </c>
      <c r="R56" s="92" t="n"/>
      <c r="S56" s="196">
        <f>T56</f>
        <v/>
      </c>
      <c r="T56" s="92">
        <f>H56-G56+1</f>
        <v/>
      </c>
      <c r="U56" s="92" t="n"/>
      <c r="V56" s="206" t="n"/>
      <c r="W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$C$11/$C$7-$AB$12-$AB$17</f>
        <v/>
      </c>
      <c r="Q57" s="519">
        <f>$C$12/$C$7-$AB$13-$AB$18</f>
        <v/>
      </c>
      <c r="R57" s="92" t="n"/>
      <c r="S57" s="196">
        <f>T57</f>
        <v/>
      </c>
      <c r="T57" s="92">
        <f>H57-G57+1</f>
        <v/>
      </c>
      <c r="U57" s="92" t="n"/>
      <c r="V57" s="206" t="n"/>
      <c r="W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$C$11/$C$7-$AB$12-$AB$17</f>
        <v/>
      </c>
      <c r="Q58" s="519">
        <f>$C$12/$C$7-$AB$13-$AB$18</f>
        <v/>
      </c>
      <c r="R58" s="92" t="n"/>
      <c r="S58" s="196">
        <f>T58</f>
        <v/>
      </c>
      <c r="T58" s="92">
        <f>H58-G58+1</f>
        <v/>
      </c>
      <c r="U58" s="92" t="n"/>
      <c r="V58" s="206" t="n"/>
      <c r="W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$C$11/$C$7-$AB$12-$AB$17</f>
        <v/>
      </c>
      <c r="Q59" s="519">
        <f>$C$12/$C$7-$AB$13-$AB$18</f>
        <v/>
      </c>
      <c r="R59" s="92" t="n"/>
      <c r="S59" s="196">
        <f>T59</f>
        <v/>
      </c>
      <c r="T59" s="92">
        <f>H59-G59+1</f>
        <v/>
      </c>
      <c r="U59" s="92" t="n"/>
      <c r="V59" s="206" t="n"/>
      <c r="W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$C$11/$C$7-$AB$12-$AB$17</f>
        <v/>
      </c>
      <c r="Q60" s="519">
        <f>$C$12/$C$7-$AB$13-$AB$18</f>
        <v/>
      </c>
      <c r="R60" s="92" t="n"/>
      <c r="S60" s="196">
        <f>T60</f>
        <v/>
      </c>
      <c r="T60" s="92">
        <f>H60-G60+1</f>
        <v/>
      </c>
      <c r="U60" s="92" t="n"/>
      <c r="V60" s="206" t="n"/>
      <c r="W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$C$11/$C$7-$AB$12-$AB$17</f>
        <v/>
      </c>
      <c r="Q61" s="519">
        <f>$C$12/$C$7-$AB$13-$AB$18</f>
        <v/>
      </c>
      <c r="R61" s="92" t="n"/>
      <c r="S61" s="196">
        <f>T61</f>
        <v/>
      </c>
      <c r="T61" s="92">
        <f>H61-G61+1</f>
        <v/>
      </c>
      <c r="U61" s="92" t="n"/>
      <c r="V61" s="206" t="n"/>
      <c r="W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$C$11/$C$7-$AB$12-$AB$17</f>
        <v/>
      </c>
      <c r="Q62" s="519">
        <f>$C$12/$C$7-$AB$13-$AB$18</f>
        <v/>
      </c>
      <c r="R62" s="92" t="n"/>
      <c r="S62" s="196">
        <f>T62</f>
        <v/>
      </c>
      <c r="T62" s="92">
        <f>H62-G62+1</f>
        <v/>
      </c>
      <c r="U62" s="92" t="n"/>
      <c r="V62" s="206" t="n"/>
      <c r="W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$C$11/$C$7-$AB$12-$AB$17</f>
        <v/>
      </c>
      <c r="Q63" s="519">
        <f>$C$12/$C$7-$AB$13-$AB$18</f>
        <v/>
      </c>
      <c r="R63" s="92" t="n"/>
      <c r="S63" s="196">
        <f>T63</f>
        <v/>
      </c>
      <c r="T63" s="92">
        <f>H63-G63+1</f>
        <v/>
      </c>
      <c r="U63" s="92" t="n"/>
      <c r="V63" s="206" t="n"/>
      <c r="W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$C$11/$C$7-$AB$12-$AB$17</f>
        <v/>
      </c>
      <c r="Q64" s="519">
        <f>$C$12/$C$7-$AB$13-$AB$18</f>
        <v/>
      </c>
      <c r="R64" s="92" t="n"/>
      <c r="S64" s="196">
        <f>T64</f>
        <v/>
      </c>
      <c r="T64" s="92">
        <f>H64-G64+1</f>
        <v/>
      </c>
      <c r="U64" s="92" t="n"/>
      <c r="V64" s="206" t="n"/>
      <c r="W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$C$11/$C$7-$AB$12-$AB$17</f>
        <v/>
      </c>
      <c r="Q65" s="519">
        <f>$C$12/$C$7-$AB$13-$AB$18</f>
        <v/>
      </c>
      <c r="R65" s="92" t="n"/>
      <c r="S65" s="196">
        <f>T65</f>
        <v/>
      </c>
      <c r="T65" s="92">
        <f>H65-G65+1</f>
        <v/>
      </c>
      <c r="U65" s="92" t="n"/>
      <c r="V65" s="206" t="n"/>
      <c r="W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$C$11/$C$7-$AB$12-$AB$17</f>
        <v/>
      </c>
      <c r="Q66" s="519">
        <f>$C$12/$C$7-$AB$13-$AB$18</f>
        <v/>
      </c>
      <c r="R66" s="92" t="n"/>
      <c r="S66" s="196">
        <f>T66</f>
        <v/>
      </c>
      <c r="T66" s="92">
        <f>H66-G66+1</f>
        <v/>
      </c>
      <c r="U66" s="92" t="n"/>
      <c r="V66" s="206" t="n"/>
      <c r="W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$C$11/$C$7-$AB$12-$AB$17</f>
        <v/>
      </c>
      <c r="Q67" s="519">
        <f>$C$12/$C$7-$AB$13-$AB$18</f>
        <v/>
      </c>
      <c r="R67" s="92" t="n"/>
      <c r="S67" s="196">
        <f>T67</f>
        <v/>
      </c>
      <c r="T67" s="92">
        <f>H67-G67+1</f>
        <v/>
      </c>
      <c r="U67" s="92" t="n"/>
      <c r="V67" s="206" t="n"/>
      <c r="W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$C$11/$C$7-$AB$12-$AB$17</f>
        <v/>
      </c>
      <c r="Q68" s="519">
        <f>$C$12/$C$7-$AB$13-$AB$18</f>
        <v/>
      </c>
      <c r="R68" s="92" t="n"/>
      <c r="S68" s="196">
        <f>T68</f>
        <v/>
      </c>
      <c r="T68" s="92">
        <f>H68-G68+1</f>
        <v/>
      </c>
      <c r="U68" s="92" t="n"/>
      <c r="V68" s="206" t="n"/>
      <c r="W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$C$11/$C$7-$AB$12-$AB$17</f>
        <v/>
      </c>
      <c r="Q69" s="519">
        <f>$C$12/$C$7-$AB$13-$AB$18</f>
        <v/>
      </c>
      <c r="R69" s="92" t="n"/>
      <c r="S69" s="196">
        <f>T69</f>
        <v/>
      </c>
      <c r="T69" s="92">
        <f>H69-G69+1</f>
        <v/>
      </c>
      <c r="U69" s="92" t="n"/>
      <c r="V69" s="206" t="n"/>
      <c r="W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$C$11/$C$7-$AB$12-$AB$17</f>
        <v/>
      </c>
      <c r="Q70" s="519">
        <f>$C$12/$C$7-$AB$13-$AB$18</f>
        <v/>
      </c>
      <c r="R70" s="92" t="n"/>
      <c r="S70" s="196">
        <f>T70</f>
        <v/>
      </c>
      <c r="T70" s="92">
        <f>H70-G70+1</f>
        <v/>
      </c>
      <c r="U70" s="92" t="n"/>
      <c r="V70" s="206" t="n"/>
      <c r="W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$C$11/$C$7-$AB$12-$AB$17</f>
        <v/>
      </c>
      <c r="Q71" s="519">
        <f>$C$12/$C$7-$AB$13-$AB$18</f>
        <v/>
      </c>
      <c r="R71" s="92" t="n"/>
      <c r="S71" s="196">
        <f>T71</f>
        <v/>
      </c>
      <c r="T71" s="92">
        <f>H71-G71+1</f>
        <v/>
      </c>
      <c r="U71" s="92" t="n"/>
      <c r="V71" s="206" t="n"/>
      <c r="W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$C$11/$C$7-$AB$12-$AB$17</f>
        <v/>
      </c>
      <c r="Q72" s="519">
        <f>$C$12/$C$7-$AB$13-$AB$18</f>
        <v/>
      </c>
      <c r="R72" s="92" t="n"/>
      <c r="S72" s="196">
        <f>T72</f>
        <v/>
      </c>
      <c r="T72" s="92">
        <f>H72-G72+1</f>
        <v/>
      </c>
      <c r="U72" s="92" t="n"/>
      <c r="V72" s="206" t="n"/>
      <c r="W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$C$11/$C$7-$AB$12-$AB$17</f>
        <v/>
      </c>
      <c r="Q73" s="519">
        <f>$C$12/$C$7-$AB$13-$AB$18</f>
        <v/>
      </c>
      <c r="R73" s="92" t="n"/>
      <c r="S73" s="196">
        <f>T73</f>
        <v/>
      </c>
      <c r="T73" s="92">
        <f>H73-G73+1</f>
        <v/>
      </c>
      <c r="U73" s="92" t="n"/>
      <c r="V73" s="206" t="n"/>
      <c r="W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$C$11/$C$7-$AB$12-$AB$17</f>
        <v/>
      </c>
      <c r="Q74" s="519">
        <f>$C$12/$C$7-$AB$13-$AB$18</f>
        <v/>
      </c>
      <c r="R74" s="92" t="n"/>
      <c r="S74" s="196">
        <f>T74</f>
        <v/>
      </c>
      <c r="T74" s="92">
        <f>H74-G74+1</f>
        <v/>
      </c>
      <c r="U74" s="92" t="n"/>
      <c r="V74" s="206" t="n"/>
      <c r="W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$C$11/$C$7-$AB$12-$AB$17</f>
        <v/>
      </c>
      <c r="Q75" s="519">
        <f>$C$12/$C$7-$AB$13-$AB$18</f>
        <v/>
      </c>
      <c r="R75" s="92" t="n"/>
      <c r="S75" s="196">
        <f>T75</f>
        <v/>
      </c>
      <c r="T75" s="92">
        <f>H75-G75+1</f>
        <v/>
      </c>
      <c r="U75" s="92" t="n"/>
      <c r="V75" s="206" t="n"/>
      <c r="W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$C$11/$C$7-$AB$12-$AB$17</f>
        <v/>
      </c>
      <c r="Q76" s="519">
        <f>$C$12/$C$7-$AB$13-$AB$18</f>
        <v/>
      </c>
      <c r="R76" s="92" t="n"/>
      <c r="S76" s="196">
        <f>T76</f>
        <v/>
      </c>
      <c r="T76" s="92">
        <f>H76-G76+1</f>
        <v/>
      </c>
      <c r="U76" s="92" t="n"/>
      <c r="V76" s="206" t="n"/>
      <c r="W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($C$11/$C$7-$AB$12-$AB$17)-P5</f>
        <v/>
      </c>
      <c r="Q77" s="642">
        <f>($C$12/$C$7-$AB$13-$AB$18)-Q5</f>
        <v/>
      </c>
      <c r="R77" s="59" t="n"/>
      <c r="S77" s="12">
        <f>T77</f>
        <v/>
      </c>
      <c r="T77" s="59">
        <f>H77-G77+1</f>
        <v/>
      </c>
      <c r="U77" s="59" t="n"/>
      <c r="V77" s="95" t="n"/>
      <c r="W77" s="97" t="n"/>
    </row>
    <row r="78">
      <c r="O78" s="500" t="n"/>
    </row>
  </sheetData>
  <mergeCells count="1">
    <mergeCell ref="R25:R26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tabColor rgb="00E08A1E"/>
    <outlinePr summaryBelow="1" summaryRight="1"/>
    <pageSetUpPr/>
  </sheetPr>
  <dimension ref="A2:AN78"/>
  <sheetViews>
    <sheetView showGridLines="0" zoomScale="70" zoomScaleNormal="70" workbookViewId="0">
      <selection activeCell="Q6" sqref="Q6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6.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18.6875" bestFit="1" customWidth="1" style="497" min="18" max="18"/>
    <col width="9.375" customWidth="1" style="497" min="19" max="19"/>
    <col width="13.5" customWidth="1" style="497" min="20" max="20"/>
    <col width="18.6875" customWidth="1" style="497" min="21" max="23"/>
    <col width="12.1875" bestFit="1" customWidth="1" style="497" min="24" max="24"/>
    <col width="7.375" bestFit="1" customWidth="1" style="497" min="25" max="25"/>
    <col width="13.5" bestFit="1" customWidth="1" style="497" min="26" max="26"/>
    <col width="11.875" bestFit="1" customWidth="1" style="497" min="27" max="28"/>
    <col width="11.875" customWidth="1" style="497" min="29" max="29"/>
    <col width="14.125" bestFit="1" customWidth="1" style="497" min="30" max="30"/>
    <col width="14" bestFit="1" customWidth="1" style="497" min="31" max="31"/>
    <col width="10.1875" bestFit="1" customWidth="1" style="497" min="34" max="34"/>
    <col width="11.6875" bestFit="1" customWidth="1" style="497" min="35" max="35"/>
    <col width="11" bestFit="1" customWidth="1" style="497" min="39" max="39"/>
    <col width="10.625" bestFit="1" customWidth="1" style="497" min="40" max="40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 t="n"/>
      <c r="S2" s="500" t="n"/>
      <c r="T2" s="500" t="inlineStr">
        <is>
          <t>* 연체이자는 비과세로 V+기준으로 계산</t>
        </is>
      </c>
      <c r="U2" s="500" t="n"/>
      <c r="V2" s="500" t="n"/>
      <c r="W2" s="500" t="n"/>
      <c r="Z2" s="206" t="inlineStr">
        <is>
          <t>* 위약금은 비과세로 V+기준으로 계산</t>
        </is>
      </c>
      <c r="AC2" s="500" t="inlineStr">
        <is>
          <t>* 연체이자는 비과세로 V+기준으로 계산</t>
        </is>
      </c>
      <c r="AD2" s="500" t="n"/>
      <c r="AG2" s="206" t="inlineStr">
        <is>
          <t>v- 100단위 조정</t>
        </is>
      </c>
      <c r="AK2" s="206" t="inlineStr">
        <is>
          <t>v- 소수점만 제거</t>
        </is>
      </c>
      <c r="AN2" s="206" t="inlineStr">
        <is>
          <t>V+</t>
        </is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연체 누적 시 (V-)</t>
        </is>
      </c>
      <c r="S3" s="75" t="n"/>
      <c r="T3" s="76" t="n"/>
      <c r="U3" s="75" t="n"/>
      <c r="V3" s="76" t="n"/>
      <c r="W3" s="137" t="n"/>
      <c r="X3" s="75" t="inlineStr">
        <is>
          <t>연체3개월 초과 강제해지 (v-)</t>
        </is>
      </c>
      <c r="Y3" s="70" t="n"/>
      <c r="Z3" s="70" t="n"/>
      <c r="AA3" s="70" t="n"/>
      <c r="AB3" s="70" t="n"/>
      <c r="AC3" s="70" t="n"/>
      <c r="AD3" s="70" t="n"/>
      <c r="AE3" s="71" t="n"/>
      <c r="AG3" s="378" t="inlineStr">
        <is>
          <t>월 선납금(v-)</t>
        </is>
      </c>
      <c r="AH3" s="251" t="n"/>
      <c r="AI3" s="504">
        <f>$C$26/$C$7</f>
        <v/>
      </c>
      <c r="AK3" s="378" t="inlineStr">
        <is>
          <t>월 선납금(v-)</t>
        </is>
      </c>
      <c r="AL3" s="251" t="n"/>
      <c r="AM3" s="504">
        <f>$C$26/$C$7</f>
        <v/>
      </c>
      <c r="AN3" s="505">
        <f>AM3*1.1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구독료(연체료)청구</t>
        </is>
      </c>
      <c r="S4" s="9" t="inlineStr">
        <is>
          <t>납부여부</t>
        </is>
      </c>
      <c r="T4" s="63" t="inlineStr">
        <is>
          <t>누적 연체이자</t>
        </is>
      </c>
      <c r="U4" s="154" t="inlineStr">
        <is>
          <t>연체 1회</t>
        </is>
      </c>
      <c r="V4" s="136" t="inlineStr">
        <is>
          <t>연체 2회</t>
        </is>
      </c>
      <c r="W4" s="155" t="inlineStr">
        <is>
          <t>연체 3회</t>
        </is>
      </c>
      <c r="X4" s="9" t="inlineStr">
        <is>
          <t>계약중지</t>
        </is>
      </c>
      <c r="Y4" s="9" t="inlineStr">
        <is>
          <t>경과일</t>
        </is>
      </c>
      <c r="Z4" s="26" t="inlineStr">
        <is>
          <t>위약금</t>
        </is>
      </c>
      <c r="AA4" s="15" t="inlineStr">
        <is>
          <t>사용분 청구</t>
        </is>
      </c>
      <c r="AB4" s="15" t="inlineStr">
        <is>
          <t>할인금 회수</t>
        </is>
      </c>
      <c r="AC4" s="136" t="inlineStr">
        <is>
          <t>연체이자</t>
        </is>
      </c>
      <c r="AD4" s="15" t="inlineStr">
        <is>
          <t>선납잔액 환불</t>
        </is>
      </c>
      <c r="AE4" s="27" t="inlineStr">
        <is>
          <t>등록비 청구</t>
        </is>
      </c>
      <c r="AG4" s="375" t="n"/>
      <c r="AH4" s="506" t="inlineStr">
        <is>
          <t>제품</t>
        </is>
      </c>
      <c r="AI4" s="507">
        <f>AI3-AI5-AI6</f>
        <v/>
      </c>
      <c r="AK4" s="375" t="n"/>
      <c r="AL4" s="506" t="inlineStr">
        <is>
          <t>제품</t>
        </is>
      </c>
      <c r="AM4" s="507">
        <f>AM3-AM5-AM6</f>
        <v/>
      </c>
      <c r="AN4" s="505">
        <f>ROUND(AM4*1.1,)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ROUNDDOWN(($C$11/$C$7-AI5-AI10)*(H5-G5+1)/DAY(H5),-2)</f>
        <v/>
      </c>
      <c r="Q5" s="519">
        <f>ROUNDDOWN(($C$12/$C$7-AI6-AI11)*(H5-G5+1)/DAY(H5),-2)</f>
        <v/>
      </c>
      <c r="R5" s="515">
        <f>N5</f>
        <v/>
      </c>
      <c r="S5" s="573" t="n"/>
      <c r="T5" s="573" t="n"/>
      <c r="U5" s="516" t="n"/>
      <c r="V5" s="500" t="n"/>
      <c r="W5" s="519" t="n"/>
      <c r="X5" s="54" t="n"/>
      <c r="Y5" s="280">
        <f>H5-G5+1</f>
        <v/>
      </c>
      <c r="Z5" s="55" t="n"/>
      <c r="AA5" s="626" t="n"/>
      <c r="AB5" s="627" t="n"/>
      <c r="AC5" s="627" t="n"/>
      <c r="AD5" s="627" t="n"/>
      <c r="AE5" s="91" t="n"/>
      <c r="AG5" s="375" t="n"/>
      <c r="AH5" s="506" t="inlineStr">
        <is>
          <t>케어</t>
        </is>
      </c>
      <c r="AI5" s="507">
        <f>ROUND(AI3*$C11/$C$14,-2)</f>
        <v/>
      </c>
      <c r="AK5" s="375" t="n"/>
      <c r="AL5" s="506" t="inlineStr">
        <is>
          <t>케어</t>
        </is>
      </c>
      <c r="AM5" s="507">
        <f>ROUND(AM3*$C11/$C$14,0)</f>
        <v/>
      </c>
      <c r="AN5" s="505">
        <f>ROUND(AM5*1.1,)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$C$11/$C$7-$AI$5-$AI$10</f>
        <v/>
      </c>
      <c r="Q6" s="519">
        <f>$C$12/$C$7-$AI$6-$AI$11</f>
        <v/>
      </c>
      <c r="R6" s="515">
        <f>N6</f>
        <v/>
      </c>
      <c r="S6" s="573" t="n"/>
      <c r="T6" s="573" t="n"/>
      <c r="U6" s="516" t="n"/>
      <c r="V6" s="500" t="n"/>
      <c r="W6" s="519" t="n"/>
      <c r="X6" s="196" t="n"/>
      <c r="Y6" s="281">
        <f>H6-G6+1</f>
        <v/>
      </c>
      <c r="Z6" s="92" t="n"/>
      <c r="AA6" s="206" t="n"/>
      <c r="AB6" s="206" t="n"/>
      <c r="AC6" s="206" t="n"/>
      <c r="AD6" s="206" t="n"/>
      <c r="AE6" s="94" t="n"/>
      <c r="AG6" s="376" t="n"/>
      <c r="AH6" s="524" t="inlineStr">
        <is>
          <t>보증</t>
        </is>
      </c>
      <c r="AI6" s="507">
        <f>ROUND($AI$3*$C12/$C$14,-2)</f>
        <v/>
      </c>
      <c r="AK6" s="376" t="n"/>
      <c r="AL6" s="524" t="inlineStr">
        <is>
          <t>보증</t>
        </is>
      </c>
      <c r="AM6" s="507">
        <f>ROUND($AM$3*$C12/$C$14,0)</f>
        <v/>
      </c>
      <c r="AN6" s="505">
        <f>ROUND(AM6*1.1,)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$C$11/$C$7-$AI$5-$AI$10</f>
        <v/>
      </c>
      <c r="Q7" s="519">
        <f>$C$12/$C$7-$AI$6-$AI$11</f>
        <v/>
      </c>
      <c r="R7" s="515">
        <f>N7</f>
        <v/>
      </c>
      <c r="S7" s="573" t="n"/>
      <c r="T7" s="573" t="n"/>
      <c r="U7" s="516" t="n"/>
      <c r="V7" s="500" t="n"/>
      <c r="W7" s="519" t="n"/>
      <c r="X7" s="196" t="n"/>
      <c r="Y7" s="281">
        <f>H7-G7+1</f>
        <v/>
      </c>
      <c r="Z7" s="92" t="n"/>
      <c r="AA7" s="206" t="n"/>
      <c r="AB7" s="206" t="n"/>
      <c r="AC7" s="206" t="n"/>
      <c r="AD7" s="206" t="n"/>
      <c r="AE7" s="94" t="n"/>
      <c r="AG7" s="399" t="n"/>
      <c r="AH7" s="500" t="n"/>
      <c r="AI7" s="206" t="n"/>
      <c r="AK7" s="399" t="n"/>
      <c r="AL7" s="500" t="n"/>
      <c r="AM7" s="206" t="n"/>
      <c r="AN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$C$11/$C$7-$AI$5-$AI$10</f>
        <v/>
      </c>
      <c r="Q8" s="519">
        <f>$C$12/$C$7-$AI$6-$AI$11</f>
        <v/>
      </c>
      <c r="R8" s="515">
        <f>N8</f>
        <v/>
      </c>
      <c r="S8" s="573" t="n"/>
      <c r="T8" s="573" t="n"/>
      <c r="U8" s="516" t="n"/>
      <c r="V8" s="500" t="n"/>
      <c r="W8" s="519" t="n"/>
      <c r="X8" s="196" t="n"/>
      <c r="Y8" s="281">
        <f>H8-G8+1</f>
        <v/>
      </c>
      <c r="Z8" s="92" t="n"/>
      <c r="AA8" s="206" t="n"/>
      <c r="AB8" s="206" t="n"/>
      <c r="AC8" s="206" t="n"/>
      <c r="AD8" s="206" t="n"/>
      <c r="AE8" s="94" t="n"/>
      <c r="AG8" s="378" t="inlineStr">
        <is>
          <t>월 선납할인(V-)</t>
        </is>
      </c>
      <c r="AH8" s="251" t="n"/>
      <c r="AI8" s="525">
        <f>$C$30/$C$7</f>
        <v/>
      </c>
      <c r="AK8" s="378" t="inlineStr">
        <is>
          <t>월 선납할인(V-)</t>
        </is>
      </c>
      <c r="AL8" s="251" t="n"/>
      <c r="AM8" s="525">
        <f>$C$30/$C$7</f>
        <v/>
      </c>
      <c r="AN8" s="505">
        <f>AM8*1.1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$C$11/$C$7-$AI$5-$AI$10</f>
        <v/>
      </c>
      <c r="Q9" s="519">
        <f>$C$12/$C$7-$AI$6-$AI$11</f>
        <v/>
      </c>
      <c r="R9" s="515">
        <f>N9</f>
        <v/>
      </c>
      <c r="S9" s="573" t="n"/>
      <c r="T9" s="573" t="n"/>
      <c r="U9" s="516" t="n"/>
      <c r="V9" s="500" t="n"/>
      <c r="W9" s="519" t="n"/>
      <c r="X9" s="196" t="n"/>
      <c r="Y9" s="281">
        <f>H9-G9+1</f>
        <v/>
      </c>
      <c r="Z9" s="92" t="n"/>
      <c r="AA9" s="206" t="n"/>
      <c r="AB9" s="206" t="n"/>
      <c r="AC9" s="206" t="n"/>
      <c r="AD9" s="206" t="n"/>
      <c r="AE9" s="94" t="n"/>
      <c r="AG9" s="375" t="n"/>
      <c r="AH9" s="506" t="inlineStr">
        <is>
          <t>제품</t>
        </is>
      </c>
      <c r="AI9" s="507">
        <f>AI8-AI10-AI11</f>
        <v/>
      </c>
      <c r="AK9" s="375" t="n"/>
      <c r="AL9" s="506" t="inlineStr">
        <is>
          <t>제품</t>
        </is>
      </c>
      <c r="AM9" s="507">
        <f>AM8-AM10-AM11</f>
        <v/>
      </c>
      <c r="AN9" s="505">
        <f>ROUND(AM9*1.1,)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$C$11/$C$7-$AI$5-$AI$10</f>
        <v/>
      </c>
      <c r="Q10" s="519">
        <f>$C$12/$C$7-$AI$6-$AI$11</f>
        <v/>
      </c>
      <c r="R10" s="515">
        <f>N10</f>
        <v/>
      </c>
      <c r="S10" s="573" t="n"/>
      <c r="T10" s="573" t="n"/>
      <c r="U10" s="516" t="n"/>
      <c r="V10" s="500" t="n"/>
      <c r="W10" s="519" t="n"/>
      <c r="X10" s="196" t="n"/>
      <c r="Y10" s="281">
        <f>H10-G10+1</f>
        <v/>
      </c>
      <c r="Z10" s="92" t="n"/>
      <c r="AA10" s="206" t="n"/>
      <c r="AB10" s="206" t="n"/>
      <c r="AC10" s="206" t="n"/>
      <c r="AD10" s="206" t="n"/>
      <c r="AE10" s="94" t="n"/>
      <c r="AG10" s="375" t="n"/>
      <c r="AH10" s="506" t="inlineStr">
        <is>
          <t>케어</t>
        </is>
      </c>
      <c r="AI10" s="507">
        <f>ROUND($AI8*$C$11/$C$14,-2)</f>
        <v/>
      </c>
      <c r="AK10" s="375" t="n"/>
      <c r="AL10" s="506" t="inlineStr">
        <is>
          <t>케어</t>
        </is>
      </c>
      <c r="AM10" s="507">
        <f>ROUND($AM8*$C$11/$C$14,0)</f>
        <v/>
      </c>
      <c r="AN10" s="505">
        <f>ROUND(AM10*1.1,)</f>
        <v/>
      </c>
    </row>
    <row r="11">
      <c r="B11" s="9" t="inlineStr">
        <is>
          <t>케어서비스(v-)</t>
        </is>
      </c>
      <c r="C11" s="526">
        <f>5900*72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$C$11/$C$7-$AI$5-$AI$10</f>
        <v/>
      </c>
      <c r="Q11" s="519">
        <f>$C$12/$C$7-$AI$6-$AI$11</f>
        <v/>
      </c>
      <c r="R11" s="515">
        <f>N11</f>
        <v/>
      </c>
      <c r="S11" s="573" t="n"/>
      <c r="T11" s="573" t="n"/>
      <c r="U11" s="516" t="n"/>
      <c r="V11" s="500" t="n"/>
      <c r="W11" s="519" t="n"/>
      <c r="X11" s="196" t="n"/>
      <c r="Y11" s="281">
        <f>H11-G11+1</f>
        <v/>
      </c>
      <c r="Z11" s="92" t="n"/>
      <c r="AA11" s="206" t="n"/>
      <c r="AB11" s="206" t="n"/>
      <c r="AC11" s="206" t="n"/>
      <c r="AD11" s="206" t="n"/>
      <c r="AE11" s="94" t="n"/>
      <c r="AG11" s="376" t="n"/>
      <c r="AH11" s="524" t="inlineStr">
        <is>
          <t>보증</t>
        </is>
      </c>
      <c r="AI11" s="507">
        <f>ROUND($AI8*$C$12/$C$14,-2)</f>
        <v/>
      </c>
      <c r="AK11" s="376" t="n"/>
      <c r="AL11" s="524" t="inlineStr">
        <is>
          <t>보증</t>
        </is>
      </c>
      <c r="AM11" s="507">
        <f>ROUND($AM8*$C$12/$C$14,0)</f>
        <v/>
      </c>
      <c r="AN11" s="505">
        <f>ROUND(AM11*1.1,)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$C$11/$C$7-$AI$5-$AI$10</f>
        <v/>
      </c>
      <c r="Q12" s="519">
        <f>$C$12/$C$7-$AI$6-$AI$11</f>
        <v/>
      </c>
      <c r="R12" s="515">
        <f>N12</f>
        <v/>
      </c>
      <c r="S12" s="573" t="n"/>
      <c r="T12" s="573" t="n"/>
      <c r="U12" s="516" t="n"/>
      <c r="V12" s="500" t="n"/>
      <c r="W12" s="519" t="n"/>
      <c r="X12" s="196" t="n"/>
      <c r="Y12" s="281">
        <f>H12-G12+1</f>
        <v/>
      </c>
      <c r="Z12" s="92" t="n"/>
      <c r="AA12" s="206" t="n"/>
      <c r="AB12" s="206" t="n"/>
      <c r="AC12" s="206" t="n"/>
      <c r="AD12" s="206" t="n"/>
      <c r="AE12" s="94" t="n"/>
      <c r="AG12" s="399" t="n"/>
      <c r="AK12" s="399" t="n"/>
      <c r="AN12" s="505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$C$11/$C$7-$AI$5-$AI$10</f>
        <v/>
      </c>
      <c r="Q13" s="519">
        <f>$C$12/$C$7-$AI$6-$AI$11</f>
        <v/>
      </c>
      <c r="R13" s="515">
        <f>N13</f>
        <v/>
      </c>
      <c r="S13" s="573" t="n"/>
      <c r="T13" s="573" t="n"/>
      <c r="U13" s="516" t="n"/>
      <c r="V13" s="500" t="n"/>
      <c r="W13" s="519" t="n"/>
      <c r="X13" s="196" t="n"/>
      <c r="Y13" s="281">
        <f>H13-G13+1</f>
        <v/>
      </c>
      <c r="Z13" s="92" t="n"/>
      <c r="AA13" s="206" t="n"/>
      <c r="AB13" s="206" t="n"/>
      <c r="AC13" s="206" t="n"/>
      <c r="AD13" s="206" t="n"/>
      <c r="AE13" s="94" t="n"/>
      <c r="AG13" s="399" t="n"/>
      <c r="AH13" s="206" t="n"/>
      <c r="AI13" s="500" t="n"/>
      <c r="AJ13" s="206" t="n"/>
      <c r="AK13" s="399" t="n"/>
      <c r="AL13" s="206" t="n"/>
      <c r="AM13" s="500" t="n"/>
      <c r="AN13" s="505" t="n"/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$C$11/$C$7-$AI$5-$AI$10</f>
        <v/>
      </c>
      <c r="Q14" s="519">
        <f>$C$12/$C$7-$AI$6-$AI$11</f>
        <v/>
      </c>
      <c r="R14" s="515">
        <f>N14</f>
        <v/>
      </c>
      <c r="S14" s="573" t="n"/>
      <c r="T14" s="573" t="n"/>
      <c r="U14" s="516" t="n"/>
      <c r="V14" s="500" t="n"/>
      <c r="W14" s="519" t="n"/>
      <c r="X14" s="196" t="n"/>
      <c r="Y14" s="281">
        <f>H14-G14+1</f>
        <v/>
      </c>
      <c r="Z14" s="92" t="n"/>
      <c r="AA14" s="206" t="n"/>
      <c r="AB14" s="206" t="n"/>
      <c r="AC14" s="206" t="n"/>
      <c r="AD14" s="206" t="n"/>
      <c r="AE14" s="94" t="n"/>
      <c r="AG14" s="399" t="n"/>
      <c r="AH14" s="517" t="n"/>
      <c r="AI14" s="539" t="n"/>
      <c r="AJ14" s="206" t="n"/>
      <c r="AK14" s="399" t="n"/>
      <c r="AL14" s="517" t="n"/>
      <c r="AM14" s="539" t="n"/>
      <c r="AN14" s="505" t="n"/>
    </row>
    <row r="15">
      <c r="B15" s="9" t="inlineStr">
        <is>
          <t>월구독료(v-)</t>
        </is>
      </c>
      <c r="C15" s="526">
        <f>C14/C7</f>
        <v/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$C$11/$C$7-$AI$5-$AI$10</f>
        <v/>
      </c>
      <c r="Q15" s="519">
        <f>$C$12/$C$7-$AI$6-$AI$11</f>
        <v/>
      </c>
      <c r="R15" s="515">
        <f>N15</f>
        <v/>
      </c>
      <c r="S15" s="573" t="n"/>
      <c r="T15" s="573" t="n"/>
      <c r="U15" s="516" t="n"/>
      <c r="V15" s="500" t="n"/>
      <c r="W15" s="519" t="n"/>
      <c r="X15" s="196" t="n"/>
      <c r="Y15" s="281">
        <f>H15-G15+1</f>
        <v/>
      </c>
      <c r="Z15" s="92" t="n"/>
      <c r="AA15" s="206" t="n"/>
      <c r="AB15" s="206" t="n"/>
      <c r="AC15" s="206" t="n"/>
      <c r="AD15" s="206" t="n"/>
      <c r="AE15" s="94" t="n"/>
      <c r="AG15" s="399" t="n"/>
      <c r="AH15" s="517" t="n"/>
      <c r="AI15" s="539" t="n"/>
      <c r="AJ15" s="206" t="n"/>
      <c r="AK15" s="399" t="n"/>
      <c r="AL15" s="517" t="n"/>
      <c r="AM15" s="539" t="n"/>
      <c r="AN15" s="505" t="n"/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$C$11/$C$7-$AI$5-$AI$10</f>
        <v/>
      </c>
      <c r="Q16" s="519">
        <f>$C$12/$C$7-$AI$6-$AI$11</f>
        <v/>
      </c>
      <c r="R16" s="515">
        <f>N16</f>
        <v/>
      </c>
      <c r="S16" s="573" t="n"/>
      <c r="T16" s="573" t="n"/>
      <c r="U16" s="516" t="n"/>
      <c r="V16" s="500" t="n"/>
      <c r="W16" s="519" t="n"/>
      <c r="X16" s="196" t="n"/>
      <c r="Y16" s="281">
        <f>H16-G16+1</f>
        <v/>
      </c>
      <c r="Z16" s="92" t="n"/>
      <c r="AA16" s="206" t="n"/>
      <c r="AB16" s="206" t="n"/>
      <c r="AC16" s="206" t="n"/>
      <c r="AD16" s="206" t="n"/>
      <c r="AE16" s="94" t="n"/>
      <c r="AG16" s="399" t="n"/>
      <c r="AH16" s="505" t="n"/>
      <c r="AI16" s="539" t="n"/>
      <c r="AJ16" s="206" t="n"/>
      <c r="AK16" s="399" t="n"/>
      <c r="AL16" s="505" t="n"/>
      <c r="AM16" s="539" t="n"/>
      <c r="AN16" s="505" t="n"/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$C$11/$C$7-$AI$5-$AI$10</f>
        <v/>
      </c>
      <c r="Q17" s="519">
        <f>$C$12/$C$7-$AI$6-$AI$11</f>
        <v/>
      </c>
      <c r="R17" s="515">
        <f>N17</f>
        <v/>
      </c>
      <c r="S17" s="573" t="n"/>
      <c r="T17" s="573" t="n"/>
      <c r="U17" s="516" t="n"/>
      <c r="V17" s="500" t="n"/>
      <c r="W17" s="519" t="n"/>
      <c r="X17" s="196" t="n"/>
      <c r="Y17" s="281">
        <f>H17-G17+1</f>
        <v/>
      </c>
      <c r="Z17" s="92" t="n"/>
      <c r="AA17" s="206" t="n"/>
      <c r="AB17" s="206" t="n"/>
      <c r="AC17" s="206" t="n"/>
      <c r="AD17" s="206" t="n"/>
      <c r="AE17" s="94" t="n"/>
      <c r="AG17" s="399" t="n"/>
      <c r="AH17" s="206" t="n"/>
      <c r="AI17" s="206" t="n"/>
      <c r="AJ17" s="206" t="n"/>
      <c r="AK17" s="399" t="n"/>
      <c r="AL17" s="206" t="n"/>
      <c r="AM17" s="206" t="n"/>
      <c r="AN17" s="505" t="n"/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$C$11/$C$7-$AI$5-$AI$10</f>
        <v/>
      </c>
      <c r="Q18" s="519">
        <f>$C$12/$C$7-$AI$6-$AI$11</f>
        <v/>
      </c>
      <c r="R18" s="515">
        <f>N18</f>
        <v/>
      </c>
      <c r="S18" s="573" t="n"/>
      <c r="T18" s="573" t="n"/>
      <c r="U18" s="516" t="n"/>
      <c r="V18" s="500" t="n"/>
      <c r="W18" s="519" t="n"/>
      <c r="X18" s="196" t="n"/>
      <c r="Y18" s="281">
        <f>H18-G18+1</f>
        <v/>
      </c>
      <c r="Z18" s="92" t="n"/>
      <c r="AA18" s="206" t="n"/>
      <c r="AB18" s="206" t="n"/>
      <c r="AC18" s="206" t="n"/>
      <c r="AD18" s="206" t="n"/>
      <c r="AE18" s="94" t="n"/>
      <c r="AG18" s="399" t="n"/>
      <c r="AH18" s="206" t="n"/>
      <c r="AI18" s="500" t="n"/>
      <c r="AJ18" s="206" t="n"/>
      <c r="AK18" s="399" t="n"/>
      <c r="AL18" s="206" t="n"/>
      <c r="AM18" s="500" t="n"/>
      <c r="AN18" s="505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$C$11/$C$7-$AI$5-$AI$10</f>
        <v/>
      </c>
      <c r="Q19" s="519">
        <f>$C$12/$C$7-$AI$6-$AI$11</f>
        <v/>
      </c>
      <c r="R19" s="515">
        <f>N19</f>
        <v/>
      </c>
      <c r="S19" s="573" t="n"/>
      <c r="T19" s="573" t="n"/>
      <c r="U19" s="516" t="inlineStr">
        <is>
          <t>* 연체 발생 이후 익월 청구일부터 가산이자 발생</t>
        </is>
      </c>
      <c r="V19" s="500" t="n"/>
      <c r="W19" s="519" t="n"/>
      <c r="X19" s="196" t="n"/>
      <c r="Y19" s="281">
        <f>H19-G19+1</f>
        <v/>
      </c>
      <c r="Z19" s="92" t="n"/>
      <c r="AA19" s="206" t="n"/>
      <c r="AB19" s="206" t="n"/>
      <c r="AC19" s="206" t="n"/>
      <c r="AD19" s="206" t="n"/>
      <c r="AE19" s="94" t="n"/>
      <c r="AG19" s="399" t="n"/>
      <c r="AH19" s="517" t="n"/>
      <c r="AI19" s="539" t="n"/>
      <c r="AJ19" s="206" t="n"/>
      <c r="AK19" s="399" t="n"/>
      <c r="AL19" s="517" t="n"/>
      <c r="AM19" s="539" t="n"/>
      <c r="AN19" s="505" t="n"/>
    </row>
    <row r="20">
      <c r="A20" s="176" t="n"/>
      <c r="B20" s="9" t="inlineStr">
        <is>
          <t>선납금 %</t>
        </is>
      </c>
      <c r="C20" s="288" t="n">
        <v>0.3</v>
      </c>
      <c r="F20" s="141" t="inlineStr">
        <is>
          <t>16회차</t>
        </is>
      </c>
      <c r="G20" s="142">
        <f>H19+1</f>
        <v/>
      </c>
      <c r="H20" s="142">
        <f>EOMONTH(G20,0)</f>
        <v/>
      </c>
      <c r="I20" s="143">
        <f>EDATE(I19,1)</f>
        <v/>
      </c>
      <c r="J20" s="720">
        <f>$C$15</f>
        <v/>
      </c>
      <c r="K20" s="721">
        <f>$C$13/$C$7</f>
        <v/>
      </c>
      <c r="L20" s="722">
        <f>$C$11/$C$7</f>
        <v/>
      </c>
      <c r="M20" s="723">
        <f>$C$12/$C$7</f>
        <v/>
      </c>
      <c r="N20" s="720">
        <f>$C$31</f>
        <v/>
      </c>
      <c r="O20" s="721">
        <f>N20-P20-Q20</f>
        <v/>
      </c>
      <c r="P20" s="724">
        <f>$C$11/$C$7-$AI$5-$AI$10</f>
        <v/>
      </c>
      <c r="Q20" s="725">
        <f>$C$12/$C$7-$AI$6-$AI$11</f>
        <v/>
      </c>
      <c r="R20" s="720">
        <f>N20</f>
        <v/>
      </c>
      <c r="S20" s="141" t="inlineStr">
        <is>
          <t>연체</t>
        </is>
      </c>
      <c r="T20" s="726" t="n"/>
      <c r="U20" s="721" t="n"/>
      <c r="V20" s="724" t="n"/>
      <c r="W20" s="725" t="n"/>
      <c r="X20" s="158" t="n"/>
      <c r="Y20" s="159">
        <f>H20-G20+1</f>
        <v/>
      </c>
      <c r="Z20" s="160" t="n"/>
      <c r="AA20" s="724">
        <f>N20</f>
        <v/>
      </c>
      <c r="AB20" s="282" t="n"/>
      <c r="AC20" s="282" t="n"/>
      <c r="AD20" s="282" t="n"/>
      <c r="AE20" s="161" t="n"/>
      <c r="AG20" s="399" t="n"/>
      <c r="AH20" s="517" t="n"/>
      <c r="AI20" s="539" t="n"/>
      <c r="AJ20" s="206" t="n"/>
      <c r="AK20" s="399" t="n"/>
      <c r="AL20" s="517" t="n"/>
      <c r="AM20" s="539" t="n"/>
      <c r="AN20" s="505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41" t="inlineStr">
        <is>
          <t>17회차</t>
        </is>
      </c>
      <c r="G21" s="142">
        <f>H20+1</f>
        <v/>
      </c>
      <c r="H21" s="142">
        <f>EOMONTH(G21,0)</f>
        <v/>
      </c>
      <c r="I21" s="143">
        <f>EDATE(I20,1)</f>
        <v/>
      </c>
      <c r="J21" s="720">
        <f>$C$15</f>
        <v/>
      </c>
      <c r="K21" s="721">
        <f>$C$13/$C$7</f>
        <v/>
      </c>
      <c r="L21" s="722">
        <f>$C$11/$C$7</f>
        <v/>
      </c>
      <c r="M21" s="723">
        <f>$C$12/$C$7</f>
        <v/>
      </c>
      <c r="N21" s="720">
        <f>$C$31</f>
        <v/>
      </c>
      <c r="O21" s="721">
        <f>N21-P21-Q21</f>
        <v/>
      </c>
      <c r="P21" s="724">
        <f>$C$11/$C$7-$AI$5-$AI$10</f>
        <v/>
      </c>
      <c r="Q21" s="725">
        <f>$C$12/$C$7-$AI$6-$AI$11</f>
        <v/>
      </c>
      <c r="R21" s="727">
        <f>N21+T21</f>
        <v/>
      </c>
      <c r="S21" s="141" t="inlineStr">
        <is>
          <t>연체</t>
        </is>
      </c>
      <c r="T21" s="726">
        <f>SUM(U21:W21)</f>
        <v/>
      </c>
      <c r="U21" s="728">
        <f>ROUNDDOWN((N20*1.1)*6%*(I21-I20-1)/365,-1)</f>
        <v/>
      </c>
      <c r="V21" s="724" t="n"/>
      <c r="W21" s="725" t="n"/>
      <c r="X21" s="158" t="n"/>
      <c r="Y21" s="159">
        <f>H21-G21+1</f>
        <v/>
      </c>
      <c r="Z21" s="160" t="n"/>
      <c r="AA21" s="724">
        <f>N21</f>
        <v/>
      </c>
      <c r="AB21" s="282" t="n"/>
      <c r="AC21" s="729" t="n"/>
      <c r="AD21" s="729" t="n"/>
      <c r="AE21" s="161" t="n"/>
      <c r="AG21" s="399" t="n"/>
      <c r="AH21" s="505" t="n"/>
      <c r="AI21" s="539" t="n"/>
      <c r="AJ21" s="206" t="n"/>
      <c r="AK21" s="399" t="n"/>
      <c r="AL21" s="505" t="n"/>
      <c r="AM21" s="539" t="n"/>
      <c r="AN21" s="505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41" t="inlineStr">
        <is>
          <t>18회차</t>
        </is>
      </c>
      <c r="G22" s="142">
        <f>H21+1</f>
        <v/>
      </c>
      <c r="H22" s="142">
        <f>EOMONTH(G22,0)</f>
        <v/>
      </c>
      <c r="I22" s="143">
        <f>EDATE(I21,1)</f>
        <v/>
      </c>
      <c r="J22" s="720">
        <f>$C$15</f>
        <v/>
      </c>
      <c r="K22" s="721">
        <f>$C$13/$C$7</f>
        <v/>
      </c>
      <c r="L22" s="722">
        <f>$C$11/$C$7</f>
        <v/>
      </c>
      <c r="M22" s="723">
        <f>$C$12/$C$7</f>
        <v/>
      </c>
      <c r="N22" s="720">
        <f>$C$31</f>
        <v/>
      </c>
      <c r="O22" s="721">
        <f>N22-P22-Q22</f>
        <v/>
      </c>
      <c r="P22" s="724">
        <f>$C$11/$C$7-$AI$5-$AI$10</f>
        <v/>
      </c>
      <c r="Q22" s="725">
        <f>$C$12/$C$7-$AI$6-$AI$11</f>
        <v/>
      </c>
      <c r="R22" s="727">
        <f>N22+T22</f>
        <v/>
      </c>
      <c r="S22" s="141" t="inlineStr">
        <is>
          <t>연체</t>
        </is>
      </c>
      <c r="T22" s="726">
        <f>SUM(U22:W22)</f>
        <v/>
      </c>
      <c r="U22" s="728">
        <f>ROUNDDOWN((N20*1.1)*6%*(I22-I20-1)/365,-1)</f>
        <v/>
      </c>
      <c r="V22" s="729">
        <f>ROUNDDOWN((N21*1.1)*6%*(I22-I21-1)/365,-1)</f>
        <v/>
      </c>
      <c r="W22" s="725" t="n"/>
      <c r="X22" s="158" t="n"/>
      <c r="Y22" s="159">
        <f>H22-G22+1</f>
        <v/>
      </c>
      <c r="Z22" s="160" t="n"/>
      <c r="AA22" s="724">
        <f>N22</f>
        <v/>
      </c>
      <c r="AB22" s="282" t="n"/>
      <c r="AC22" s="729" t="n"/>
      <c r="AD22" s="729" t="n"/>
      <c r="AE22" s="161" t="n"/>
      <c r="AG22" s="206" t="n"/>
      <c r="AH22" s="206" t="n"/>
      <c r="AI22" s="206" t="n"/>
      <c r="AJ22" s="206" t="n"/>
      <c r="AK22" s="206" t="n"/>
      <c r="AL22" s="206" t="n"/>
      <c r="AM22" s="206" t="n"/>
      <c r="AN22" s="206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41" t="inlineStr">
        <is>
          <t>19회차</t>
        </is>
      </c>
      <c r="G23" s="142">
        <f>H22+1</f>
        <v/>
      </c>
      <c r="H23" s="142">
        <f>EOMONTH(G23,0)</f>
        <v/>
      </c>
      <c r="I23" s="143">
        <f>EDATE(I22,1)</f>
        <v/>
      </c>
      <c r="J23" s="720">
        <f>$C$15</f>
        <v/>
      </c>
      <c r="K23" s="721">
        <f>$C$13/$C$7</f>
        <v/>
      </c>
      <c r="L23" s="722">
        <f>$C$11/$C$7</f>
        <v/>
      </c>
      <c r="M23" s="723">
        <f>$C$12/$C$7</f>
        <v/>
      </c>
      <c r="N23" s="720">
        <f>$C$31</f>
        <v/>
      </c>
      <c r="O23" s="721">
        <f>N23-P23-Q23</f>
        <v/>
      </c>
      <c r="P23" s="724">
        <f>$C$11/$C$7-$AI$5-$AI$10</f>
        <v/>
      </c>
      <c r="Q23" s="725">
        <f>$C$12/$C$7-$AI$6-$AI$11</f>
        <v/>
      </c>
      <c r="R23" s="727">
        <f>N23+T23</f>
        <v/>
      </c>
      <c r="S23" s="141" t="inlineStr">
        <is>
          <t>연체</t>
        </is>
      </c>
      <c r="T23" s="726">
        <f>SUM(U23:W23)</f>
        <v/>
      </c>
      <c r="U23" s="728">
        <f>ROUNDDOWN((N20*1.1)*6%*(I23-I20-1)/365,-1)</f>
        <v/>
      </c>
      <c r="V23" s="729">
        <f>ROUNDDOWN((N21*1.1)*6%*(I23-I21-1)/365,-1)</f>
        <v/>
      </c>
      <c r="W23" s="730">
        <f>ROUNDDOWN((N22*1.1)*6%*(I23-I22-1)/365,-1)</f>
        <v/>
      </c>
      <c r="X23" s="158" t="n"/>
      <c r="Y23" s="159">
        <f>H23-G23+1</f>
        <v/>
      </c>
      <c r="Z23" s="160" t="n"/>
      <c r="AA23" s="724">
        <f>N23</f>
        <v/>
      </c>
      <c r="AB23" s="282" t="n"/>
      <c r="AC23" s="729">
        <f>T23</f>
        <v/>
      </c>
      <c r="AD23" s="729" t="n"/>
      <c r="AE23" s="161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$C$31</f>
        <v/>
      </c>
      <c r="O24" s="516">
        <f>N24-P24-Q24</f>
        <v/>
      </c>
      <c r="P24" s="500">
        <f>$C$11/$C$7-$AI$5-$AI$10</f>
        <v/>
      </c>
      <c r="Q24" s="519">
        <f>$C$12/$C$7-$AI$6-$AI$11</f>
        <v/>
      </c>
      <c r="R24" s="646" t="n"/>
      <c r="S24" s="731" t="n"/>
      <c r="T24" s="573" t="n"/>
      <c r="U24" s="516" t="inlineStr">
        <is>
          <t xml:space="preserve">* CE는 구독료(v-)*1.1을 적용하여 구독료(v+)를 구할 수 있지만 </t>
        </is>
      </c>
      <c r="V24" s="500" t="n"/>
      <c r="W24" s="519" t="n"/>
      <c r="X24" s="162">
        <f>I23+DAY(2)</f>
        <v/>
      </c>
      <c r="Y24" s="222">
        <f>X24-G24</f>
        <v/>
      </c>
      <c r="Z24" s="732">
        <f>ROUNDDOWN(((C16)*(C8-SUM(Y5:Y24))/C8)*20%,-1)</f>
        <v/>
      </c>
      <c r="AA24" s="648">
        <f>SUM(AA20:AA23)+ROUNDDOWN(N24*Y24/DAY(H24),-2)</f>
        <v/>
      </c>
      <c r="AB24" s="648">
        <f>ROUNDDOWN(C30*SUM(Y5:Y24)/C8,-2)</f>
        <v/>
      </c>
      <c r="AC24" s="733">
        <f>AC23</f>
        <v/>
      </c>
      <c r="AD24" s="648">
        <f>-ROUNDUP((C26*(C8-SUM(Y5:Y24))/C8),-2)</f>
        <v/>
      </c>
      <c r="AE24" s="734">
        <f>ROUNDDOWN(C40/1.1*SUM(Y5:Y24)/C8,-2)</f>
        <v/>
      </c>
      <c r="AF24" s="206" t="inlineStr">
        <is>
          <t>* 위약금, 할인회수, 선납잔액 환불, 등록비 청구 기준: 일수비율</t>
        </is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$C$11/$C$7-$AI$5-$AI$10</f>
        <v/>
      </c>
      <c r="Q25" s="519">
        <f>$C$12/$C$7-$AI$6-$AI$11</f>
        <v/>
      </c>
      <c r="R25" s="515" t="n"/>
      <c r="S25" s="573" t="n"/>
      <c r="T25" s="573" t="n"/>
      <c r="U25" s="516" t="inlineStr">
        <is>
          <t>MX는 피과세 파손보험 포함으로 단순*1.1 적용 불가</t>
        </is>
      </c>
      <c r="V25" s="500" t="n"/>
      <c r="W25" s="519" t="n"/>
      <c r="X25" s="196" t="inlineStr">
        <is>
          <t xml:space="preserve">* 4회차 정기청구일+2일 '중지' </t>
        </is>
      </c>
      <c r="Y25" s="196" t="n"/>
      <c r="Z25" s="92" t="n"/>
      <c r="AA25" s="500" t="n"/>
      <c r="AB25" s="206" t="n"/>
      <c r="AC25" s="206" t="n"/>
      <c r="AD25" s="206" t="n"/>
      <c r="AE25" s="94" t="n"/>
    </row>
    <row r="26">
      <c r="A26" s="176" t="n"/>
      <c r="B26" s="63" t="inlineStr">
        <is>
          <t>(최종) 선납금 (V-)</t>
        </is>
      </c>
      <c r="C26" s="506">
        <f>C22*C7</f>
        <v/>
      </c>
      <c r="D26" s="206">
        <f>C14-C25=C26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$C$11/$C$7-$AI$5-$AI$10</f>
        <v/>
      </c>
      <c r="Q26" s="519">
        <f>$C$12/$C$7-$AI$6-$AI$11</f>
        <v/>
      </c>
      <c r="R26" s="515" t="n"/>
      <c r="S26" s="573" t="n"/>
      <c r="T26" s="573" t="n"/>
      <c r="U26" s="516" t="n"/>
      <c r="V26" s="500" t="n"/>
      <c r="W26" s="519" t="n"/>
      <c r="X26" s="196" t="n"/>
      <c r="Y26" s="196" t="n"/>
      <c r="Z26" s="92" t="n"/>
      <c r="AA26" s="500" t="n"/>
      <c r="AB26" s="206" t="n"/>
      <c r="AC26" s="206" t="n"/>
      <c r="AD26" s="206" t="n"/>
      <c r="AE26" s="94" t="n"/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$C$11/$C$7-$AI$5-$AI$10</f>
        <v/>
      </c>
      <c r="Q27" s="519">
        <f>$C$12/$C$7-$AI$6-$AI$11</f>
        <v/>
      </c>
      <c r="R27" s="515" t="n"/>
      <c r="S27" s="573" t="n"/>
      <c r="T27" s="573" t="n"/>
      <c r="U27" s="516" t="n"/>
      <c r="V27" s="500" t="n"/>
      <c r="W27" s="519" t="n"/>
      <c r="X27" s="196" t="n"/>
      <c r="Y27" s="196" t="n"/>
      <c r="Z27" s="92" t="n"/>
      <c r="AA27" s="206" t="n"/>
      <c r="AB27" s="206" t="n"/>
      <c r="AC27" s="206" t="n"/>
      <c r="AD27" s="206" t="n"/>
      <c r="AE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$C$11/$C$7-$AI$5-$AI$10</f>
        <v/>
      </c>
      <c r="Q28" s="519">
        <f>$C$12/$C$7-$AI$6-$AI$11</f>
        <v/>
      </c>
      <c r="R28" s="515" t="n"/>
      <c r="S28" s="573" t="n"/>
      <c r="T28" s="573" t="n"/>
      <c r="U28" s="516" t="n"/>
      <c r="V28" s="500" t="n"/>
      <c r="W28" s="519" t="n"/>
      <c r="X28" s="196" t="n"/>
      <c r="Y28" s="196" t="n"/>
      <c r="Z28" s="92" t="n"/>
      <c r="AA28" s="206" t="n"/>
      <c r="AB28" s="206" t="n"/>
      <c r="AC28" s="206" t="n"/>
      <c r="AD28" s="206" t="n"/>
      <c r="AE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$C$11/$C$7-$AI$5-$AI$10</f>
        <v/>
      </c>
      <c r="Q29" s="519">
        <f>$C$12/$C$7-$AI$6-$AI$11</f>
        <v/>
      </c>
      <c r="R29" s="515" t="n"/>
      <c r="S29" s="573" t="n"/>
      <c r="T29" s="573" t="n"/>
      <c r="U29" s="516" t="n"/>
      <c r="V29" s="500" t="n"/>
      <c r="W29" s="519" t="n"/>
      <c r="X29" s="196" t="n"/>
      <c r="Y29" s="196" t="n"/>
      <c r="Z29" s="92" t="n"/>
      <c r="AA29" s="206" t="n"/>
      <c r="AB29" s="206" t="n"/>
      <c r="AC29" s="206" t="n"/>
      <c r="AD29" s="206" t="n"/>
      <c r="AE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$C$11/$C$7-$AI$5-$AI$10</f>
        <v/>
      </c>
      <c r="Q30" s="519">
        <f>$C$12/$C$7-$AI$6-$AI$11</f>
        <v/>
      </c>
      <c r="R30" s="515" t="n"/>
      <c r="S30" s="573" t="n"/>
      <c r="T30" s="573" t="n"/>
      <c r="U30" s="516" t="n"/>
      <c r="V30" s="500" t="n"/>
      <c r="W30" s="519" t="n"/>
      <c r="X30" s="196" t="n"/>
      <c r="Y30" s="196" t="n"/>
      <c r="Z30" s="92" t="n"/>
      <c r="AA30" s="206" t="n"/>
      <c r="AB30" s="206" t="n"/>
      <c r="AC30" s="206" t="n"/>
      <c r="AD30" s="206" t="n"/>
      <c r="AE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$C$11/$C$7-$AI$5-$AI$10</f>
        <v/>
      </c>
      <c r="Q31" s="519">
        <f>$C$12/$C$7-$AI$6-$AI$11</f>
        <v/>
      </c>
      <c r="R31" s="515" t="n"/>
      <c r="S31" s="573" t="n"/>
      <c r="T31" s="573" t="n"/>
      <c r="U31" s="516" t="n"/>
      <c r="V31" s="500" t="n"/>
      <c r="W31" s="519" t="n"/>
      <c r="X31" s="196" t="n"/>
      <c r="Y31" s="196" t="n"/>
      <c r="Z31" s="92" t="n"/>
      <c r="AA31" s="206" t="n"/>
      <c r="AB31" s="206" t="n"/>
      <c r="AC31" s="206" t="n"/>
      <c r="AD31" s="206" t="n"/>
      <c r="AE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$C$11/$C$7-$AI$5-$AI$10</f>
        <v/>
      </c>
      <c r="Q32" s="519">
        <f>$C$12/$C$7-$AI$6-$AI$11</f>
        <v/>
      </c>
      <c r="R32" s="515" t="n"/>
      <c r="S32" s="573" t="n"/>
      <c r="T32" s="573" t="n"/>
      <c r="U32" s="516" t="n"/>
      <c r="V32" s="500" t="n"/>
      <c r="W32" s="519" t="n"/>
      <c r="X32" s="196" t="n"/>
      <c r="Y32" s="196" t="n"/>
      <c r="Z32" s="92" t="n"/>
      <c r="AA32" s="206" t="n"/>
      <c r="AB32" s="206" t="n"/>
      <c r="AC32" s="206" t="n"/>
      <c r="AD32" s="206" t="n"/>
      <c r="AE32" s="94" t="n"/>
    </row>
    <row r="33">
      <c r="B33" s="9" t="inlineStr">
        <is>
          <t>(최종) 선납금+선납 할인 반영 월 구독료 (V+)</t>
        </is>
      </c>
      <c r="C33" s="506">
        <f>(C16-(C26+C30)*1.1)/C7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$C$11/$C$7-$AI$5-$AI$10</f>
        <v/>
      </c>
      <c r="Q33" s="519">
        <f>$C$12/$C$7-$AI$6-$AI$11</f>
        <v/>
      </c>
      <c r="R33" s="515" t="n"/>
      <c r="S33" s="573" t="n"/>
      <c r="T33" s="573" t="n"/>
      <c r="U33" s="516" t="n"/>
      <c r="V33" s="500" t="n"/>
      <c r="W33" s="519" t="n"/>
      <c r="X33" s="196" t="n"/>
      <c r="Y33" s="196" t="n"/>
      <c r="Z33" s="92" t="n"/>
      <c r="AA33" s="206" t="n"/>
      <c r="AB33" s="206" t="n"/>
      <c r="AC33" s="206" t="n"/>
      <c r="AD33" s="206" t="n"/>
      <c r="AE33" s="94" t="n"/>
    </row>
    <row r="34">
      <c r="B34" s="9" t="inlineStr">
        <is>
          <t>(최종) 선납금+선납 할인 반영 총 구독료 (V+)</t>
        </is>
      </c>
      <c r="C34" s="506">
        <f>(C16-(C26+C30)*1.1)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$C$11/$C$7-$AI$5-$AI$10</f>
        <v/>
      </c>
      <c r="Q34" s="519">
        <f>$C$12/$C$7-$AI$6-$AI$11</f>
        <v/>
      </c>
      <c r="R34" s="515" t="n"/>
      <c r="S34" s="573" t="n"/>
      <c r="T34" s="573" t="n"/>
      <c r="U34" s="516" t="n"/>
      <c r="V34" s="500" t="n"/>
      <c r="W34" s="519" t="n"/>
      <c r="X34" s="196" t="n"/>
      <c r="Y34" s="196" t="n"/>
      <c r="Z34" s="92" t="n"/>
      <c r="AA34" s="206" t="n"/>
      <c r="AB34" s="206" t="n"/>
      <c r="AC34" s="206" t="n"/>
      <c r="AD34" s="206" t="n"/>
      <c r="AE34" s="94" t="n"/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$C$11/$C$7-$AI$5-$AI$10</f>
        <v/>
      </c>
      <c r="Q35" s="519">
        <f>$C$12/$C$7-$AI$6-$AI$11</f>
        <v/>
      </c>
      <c r="R35" s="515" t="n"/>
      <c r="S35" s="573" t="n"/>
      <c r="T35" s="573" t="n"/>
      <c r="U35" s="516" t="n"/>
      <c r="V35" s="500" t="n"/>
      <c r="W35" s="519" t="n"/>
      <c r="X35" s="196" t="n"/>
      <c r="Y35" s="196" t="n"/>
      <c r="Z35" s="92" t="n"/>
      <c r="AA35" s="206" t="n"/>
      <c r="AB35" s="206" t="n"/>
      <c r="AC35" s="206" t="n"/>
      <c r="AD35" s="206" t="n"/>
      <c r="AE35" s="94" t="n"/>
    </row>
    <row r="36">
      <c r="B36" s="9" t="inlineStr">
        <is>
          <t>선납금+선납 할인 반영 순수 구독료 (V-)</t>
        </is>
      </c>
      <c r="C36" s="506">
        <f>C32-C11-C12+SUM(AI5:AI6,AI10:AI11)*C7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$C$11/$C$7-$AI$5-$AI$10</f>
        <v/>
      </c>
      <c r="Q36" s="519">
        <f>$C$12/$C$7-$AI$6-$AI$11</f>
        <v/>
      </c>
      <c r="R36" s="515" t="n"/>
      <c r="S36" s="573" t="n"/>
      <c r="T36" s="573" t="n"/>
      <c r="U36" s="516" t="n"/>
      <c r="V36" s="500" t="n"/>
      <c r="W36" s="519" t="n"/>
      <c r="X36" s="196" t="n"/>
      <c r="Y36" s="196" t="n"/>
      <c r="Z36" s="92" t="n"/>
      <c r="AA36" s="206" t="n"/>
      <c r="AB36" s="206" t="n"/>
      <c r="AC36" s="206" t="n"/>
      <c r="AD36" s="206" t="n"/>
      <c r="AE36" s="94" t="n"/>
    </row>
    <row r="37">
      <c r="B37" s="9" t="inlineStr">
        <is>
          <t>선납금+선납 할인 반영 순수 구독료 월할 (V-)</t>
        </is>
      </c>
      <c r="C37" s="506">
        <f>C36/C7</f>
        <v/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$C$11/$C$7-$AI$5-$AI$10</f>
        <v/>
      </c>
      <c r="Q37" s="519">
        <f>$C$12/$C$7-$AI$6-$AI$11</f>
        <v/>
      </c>
      <c r="R37" s="515" t="n"/>
      <c r="S37" s="573" t="n"/>
      <c r="T37" s="573" t="n"/>
      <c r="U37" s="516" t="n"/>
      <c r="V37" s="500" t="n"/>
      <c r="W37" s="519" t="n"/>
      <c r="X37" s="196" t="n"/>
      <c r="Y37" s="196" t="n"/>
      <c r="Z37" s="92" t="n"/>
      <c r="AA37" s="206" t="n"/>
      <c r="AB37" s="206" t="n"/>
      <c r="AC37" s="206" t="n"/>
      <c r="AD37" s="206" t="n"/>
      <c r="AE37" s="94" t="n"/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$C$11/$C$7-$AI$5-$AI$10</f>
        <v/>
      </c>
      <c r="Q38" s="519">
        <f>$C$12/$C$7-$AI$6-$AI$11</f>
        <v/>
      </c>
      <c r="R38" s="515" t="n"/>
      <c r="S38" s="573" t="n"/>
      <c r="T38" s="573" t="n"/>
      <c r="U38" s="516" t="n"/>
      <c r="V38" s="500" t="n"/>
      <c r="W38" s="519" t="n"/>
      <c r="X38" s="196" t="n"/>
      <c r="Y38" s="196" t="n"/>
      <c r="Z38" s="92" t="n"/>
      <c r="AA38" s="206" t="n"/>
      <c r="AB38" s="206" t="n"/>
      <c r="AC38" s="206" t="n"/>
      <c r="AD38" s="206" t="n"/>
      <c r="AE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$C$11/$C$7-$AI$5-$AI$10</f>
        <v/>
      </c>
      <c r="Q39" s="519">
        <f>$C$12/$C$7-$AI$6-$AI$11</f>
        <v/>
      </c>
      <c r="R39" s="515" t="n"/>
      <c r="S39" s="573" t="n"/>
      <c r="T39" s="573" t="n"/>
      <c r="U39" s="516" t="n"/>
      <c r="V39" s="500" t="n"/>
      <c r="W39" s="519" t="n"/>
      <c r="X39" s="196" t="n"/>
      <c r="Y39" s="196" t="n"/>
      <c r="Z39" s="92" t="n"/>
      <c r="AA39" s="206" t="n"/>
      <c r="AB39" s="206" t="n"/>
      <c r="AC39" s="206" t="n"/>
      <c r="AD39" s="206" t="n"/>
      <c r="AE39" s="94" t="n"/>
    </row>
    <row r="40">
      <c r="B40" s="256" t="inlineStr">
        <is>
          <t>등록비 (V+)</t>
        </is>
      </c>
      <c r="C40" s="526" t="n">
        <v>100000</v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$C$11/$C$7-$AI$5-$AI$10</f>
        <v/>
      </c>
      <c r="Q40" s="519">
        <f>$C$12/$C$7-$AI$6-$AI$11</f>
        <v/>
      </c>
      <c r="R40" s="515" t="n"/>
      <c r="S40" s="573" t="n"/>
      <c r="T40" s="573" t="n"/>
      <c r="U40" s="516" t="n"/>
      <c r="V40" s="500" t="n"/>
      <c r="W40" s="519" t="n"/>
      <c r="X40" s="196" t="n"/>
      <c r="Y40" s="196" t="n"/>
      <c r="Z40" s="92" t="n"/>
      <c r="AA40" s="206" t="n"/>
      <c r="AB40" s="206" t="n"/>
      <c r="AC40" s="206" t="n"/>
      <c r="AD40" s="206" t="n"/>
      <c r="AE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$C$11/$C$7-$AI$5-$AI$10</f>
        <v/>
      </c>
      <c r="Q41" s="519">
        <f>$C$12/$C$7-$AI$6-$AI$11</f>
        <v/>
      </c>
      <c r="R41" s="515" t="n"/>
      <c r="S41" s="573" t="n"/>
      <c r="T41" s="573" t="n"/>
      <c r="U41" s="516" t="n"/>
      <c r="V41" s="500" t="n"/>
      <c r="W41" s="519" t="n"/>
      <c r="X41" s="196" t="n"/>
      <c r="Y41" s="196" t="n"/>
      <c r="Z41" s="92" t="n"/>
      <c r="AA41" s="206" t="n"/>
      <c r="AB41" s="206" t="n"/>
      <c r="AC41" s="206" t="n"/>
      <c r="AD41" s="206" t="n"/>
      <c r="AE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$C$11/$C$7-$AI$5-$AI$10</f>
        <v/>
      </c>
      <c r="Q42" s="519">
        <f>$C$12/$C$7-$AI$6-$AI$11</f>
        <v/>
      </c>
      <c r="R42" s="515" t="n"/>
      <c r="S42" s="573" t="n"/>
      <c r="T42" s="573" t="n"/>
      <c r="U42" s="516" t="n"/>
      <c r="V42" s="500" t="n"/>
      <c r="W42" s="519" t="n"/>
      <c r="X42" s="196" t="n"/>
      <c r="Y42" s="196" t="n"/>
      <c r="Z42" s="92" t="n"/>
      <c r="AA42" s="206" t="n"/>
      <c r="AB42" s="206" t="n"/>
      <c r="AC42" s="206" t="n"/>
      <c r="AD42" s="206" t="n"/>
      <c r="AE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$C$11/$C$7-$AI$5-$AI$10</f>
        <v/>
      </c>
      <c r="Q43" s="519">
        <f>$C$12/$C$7-$AI$6-$AI$11</f>
        <v/>
      </c>
      <c r="R43" s="515" t="n"/>
      <c r="S43" s="573" t="n"/>
      <c r="T43" s="573" t="n"/>
      <c r="U43" s="516" t="n"/>
      <c r="V43" s="500" t="n"/>
      <c r="W43" s="519" t="n"/>
      <c r="X43" s="196" t="n"/>
      <c r="Y43" s="196" t="n"/>
      <c r="Z43" s="92" t="n"/>
      <c r="AA43" s="206" t="n"/>
      <c r="AB43" s="206" t="n"/>
      <c r="AC43" s="206" t="n"/>
      <c r="AD43" s="206" t="n"/>
      <c r="AE43" s="94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$C$11/$C$7-$AI$5-$AI$10</f>
        <v/>
      </c>
      <c r="Q44" s="519">
        <f>$C$12/$C$7-$AI$6-$AI$11</f>
        <v/>
      </c>
      <c r="R44" s="515" t="n"/>
      <c r="S44" s="573" t="n"/>
      <c r="T44" s="573" t="n"/>
      <c r="U44" s="516" t="n"/>
      <c r="V44" s="500" t="n"/>
      <c r="W44" s="519" t="n"/>
      <c r="X44" s="196" t="n"/>
      <c r="Y44" s="196" t="n"/>
      <c r="Z44" s="92" t="n"/>
      <c r="AA44" s="206" t="n"/>
      <c r="AB44" s="206" t="n"/>
      <c r="AC44" s="206" t="n"/>
      <c r="AD44" s="206" t="n"/>
      <c r="AE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$C$11/$C$7-$AI$5-$AI$10</f>
        <v/>
      </c>
      <c r="Q45" s="519">
        <f>$C$12/$C$7-$AI$6-$AI$11</f>
        <v/>
      </c>
      <c r="R45" s="515" t="n"/>
      <c r="S45" s="573" t="n"/>
      <c r="T45" s="573" t="n"/>
      <c r="U45" s="516" t="n"/>
      <c r="V45" s="500" t="n"/>
      <c r="W45" s="519" t="n"/>
      <c r="X45" s="196" t="n"/>
      <c r="Y45" s="196" t="n"/>
      <c r="Z45" s="92" t="n"/>
      <c r="AA45" s="206" t="n"/>
      <c r="AB45" s="206" t="n"/>
      <c r="AC45" s="206" t="n"/>
      <c r="AD45" s="206" t="n"/>
      <c r="AE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$C$11/$C$7-$AI$5-$AI$10</f>
        <v/>
      </c>
      <c r="Q46" s="519">
        <f>$C$12/$C$7-$AI$6-$AI$11</f>
        <v/>
      </c>
      <c r="R46" s="515" t="n"/>
      <c r="S46" s="573" t="n"/>
      <c r="T46" s="573" t="n"/>
      <c r="U46" s="516" t="n"/>
      <c r="V46" s="500" t="n"/>
      <c r="W46" s="519" t="n"/>
      <c r="X46" s="196" t="n"/>
      <c r="Y46" s="196" t="n"/>
      <c r="Z46" s="92" t="n"/>
      <c r="AA46" s="206" t="n"/>
      <c r="AB46" s="206" t="n"/>
      <c r="AC46" s="206" t="n"/>
      <c r="AD46" s="206" t="n"/>
      <c r="AE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$C$11/$C$7-$AI$5-$AI$10</f>
        <v/>
      </c>
      <c r="Q47" s="519">
        <f>$C$12/$C$7-$AI$6-$AI$11</f>
        <v/>
      </c>
      <c r="R47" s="515" t="n"/>
      <c r="S47" s="573" t="n"/>
      <c r="T47" s="573" t="n"/>
      <c r="U47" s="516" t="n"/>
      <c r="V47" s="500" t="n"/>
      <c r="W47" s="519" t="n"/>
      <c r="X47" s="196" t="n"/>
      <c r="Y47" s="196" t="n"/>
      <c r="Z47" s="92" t="n"/>
      <c r="AA47" s="206" t="n"/>
      <c r="AB47" s="206" t="n"/>
      <c r="AC47" s="206" t="n"/>
      <c r="AD47" s="206" t="n"/>
      <c r="AE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$C$11/$C$7-$AI$5-$AI$10</f>
        <v/>
      </c>
      <c r="Q48" s="519">
        <f>$C$12/$C$7-$AI$6-$AI$11</f>
        <v/>
      </c>
      <c r="R48" s="515" t="n"/>
      <c r="S48" s="573" t="n"/>
      <c r="T48" s="573" t="n"/>
      <c r="U48" s="516" t="n"/>
      <c r="V48" s="500" t="n"/>
      <c r="W48" s="519" t="n"/>
      <c r="X48" s="196" t="n"/>
      <c r="Y48" s="196" t="n"/>
      <c r="Z48" s="92" t="n"/>
      <c r="AA48" s="206" t="n"/>
      <c r="AB48" s="206" t="n"/>
      <c r="AC48" s="206" t="n"/>
      <c r="AD48" s="206" t="n"/>
      <c r="AE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$C$11/$C$7-$AI$5-$AI$10</f>
        <v/>
      </c>
      <c r="Q49" s="519">
        <f>$C$12/$C$7-$AI$6-$AI$11</f>
        <v/>
      </c>
      <c r="R49" s="515" t="n"/>
      <c r="S49" s="573" t="n"/>
      <c r="T49" s="573" t="n"/>
      <c r="U49" s="516" t="n"/>
      <c r="V49" s="500" t="n"/>
      <c r="W49" s="519" t="n"/>
      <c r="X49" s="196" t="n"/>
      <c r="Y49" s="196" t="n"/>
      <c r="Z49" s="92" t="n"/>
      <c r="AA49" s="206" t="n"/>
      <c r="AB49" s="206" t="n"/>
      <c r="AC49" s="206" t="n"/>
      <c r="AD49" s="206" t="n"/>
      <c r="AE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$C$11/$C$7-$AI$5-$AI$10</f>
        <v/>
      </c>
      <c r="Q50" s="519">
        <f>$C$12/$C$7-$AI$6-$AI$11</f>
        <v/>
      </c>
      <c r="R50" s="515" t="n"/>
      <c r="S50" s="573" t="n"/>
      <c r="T50" s="573" t="n"/>
      <c r="U50" s="516" t="n"/>
      <c r="V50" s="500" t="n"/>
      <c r="W50" s="519" t="n"/>
      <c r="X50" s="196" t="n"/>
      <c r="Y50" s="196" t="n"/>
      <c r="Z50" s="92" t="n"/>
      <c r="AA50" s="206" t="n"/>
      <c r="AB50" s="206" t="n"/>
      <c r="AC50" s="206" t="n"/>
      <c r="AD50" s="206" t="n"/>
      <c r="AE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$C$11/$C$7-$AI$5-$AI$10</f>
        <v/>
      </c>
      <c r="Q51" s="519">
        <f>$C$12/$C$7-$AI$6-$AI$11</f>
        <v/>
      </c>
      <c r="R51" s="515" t="n"/>
      <c r="S51" s="573" t="n"/>
      <c r="T51" s="573" t="n"/>
      <c r="U51" s="516" t="n"/>
      <c r="V51" s="500" t="n"/>
      <c r="W51" s="519" t="n"/>
      <c r="X51" s="196" t="n"/>
      <c r="Y51" s="196" t="n"/>
      <c r="Z51" s="92" t="n"/>
      <c r="AA51" s="206" t="n"/>
      <c r="AB51" s="206" t="n"/>
      <c r="AC51" s="206" t="n"/>
      <c r="AD51" s="206" t="n"/>
      <c r="AE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$C$11/$C$7-$AI$5-$AI$10</f>
        <v/>
      </c>
      <c r="Q52" s="519">
        <f>$C$12/$C$7-$AI$6-$AI$11</f>
        <v/>
      </c>
      <c r="R52" s="515" t="n"/>
      <c r="S52" s="573" t="n"/>
      <c r="T52" s="573" t="n"/>
      <c r="U52" s="516" t="n"/>
      <c r="V52" s="500" t="n"/>
      <c r="W52" s="519" t="n"/>
      <c r="X52" s="196" t="n"/>
      <c r="Y52" s="196" t="n"/>
      <c r="Z52" s="92" t="n"/>
      <c r="AA52" s="206" t="n"/>
      <c r="AB52" s="206" t="n"/>
      <c r="AC52" s="206" t="n"/>
      <c r="AD52" s="206" t="n"/>
      <c r="AE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$C$11/$C$7-$AI$5-$AI$10</f>
        <v/>
      </c>
      <c r="Q53" s="519">
        <f>$C$12/$C$7-$AI$6-$AI$11</f>
        <v/>
      </c>
      <c r="R53" s="515" t="n"/>
      <c r="S53" s="573" t="n"/>
      <c r="T53" s="573" t="n"/>
      <c r="U53" s="516" t="n"/>
      <c r="V53" s="500" t="n"/>
      <c r="W53" s="519" t="n"/>
      <c r="X53" s="196" t="n"/>
      <c r="Y53" s="196" t="n"/>
      <c r="Z53" s="92" t="n"/>
      <c r="AA53" s="206" t="n"/>
      <c r="AB53" s="206" t="n"/>
      <c r="AC53" s="206" t="n"/>
      <c r="AD53" s="206" t="n"/>
      <c r="AE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$C$11/$C$7-$AI$5-$AI$10</f>
        <v/>
      </c>
      <c r="Q54" s="519">
        <f>$C$12/$C$7-$AI$6-$AI$11</f>
        <v/>
      </c>
      <c r="R54" s="515" t="n"/>
      <c r="S54" s="573" t="n"/>
      <c r="T54" s="573" t="n"/>
      <c r="U54" s="516" t="n"/>
      <c r="V54" s="500" t="n"/>
      <c r="W54" s="519" t="n"/>
      <c r="X54" s="196" t="n"/>
      <c r="Y54" s="196" t="n"/>
      <c r="Z54" s="92" t="n"/>
      <c r="AA54" s="206" t="n"/>
      <c r="AB54" s="206" t="n"/>
      <c r="AC54" s="206" t="n"/>
      <c r="AD54" s="206" t="n"/>
      <c r="AE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$C$11/$C$7-$AI$5-$AI$10</f>
        <v/>
      </c>
      <c r="Q55" s="519">
        <f>$C$12/$C$7-$AI$6-$AI$11</f>
        <v/>
      </c>
      <c r="R55" s="515" t="n"/>
      <c r="S55" s="573" t="n"/>
      <c r="T55" s="573" t="n"/>
      <c r="U55" s="516" t="n"/>
      <c r="V55" s="500" t="n"/>
      <c r="W55" s="519" t="n"/>
      <c r="X55" s="196" t="n"/>
      <c r="Y55" s="196" t="n"/>
      <c r="Z55" s="92" t="n"/>
      <c r="AA55" s="206" t="n"/>
      <c r="AB55" s="206" t="n"/>
      <c r="AC55" s="206" t="n"/>
      <c r="AD55" s="206" t="n"/>
      <c r="AE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$C$11/$C$7-$AI$5-$AI$10</f>
        <v/>
      </c>
      <c r="Q56" s="519">
        <f>$C$12/$C$7-$AI$6-$AI$11</f>
        <v/>
      </c>
      <c r="R56" s="515" t="n"/>
      <c r="S56" s="573" t="n"/>
      <c r="T56" s="573" t="n"/>
      <c r="U56" s="516" t="n"/>
      <c r="V56" s="500" t="n"/>
      <c r="W56" s="519" t="n"/>
      <c r="X56" s="196" t="n"/>
      <c r="Y56" s="196" t="n"/>
      <c r="Z56" s="92" t="n"/>
      <c r="AA56" s="206" t="n"/>
      <c r="AB56" s="206" t="n"/>
      <c r="AC56" s="206" t="n"/>
      <c r="AD56" s="206" t="n"/>
      <c r="AE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$C$11/$C$7-$AI$5-$AI$10</f>
        <v/>
      </c>
      <c r="Q57" s="519">
        <f>$C$12/$C$7-$AI$6-$AI$11</f>
        <v/>
      </c>
      <c r="R57" s="515" t="n"/>
      <c r="S57" s="573" t="n"/>
      <c r="T57" s="573" t="n"/>
      <c r="U57" s="516" t="n"/>
      <c r="V57" s="500" t="n"/>
      <c r="W57" s="519" t="n"/>
      <c r="X57" s="196" t="n"/>
      <c r="Y57" s="196" t="n"/>
      <c r="Z57" s="92" t="n"/>
      <c r="AA57" s="206" t="n"/>
      <c r="AB57" s="206" t="n"/>
      <c r="AC57" s="206" t="n"/>
      <c r="AD57" s="206" t="n"/>
      <c r="AE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$C$11/$C$7-$AI$5-$AI$10</f>
        <v/>
      </c>
      <c r="Q58" s="519">
        <f>$C$12/$C$7-$AI$6-$AI$11</f>
        <v/>
      </c>
      <c r="R58" s="515" t="n"/>
      <c r="S58" s="573" t="n"/>
      <c r="T58" s="573" t="n"/>
      <c r="U58" s="516" t="n"/>
      <c r="V58" s="500" t="n"/>
      <c r="W58" s="519" t="n"/>
      <c r="X58" s="196" t="n"/>
      <c r="Y58" s="196" t="n"/>
      <c r="Z58" s="92" t="n"/>
      <c r="AA58" s="206" t="n"/>
      <c r="AB58" s="206" t="n"/>
      <c r="AC58" s="206" t="n"/>
      <c r="AD58" s="206" t="n"/>
      <c r="AE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$C$11/$C$7-$AI$5-$AI$10</f>
        <v/>
      </c>
      <c r="Q59" s="519">
        <f>$C$12/$C$7-$AI$6-$AI$11</f>
        <v/>
      </c>
      <c r="R59" s="515" t="n"/>
      <c r="S59" s="573" t="n"/>
      <c r="T59" s="573" t="n"/>
      <c r="U59" s="516" t="n"/>
      <c r="V59" s="500" t="n"/>
      <c r="W59" s="519" t="n"/>
      <c r="X59" s="196" t="n"/>
      <c r="Y59" s="196" t="n"/>
      <c r="Z59" s="92" t="n"/>
      <c r="AA59" s="206" t="n"/>
      <c r="AB59" s="206" t="n"/>
      <c r="AC59" s="206" t="n"/>
      <c r="AD59" s="206" t="n"/>
      <c r="AE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$C$11/$C$7-$AI$5-$AI$10</f>
        <v/>
      </c>
      <c r="Q60" s="519">
        <f>$C$12/$C$7-$AI$6-$AI$11</f>
        <v/>
      </c>
      <c r="R60" s="515" t="n"/>
      <c r="S60" s="573" t="n"/>
      <c r="T60" s="573" t="n"/>
      <c r="U60" s="516" t="n"/>
      <c r="V60" s="500" t="n"/>
      <c r="W60" s="519" t="n"/>
      <c r="X60" s="196" t="n"/>
      <c r="Y60" s="196" t="n"/>
      <c r="Z60" s="92" t="n"/>
      <c r="AA60" s="206" t="n"/>
      <c r="AB60" s="206" t="n"/>
      <c r="AC60" s="206" t="n"/>
      <c r="AD60" s="206" t="n"/>
      <c r="AE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$C$11/$C$7-$AI$5-$AI$10</f>
        <v/>
      </c>
      <c r="Q61" s="519">
        <f>$C$12/$C$7-$AI$6-$AI$11</f>
        <v/>
      </c>
      <c r="R61" s="515" t="n"/>
      <c r="S61" s="573" t="n"/>
      <c r="T61" s="573" t="n"/>
      <c r="U61" s="516" t="n"/>
      <c r="V61" s="500" t="n"/>
      <c r="W61" s="519" t="n"/>
      <c r="X61" s="196" t="n"/>
      <c r="Y61" s="196" t="n"/>
      <c r="Z61" s="92" t="n"/>
      <c r="AA61" s="206" t="n"/>
      <c r="AB61" s="206" t="n"/>
      <c r="AC61" s="206" t="n"/>
      <c r="AD61" s="206" t="n"/>
      <c r="AE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$C$11/$C$7-$AI$5-$AI$10</f>
        <v/>
      </c>
      <c r="Q62" s="519">
        <f>$C$12/$C$7-$AI$6-$AI$11</f>
        <v/>
      </c>
      <c r="R62" s="515" t="n"/>
      <c r="S62" s="573" t="n"/>
      <c r="T62" s="573" t="n"/>
      <c r="U62" s="516" t="n"/>
      <c r="V62" s="500" t="n"/>
      <c r="W62" s="519" t="n"/>
      <c r="X62" s="196" t="n"/>
      <c r="Y62" s="196" t="n"/>
      <c r="Z62" s="92" t="n"/>
      <c r="AA62" s="206" t="n"/>
      <c r="AB62" s="206" t="n"/>
      <c r="AC62" s="206" t="n"/>
      <c r="AD62" s="206" t="n"/>
      <c r="AE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$C$11/$C$7-$AI$5-$AI$10</f>
        <v/>
      </c>
      <c r="Q63" s="519">
        <f>$C$12/$C$7-$AI$6-$AI$11</f>
        <v/>
      </c>
      <c r="R63" s="515" t="n"/>
      <c r="S63" s="573" t="n"/>
      <c r="T63" s="573" t="n"/>
      <c r="U63" s="516" t="n"/>
      <c r="V63" s="500" t="n"/>
      <c r="W63" s="519" t="n"/>
      <c r="X63" s="196" t="n"/>
      <c r="Y63" s="196" t="n"/>
      <c r="Z63" s="92" t="n"/>
      <c r="AA63" s="206" t="n"/>
      <c r="AB63" s="206" t="n"/>
      <c r="AC63" s="206" t="n"/>
      <c r="AD63" s="206" t="n"/>
      <c r="AE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$C$11/$C$7-$AI$5-$AI$10</f>
        <v/>
      </c>
      <c r="Q64" s="519">
        <f>$C$12/$C$7-$AI$6-$AI$11</f>
        <v/>
      </c>
      <c r="R64" s="515" t="n"/>
      <c r="S64" s="573" t="n"/>
      <c r="T64" s="573" t="n"/>
      <c r="U64" s="516" t="n"/>
      <c r="V64" s="500" t="n"/>
      <c r="W64" s="519" t="n"/>
      <c r="X64" s="196" t="n"/>
      <c r="Y64" s="196" t="n"/>
      <c r="Z64" s="92" t="n"/>
      <c r="AA64" s="206" t="n"/>
      <c r="AB64" s="206" t="n"/>
      <c r="AC64" s="206" t="n"/>
      <c r="AD64" s="206" t="n"/>
      <c r="AE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$C$11/$C$7-$AI$5-$AI$10</f>
        <v/>
      </c>
      <c r="Q65" s="519">
        <f>$C$12/$C$7-$AI$6-$AI$11</f>
        <v/>
      </c>
      <c r="R65" s="515" t="n"/>
      <c r="S65" s="573" t="n"/>
      <c r="T65" s="573" t="n"/>
      <c r="U65" s="516" t="n"/>
      <c r="V65" s="500" t="n"/>
      <c r="W65" s="519" t="n"/>
      <c r="X65" s="196" t="n"/>
      <c r="Y65" s="196" t="n"/>
      <c r="Z65" s="92" t="n"/>
      <c r="AA65" s="206" t="n"/>
      <c r="AB65" s="206" t="n"/>
      <c r="AC65" s="206" t="n"/>
      <c r="AD65" s="206" t="n"/>
      <c r="AE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$C$11/$C$7-$AI$5-$AI$10</f>
        <v/>
      </c>
      <c r="Q66" s="519">
        <f>$C$12/$C$7-$AI$6-$AI$11</f>
        <v/>
      </c>
      <c r="R66" s="515" t="n"/>
      <c r="S66" s="573" t="n"/>
      <c r="T66" s="573" t="n"/>
      <c r="U66" s="516" t="n"/>
      <c r="V66" s="500" t="n"/>
      <c r="W66" s="519" t="n"/>
      <c r="X66" s="196" t="n"/>
      <c r="Y66" s="196" t="n"/>
      <c r="Z66" s="92" t="n"/>
      <c r="AA66" s="206" t="n"/>
      <c r="AB66" s="206" t="n"/>
      <c r="AC66" s="206" t="n"/>
      <c r="AD66" s="206" t="n"/>
      <c r="AE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$C$11/$C$7-$AI$5-$AI$10</f>
        <v/>
      </c>
      <c r="Q67" s="519">
        <f>$C$12/$C$7-$AI$6-$AI$11</f>
        <v/>
      </c>
      <c r="R67" s="515" t="n"/>
      <c r="S67" s="573" t="n"/>
      <c r="T67" s="573" t="n"/>
      <c r="U67" s="516" t="n"/>
      <c r="V67" s="500" t="n"/>
      <c r="W67" s="519" t="n"/>
      <c r="X67" s="196" t="n"/>
      <c r="Y67" s="196" t="n"/>
      <c r="Z67" s="92" t="n"/>
      <c r="AA67" s="206" t="n"/>
      <c r="AB67" s="206" t="n"/>
      <c r="AC67" s="206" t="n"/>
      <c r="AD67" s="206" t="n"/>
      <c r="AE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$C$11/$C$7-$AI$5-$AI$10</f>
        <v/>
      </c>
      <c r="Q68" s="519">
        <f>$C$12/$C$7-$AI$6-$AI$11</f>
        <v/>
      </c>
      <c r="R68" s="515" t="n"/>
      <c r="S68" s="573" t="n"/>
      <c r="T68" s="573" t="n"/>
      <c r="U68" s="516" t="n"/>
      <c r="V68" s="500" t="n"/>
      <c r="W68" s="519" t="n"/>
      <c r="X68" s="196" t="n"/>
      <c r="Y68" s="196" t="n"/>
      <c r="Z68" s="92" t="n"/>
      <c r="AA68" s="206" t="n"/>
      <c r="AB68" s="206" t="n"/>
      <c r="AC68" s="206" t="n"/>
      <c r="AD68" s="206" t="n"/>
      <c r="AE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$C$11/$C$7-$AI$5-$AI$10</f>
        <v/>
      </c>
      <c r="Q69" s="519">
        <f>$C$12/$C$7-$AI$6-$AI$11</f>
        <v/>
      </c>
      <c r="R69" s="515" t="n"/>
      <c r="S69" s="573" t="n"/>
      <c r="T69" s="573" t="n"/>
      <c r="U69" s="516" t="n"/>
      <c r="V69" s="500" t="n"/>
      <c r="W69" s="519" t="n"/>
      <c r="X69" s="196" t="n"/>
      <c r="Y69" s="196" t="n"/>
      <c r="Z69" s="92" t="n"/>
      <c r="AA69" s="206" t="n"/>
      <c r="AB69" s="206" t="n"/>
      <c r="AC69" s="206" t="n"/>
      <c r="AD69" s="206" t="n"/>
      <c r="AE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$C$11/$C$7-$AI$5-$AI$10</f>
        <v/>
      </c>
      <c r="Q70" s="519">
        <f>$C$12/$C$7-$AI$6-$AI$11</f>
        <v/>
      </c>
      <c r="R70" s="515" t="n"/>
      <c r="S70" s="573" t="n"/>
      <c r="T70" s="573" t="n"/>
      <c r="U70" s="516" t="n"/>
      <c r="V70" s="500" t="n"/>
      <c r="W70" s="519" t="n"/>
      <c r="X70" s="196" t="n"/>
      <c r="Y70" s="196" t="n"/>
      <c r="Z70" s="92" t="n"/>
      <c r="AA70" s="206" t="n"/>
      <c r="AB70" s="206" t="n"/>
      <c r="AC70" s="206" t="n"/>
      <c r="AD70" s="206" t="n"/>
      <c r="AE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$C$11/$C$7-$AI$5-$AI$10</f>
        <v/>
      </c>
      <c r="Q71" s="519">
        <f>$C$12/$C$7-$AI$6-$AI$11</f>
        <v/>
      </c>
      <c r="R71" s="515" t="n"/>
      <c r="S71" s="573" t="n"/>
      <c r="T71" s="573" t="n"/>
      <c r="U71" s="516" t="n"/>
      <c r="V71" s="500" t="n"/>
      <c r="W71" s="519" t="n"/>
      <c r="X71" s="196" t="n"/>
      <c r="Y71" s="196" t="n"/>
      <c r="Z71" s="92" t="n"/>
      <c r="AA71" s="206" t="n"/>
      <c r="AB71" s="206" t="n"/>
      <c r="AC71" s="206" t="n"/>
      <c r="AD71" s="206" t="n"/>
      <c r="AE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$C$11/$C$7-$AI$5-$AI$10</f>
        <v/>
      </c>
      <c r="Q72" s="519">
        <f>$C$12/$C$7-$AI$6-$AI$11</f>
        <v/>
      </c>
      <c r="R72" s="515" t="n"/>
      <c r="S72" s="573" t="n"/>
      <c r="T72" s="573" t="n"/>
      <c r="U72" s="516" t="n"/>
      <c r="V72" s="500" t="n"/>
      <c r="W72" s="519" t="n"/>
      <c r="X72" s="196" t="n"/>
      <c r="Y72" s="196" t="n"/>
      <c r="Z72" s="92" t="n"/>
      <c r="AA72" s="206" t="n"/>
      <c r="AB72" s="206" t="n"/>
      <c r="AC72" s="206" t="n"/>
      <c r="AD72" s="206" t="n"/>
      <c r="AE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$C$11/$C$7-$AI$5-$AI$10</f>
        <v/>
      </c>
      <c r="Q73" s="519">
        <f>$C$12/$C$7-$AI$6-$AI$11</f>
        <v/>
      </c>
      <c r="R73" s="515" t="n"/>
      <c r="S73" s="573" t="n"/>
      <c r="T73" s="573" t="n"/>
      <c r="U73" s="516" t="n"/>
      <c r="V73" s="500" t="n"/>
      <c r="W73" s="519" t="n"/>
      <c r="X73" s="196" t="n"/>
      <c r="Y73" s="196" t="n"/>
      <c r="Z73" s="92" t="n"/>
      <c r="AA73" s="206" t="n"/>
      <c r="AB73" s="206" t="n"/>
      <c r="AC73" s="206" t="n"/>
      <c r="AD73" s="206" t="n"/>
      <c r="AE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$C$11/$C$7-$AI$5-$AI$10</f>
        <v/>
      </c>
      <c r="Q74" s="519">
        <f>$C$12/$C$7-$AI$6-$AI$11</f>
        <v/>
      </c>
      <c r="R74" s="515" t="n"/>
      <c r="S74" s="573" t="n"/>
      <c r="T74" s="573" t="n"/>
      <c r="U74" s="516" t="n"/>
      <c r="V74" s="500" t="n"/>
      <c r="W74" s="519" t="n"/>
      <c r="X74" s="196" t="n"/>
      <c r="Y74" s="196" t="n"/>
      <c r="Z74" s="92" t="n"/>
      <c r="AA74" s="206" t="n"/>
      <c r="AB74" s="206" t="n"/>
      <c r="AC74" s="206" t="n"/>
      <c r="AD74" s="206" t="n"/>
      <c r="AE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$C$11/$C$7-$AI$5-$AI$10</f>
        <v/>
      </c>
      <c r="Q75" s="519">
        <f>$C$12/$C$7-$AI$6-$AI$11</f>
        <v/>
      </c>
      <c r="R75" s="515" t="n"/>
      <c r="S75" s="573" t="n"/>
      <c r="T75" s="573" t="n"/>
      <c r="U75" s="516" t="n"/>
      <c r="V75" s="500" t="n"/>
      <c r="W75" s="519" t="n"/>
      <c r="X75" s="196" t="n"/>
      <c r="Y75" s="196" t="n"/>
      <c r="Z75" s="92" t="n"/>
      <c r="AA75" s="206" t="n"/>
      <c r="AB75" s="206" t="n"/>
      <c r="AC75" s="206" t="n"/>
      <c r="AD75" s="206" t="n"/>
      <c r="AE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$C$11/$C$7-$AI$5-$AI$10</f>
        <v/>
      </c>
      <c r="Q76" s="519">
        <f>$C$12/$C$7-$AI$6-$AI$11</f>
        <v/>
      </c>
      <c r="R76" s="515" t="n"/>
      <c r="S76" s="573" t="n"/>
      <c r="T76" s="573" t="n"/>
      <c r="U76" s="516" t="n"/>
      <c r="V76" s="500" t="n"/>
      <c r="W76" s="519" t="n"/>
      <c r="X76" s="196" t="n"/>
      <c r="Y76" s="196" t="n"/>
      <c r="Z76" s="92" t="n"/>
      <c r="AA76" s="206" t="n"/>
      <c r="AB76" s="206" t="n"/>
      <c r="AC76" s="206" t="n"/>
      <c r="AD76" s="206" t="n"/>
      <c r="AE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($C$11/$C$7-$AI$5-$AI$10)-P5</f>
        <v/>
      </c>
      <c r="Q77" s="642">
        <f>($C$12/$C$7-$AI$6-$AI$11)-Q5</f>
        <v/>
      </c>
      <c r="R77" s="581" t="n"/>
      <c r="S77" s="590" t="n"/>
      <c r="T77" s="590" t="n"/>
      <c r="U77" s="588" t="n"/>
      <c r="V77" s="589" t="n"/>
      <c r="W77" s="642" t="n"/>
      <c r="X77" s="12" t="n"/>
      <c r="Y77" s="12" t="n"/>
      <c r="Z77" s="59" t="n"/>
      <c r="AA77" s="95" t="n"/>
      <c r="AB77" s="95" t="n"/>
      <c r="AC77" s="95" t="n"/>
      <c r="AD77" s="95" t="n"/>
      <c r="AE77" s="97" t="n"/>
    </row>
    <row r="78">
      <c r="O78" s="500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E08A1E"/>
    <outlinePr summaryBelow="1" summaryRight="1"/>
    <pageSetUpPr/>
  </sheetPr>
  <dimension ref="A1:AQ79"/>
  <sheetViews>
    <sheetView showGridLines="0" zoomScale="55" zoomScaleNormal="55" workbookViewId="0">
      <selection activeCell="Q44" sqref="Q4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6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0"/>
    <col width="13" customWidth="1" style="497" min="11" max="11"/>
    <col width="13" bestFit="1" customWidth="1" style="497" min="12" max="12"/>
    <col width="11.6875" bestFit="1" customWidth="1" style="497" min="13" max="13"/>
    <col width="10.1875" bestFit="1" customWidth="1" style="497" min="14" max="14"/>
    <col width="10.1875" customWidth="1" style="497" min="15" max="15"/>
    <col width="11.6875" bestFit="1" customWidth="1" style="497" min="16" max="16"/>
    <col width="11.6875" customWidth="1" style="497" min="17" max="17"/>
    <col width="11.6875" bestFit="1" customWidth="1" style="497" min="18" max="19"/>
    <col width="9.375" bestFit="1" customWidth="1" style="497" min="20" max="20"/>
    <col width="9.375" customWidth="1" style="497" min="21" max="21"/>
    <col width="18.6875" bestFit="1" customWidth="1" style="497" min="22" max="22"/>
    <col width="9.375" customWidth="1" style="497" min="23" max="23"/>
    <col width="13.5" customWidth="1" style="497" min="24" max="24"/>
    <col width="18.6875" customWidth="1" style="497" min="25" max="27"/>
    <col width="12.1875" bestFit="1" customWidth="1" style="497" min="28" max="28"/>
    <col width="7.375" bestFit="1" customWidth="1" style="497" min="29" max="29"/>
    <col width="13.5" bestFit="1" customWidth="1" style="497" min="30" max="30"/>
    <col width="11.875" bestFit="1" customWidth="1" style="497" min="31" max="32"/>
    <col width="11.875" customWidth="1" style="497" min="33" max="33"/>
    <col width="14" bestFit="1" customWidth="1" style="497" min="34" max="34"/>
    <col width="9.8125" customWidth="1" style="497" min="36" max="36"/>
    <col width="7.125" bestFit="1" customWidth="1" style="497" min="37" max="37"/>
    <col width="13.6875" bestFit="1" customWidth="1" style="497" min="38" max="38"/>
    <col width="11.3125" customWidth="1" style="497" min="40" max="40"/>
    <col width="7.125" bestFit="1" customWidth="1" style="497" min="41" max="41"/>
    <col width="13.6875" bestFit="1" customWidth="1" style="497" min="42" max="42"/>
    <col width="12.625" bestFit="1" customWidth="1" style="497" min="43" max="43"/>
  </cols>
  <sheetData>
    <row r="1">
      <c r="K1" s="505">
        <f>K2*1.1</f>
        <v/>
      </c>
      <c r="Q1" s="505">
        <f>Q2*1.1</f>
        <v/>
      </c>
    </row>
    <row r="2">
      <c r="I2" s="8" t="inlineStr">
        <is>
          <t>SUM =</t>
        </is>
      </c>
      <c r="J2" s="500">
        <f>SUM(J6:J78)</f>
        <v/>
      </c>
      <c r="K2" s="500">
        <f>SUM(K6:K78)</f>
        <v/>
      </c>
      <c r="L2" s="500">
        <f>SUM(L6:L78)</f>
        <v/>
      </c>
      <c r="M2" s="500">
        <f>SUM(M6:M78)</f>
        <v/>
      </c>
      <c r="N2" s="500">
        <f>SUM(N6:N78)</f>
        <v/>
      </c>
      <c r="O2" s="500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V2" s="500" t="n"/>
      <c r="W2" s="500" t="n"/>
      <c r="X2" s="500" t="inlineStr">
        <is>
          <t>* 연체이자는 비과세로 V+기준으로 계산</t>
        </is>
      </c>
      <c r="Y2" s="500" t="n"/>
      <c r="Z2" s="500" t="n"/>
      <c r="AA2" s="500" t="n"/>
      <c r="AD2" s="206" t="inlineStr">
        <is>
          <t>* 위약금은 비과세로 V+기준으로 계산</t>
        </is>
      </c>
      <c r="AG2" s="500" t="inlineStr">
        <is>
          <t>* 연체이자는 비과세로 V+기준으로 계산</t>
        </is>
      </c>
      <c r="AJ2" s="206" t="inlineStr">
        <is>
          <t>v- 100단위 조정</t>
        </is>
      </c>
      <c r="AN2" s="206" t="inlineStr">
        <is>
          <t>v- 소수점만 제거</t>
        </is>
      </c>
      <c r="AQ2" s="206" t="inlineStr">
        <is>
          <t>V+</t>
        </is>
      </c>
    </row>
    <row r="3">
      <c r="I3" s="8" t="n"/>
      <c r="J3" s="501" t="inlineStr">
        <is>
          <t>기본 (v-)</t>
        </is>
      </c>
      <c r="K3" s="502" t="n"/>
      <c r="L3" s="502" t="n"/>
      <c r="M3" s="502" t="n"/>
      <c r="N3" s="503" t="n"/>
      <c r="O3" s="502" t="n"/>
      <c r="P3" s="75" t="inlineStr">
        <is>
          <t>선납+선납할인 시 (v-)</t>
        </is>
      </c>
      <c r="Q3" s="76" t="n"/>
      <c r="R3" s="76" t="n"/>
      <c r="S3" s="76" t="n"/>
      <c r="T3" s="76" t="n"/>
      <c r="U3" s="76" t="n"/>
      <c r="V3" s="75" t="inlineStr">
        <is>
          <t>연체 누적 시 (V-)</t>
        </is>
      </c>
      <c r="W3" s="75" t="n"/>
      <c r="X3" s="76" t="n"/>
      <c r="Y3" s="75" t="n"/>
      <c r="Z3" s="76" t="n"/>
      <c r="AA3" s="137" t="n"/>
      <c r="AB3" s="75" t="inlineStr">
        <is>
          <t>연체3개월 초과 강제해지 (v-)</t>
        </is>
      </c>
      <c r="AC3" s="70" t="n"/>
      <c r="AD3" s="70" t="n"/>
      <c r="AE3" s="70" t="n"/>
      <c r="AF3" s="70" t="n"/>
      <c r="AG3" s="70" t="n"/>
      <c r="AH3" s="71" t="n"/>
      <c r="AJ3" s="378" t="inlineStr">
        <is>
          <t>월 선납금(v-)</t>
        </is>
      </c>
      <c r="AK3" s="251" t="n"/>
      <c r="AL3" s="504">
        <f>$C28/$C$8</f>
        <v/>
      </c>
      <c r="AN3" s="378" t="inlineStr">
        <is>
          <t>월 선납금(v-)</t>
        </is>
      </c>
      <c r="AO3" s="251" t="n"/>
      <c r="AP3" s="504">
        <f>$C28/$C$8</f>
        <v/>
      </c>
      <c r="AQ3" s="505">
        <f>AP3*1.1</f>
        <v/>
      </c>
    </row>
    <row r="4">
      <c r="I4" s="8" t="n"/>
      <c r="J4" s="264" t="inlineStr">
        <is>
          <t>구독료청구</t>
        </is>
      </c>
      <c r="K4" s="643" t="inlineStr">
        <is>
          <t>파손 제외 구독료</t>
        </is>
      </c>
      <c r="L4" s="560" t="n"/>
      <c r="M4" s="560" t="n"/>
      <c r="N4" s="561" t="n"/>
      <c r="O4" s="644" t="inlineStr">
        <is>
          <t>파손보험</t>
        </is>
      </c>
      <c r="P4" s="264" t="inlineStr">
        <is>
          <t>구독료청구</t>
        </is>
      </c>
      <c r="Q4" s="643" t="inlineStr">
        <is>
          <t>파손 제외 구독료</t>
        </is>
      </c>
      <c r="R4" s="560" t="n"/>
      <c r="S4" s="560" t="n"/>
      <c r="T4" s="561" t="n"/>
      <c r="U4" s="645" t="inlineStr">
        <is>
          <t>파손보험</t>
        </is>
      </c>
      <c r="V4" s="75" t="n"/>
      <c r="W4" s="75" t="n"/>
      <c r="X4" s="76" t="n"/>
      <c r="Y4" s="75" t="n"/>
      <c r="Z4" s="76" t="n"/>
      <c r="AA4" s="137" t="n"/>
      <c r="AB4" s="75" t="n"/>
      <c r="AC4" s="70" t="n"/>
      <c r="AD4" s="70" t="n"/>
      <c r="AE4" s="70" t="n"/>
      <c r="AF4" s="70" t="n"/>
      <c r="AG4" s="70" t="n"/>
      <c r="AH4" s="71" t="n"/>
      <c r="AJ4" s="375" t="n"/>
      <c r="AK4" s="506" t="inlineStr">
        <is>
          <t>제품</t>
        </is>
      </c>
      <c r="AL4" s="507">
        <f>AL3-AL5-AL6</f>
        <v/>
      </c>
      <c r="AN4" s="375" t="n"/>
      <c r="AO4" s="506" t="inlineStr">
        <is>
          <t>제품</t>
        </is>
      </c>
      <c r="AP4" s="507">
        <f>AP3-AP5-AP6</f>
        <v/>
      </c>
      <c r="AQ4" s="505">
        <f>ROUND(AP4*1.1,)</f>
        <v/>
      </c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65" t="n"/>
      <c r="K5" s="270" t="n"/>
      <c r="L5" s="26" t="inlineStr">
        <is>
          <t>제품</t>
        </is>
      </c>
      <c r="M5" s="15" t="inlineStr">
        <is>
          <t>케어</t>
        </is>
      </c>
      <c r="N5" s="27" t="inlineStr">
        <is>
          <t>보증</t>
        </is>
      </c>
      <c r="O5" s="265" t="n"/>
      <c r="P5" s="265" t="n"/>
      <c r="Q5" s="270" t="n"/>
      <c r="R5" s="26" t="inlineStr">
        <is>
          <t>제품</t>
        </is>
      </c>
      <c r="S5" s="15" t="inlineStr">
        <is>
          <t>케어</t>
        </is>
      </c>
      <c r="T5" s="27" t="inlineStr">
        <is>
          <t>보증</t>
        </is>
      </c>
      <c r="U5" s="265" t="n"/>
      <c r="V5" s="9" t="inlineStr">
        <is>
          <t>구독료(연체료)청구</t>
        </is>
      </c>
      <c r="W5" s="9" t="inlineStr">
        <is>
          <t>납부여부</t>
        </is>
      </c>
      <c r="X5" s="63" t="inlineStr">
        <is>
          <t>누적 연체이자</t>
        </is>
      </c>
      <c r="Y5" s="154" t="inlineStr">
        <is>
          <t>연체 1회</t>
        </is>
      </c>
      <c r="Z5" s="136" t="inlineStr">
        <is>
          <t>연체 2회</t>
        </is>
      </c>
      <c r="AA5" s="155" t="inlineStr">
        <is>
          <t>연체 3회</t>
        </is>
      </c>
      <c r="AB5" s="9" t="inlineStr">
        <is>
          <t>계약중지</t>
        </is>
      </c>
      <c r="AC5" s="9" t="inlineStr">
        <is>
          <t>경과일</t>
        </is>
      </c>
      <c r="AD5" s="26" t="inlineStr">
        <is>
          <t>위약금</t>
        </is>
      </c>
      <c r="AE5" s="15" t="inlineStr">
        <is>
          <t>사용분 청구</t>
        </is>
      </c>
      <c r="AF5" s="15" t="inlineStr">
        <is>
          <t>할인금 회수</t>
        </is>
      </c>
      <c r="AG5" s="136" t="inlineStr">
        <is>
          <t>연체이자</t>
        </is>
      </c>
      <c r="AH5" s="27" t="inlineStr">
        <is>
          <t>선납잔액 환불</t>
        </is>
      </c>
      <c r="AJ5" s="375" t="n"/>
      <c r="AK5" s="506" t="inlineStr">
        <is>
          <t>케어</t>
        </is>
      </c>
      <c r="AL5" s="507">
        <f>ROUND(AL3*$C$12/($C$16-$C$14),-2)</f>
        <v/>
      </c>
      <c r="AN5" s="375" t="n"/>
      <c r="AO5" s="506" t="inlineStr">
        <is>
          <t>케어</t>
        </is>
      </c>
      <c r="AP5" s="507">
        <f>ROUND(AP3*$C$12/($C$16-$C$14),0)</f>
        <v/>
      </c>
      <c r="AQ5" s="505">
        <f>ROUND(AP5*1.1,)</f>
        <v/>
      </c>
    </row>
    <row r="6">
      <c r="B6" s="9" t="inlineStr">
        <is>
          <t>모델코드</t>
        </is>
      </c>
      <c r="C6" s="6" t="inlineStr">
        <is>
          <t>SM-X920NZAAKOO</t>
        </is>
      </c>
      <c r="F6" s="101" t="inlineStr">
        <is>
          <t>1회차</t>
        </is>
      </c>
      <c r="G6" s="102" t="n">
        <v>45912</v>
      </c>
      <c r="H6" s="102" t="n">
        <v>45930</v>
      </c>
      <c r="I6" s="103">
        <f>EOMONTH(G6,0)+15</f>
        <v/>
      </c>
      <c r="J6" s="515">
        <f>K6+O6</f>
        <v/>
      </c>
      <c r="K6" s="646">
        <f>ROUNDDOWN(($C$20/1.1/$C$8)*(H6-G6+1)/DAY(H6),-2)</f>
        <v/>
      </c>
      <c r="L6" s="516">
        <f>K6-M6-N6</f>
        <v/>
      </c>
      <c r="M6" s="517">
        <f>ROUNDDOWN(($C$12/$C$8)*(H6-G6+1)/DAY(H6),-2)</f>
        <v/>
      </c>
      <c r="N6" s="518">
        <f>ROUNDDOWN(($C$13/$C$8)*(H6-G6+1)/DAY(H6),-2)</f>
        <v/>
      </c>
      <c r="O6" s="518">
        <f>ROUNDDOWN(($C$14/$C$8)*(H6-G6+1)/DAY(H6),-2)</f>
        <v/>
      </c>
      <c r="P6" s="515">
        <f>Q6+U6</f>
        <v/>
      </c>
      <c r="Q6" s="646">
        <f>ROUNDDOWN(($C$41/1.1/$C$8)*(H6-G6+1)/DAY(H6),-2)</f>
        <v/>
      </c>
      <c r="R6" s="516">
        <f>Q6-S6-T6</f>
        <v/>
      </c>
      <c r="S6" s="500">
        <f>ROUNDDOWN(($C$12/$C$8-AL5-AL10)*(H6-G6+1)/DAY(H6),-2)</f>
        <v/>
      </c>
      <c r="T6" s="519">
        <f>ROUNDDOWN(($C$13/$C$8-AL6-AL11)*(H6-G6+1)/DAY(H6),-2)</f>
        <v/>
      </c>
      <c r="U6" s="500">
        <f>O6</f>
        <v/>
      </c>
      <c r="V6" s="515">
        <f>P6</f>
        <v/>
      </c>
      <c r="W6" s="573" t="n"/>
      <c r="X6" s="573" t="n"/>
      <c r="Y6" s="516" t="n"/>
      <c r="Z6" s="500" t="n"/>
      <c r="AA6" s="519" t="n"/>
      <c r="AB6" s="54" t="n"/>
      <c r="AC6" s="280">
        <f>H6-G6+1</f>
        <v/>
      </c>
      <c r="AD6" s="55" t="n"/>
      <c r="AE6" s="626" t="n"/>
      <c r="AF6" s="627" t="n"/>
      <c r="AG6" s="627" t="n"/>
      <c r="AH6" s="91" t="n"/>
      <c r="AJ6" s="376" t="n"/>
      <c r="AK6" s="524" t="inlineStr">
        <is>
          <t>보증</t>
        </is>
      </c>
      <c r="AL6" s="507">
        <f>ROUND(AL3*$C$13/($C$16-$C$14),-2)</f>
        <v/>
      </c>
      <c r="AN6" s="376" t="n"/>
      <c r="AO6" s="524" t="inlineStr">
        <is>
          <t>보증</t>
        </is>
      </c>
      <c r="AP6" s="507">
        <f>ROUND(AP3*$C$13/($C$16-$C$14),0)</f>
        <v/>
      </c>
      <c r="AQ6" s="505">
        <f>ROUND(AP6*1.1,)</f>
        <v/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K7+O7</f>
        <v/>
      </c>
      <c r="K7" s="646">
        <f>$C$20/1.1/$C$8</f>
        <v/>
      </c>
      <c r="L7" s="516">
        <f>K7-M7-N7</f>
        <v/>
      </c>
      <c r="M7" s="517">
        <f>$C$12/$C$8</f>
        <v/>
      </c>
      <c r="N7" s="518">
        <f>$C$13/$C$8</f>
        <v/>
      </c>
      <c r="O7" s="518">
        <f>$C$14/$C$8</f>
        <v/>
      </c>
      <c r="P7" s="515">
        <f>Q7+U7</f>
        <v/>
      </c>
      <c r="Q7" s="646">
        <f>$C$41/1.1/$C$8</f>
        <v/>
      </c>
      <c r="R7" s="516">
        <f>Q7-S7-T7</f>
        <v/>
      </c>
      <c r="S7" s="500">
        <f>$C$12/$C$8-$AL$5-$AL$10</f>
        <v/>
      </c>
      <c r="T7" s="519">
        <f>$C$13/$C$8-$AL$6-$AL$11</f>
        <v/>
      </c>
      <c r="U7" s="500">
        <f>O7</f>
        <v/>
      </c>
      <c r="V7" s="515">
        <f>P7</f>
        <v/>
      </c>
      <c r="W7" s="573" t="n"/>
      <c r="X7" s="573" t="n"/>
      <c r="Y7" s="516" t="n"/>
      <c r="Z7" s="500" t="n"/>
      <c r="AA7" s="519" t="n"/>
      <c r="AB7" s="196" t="n"/>
      <c r="AC7" s="281">
        <f>H7-G7+1</f>
        <v/>
      </c>
      <c r="AD7" s="92" t="n"/>
      <c r="AH7" s="94" t="n"/>
      <c r="AJ7" s="399" t="n"/>
      <c r="AK7" s="500" t="n"/>
      <c r="AL7" s="206" t="n"/>
      <c r="AN7" s="399" t="n"/>
      <c r="AO7" s="500" t="n"/>
      <c r="AP7" s="206" t="n"/>
      <c r="AQ7" s="505" t="n"/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K8+O8</f>
        <v/>
      </c>
      <c r="K8" s="646">
        <f>$C$20/1.1/$C$8</f>
        <v/>
      </c>
      <c r="L8" s="516">
        <f>K8-M8-N8</f>
        <v/>
      </c>
      <c r="M8" s="517">
        <f>$C$12/$C$8</f>
        <v/>
      </c>
      <c r="N8" s="518">
        <f>$C$13/$C$8</f>
        <v/>
      </c>
      <c r="O8" s="518">
        <f>$C$14/$C$8</f>
        <v/>
      </c>
      <c r="P8" s="515">
        <f>Q8+U8</f>
        <v/>
      </c>
      <c r="Q8" s="646">
        <f>$C$41/1.1/$C$8</f>
        <v/>
      </c>
      <c r="R8" s="516">
        <f>Q8-S8-T8</f>
        <v/>
      </c>
      <c r="S8" s="500">
        <f>$C$12/$C$8-$AL$5-$AL$10</f>
        <v/>
      </c>
      <c r="T8" s="519">
        <f>$C$13/$C$8-$AL$6-$AL$11</f>
        <v/>
      </c>
      <c r="U8" s="500">
        <f>O8</f>
        <v/>
      </c>
      <c r="V8" s="515">
        <f>P8</f>
        <v/>
      </c>
      <c r="W8" s="573" t="n"/>
      <c r="X8" s="573" t="n"/>
      <c r="Y8" s="516" t="n"/>
      <c r="Z8" s="500" t="n"/>
      <c r="AA8" s="519" t="n"/>
      <c r="AB8" s="196" t="n"/>
      <c r="AC8" s="281">
        <f>H8-G8+1</f>
        <v/>
      </c>
      <c r="AD8" s="92" t="n"/>
      <c r="AH8" s="94" t="n"/>
      <c r="AJ8" s="378" t="inlineStr">
        <is>
          <t>월 선납할인(V-)</t>
        </is>
      </c>
      <c r="AK8" s="251" t="n"/>
      <c r="AL8" s="525">
        <f>$C32/$C8</f>
        <v/>
      </c>
      <c r="AN8" s="378" t="inlineStr">
        <is>
          <t>월 선납할인(V-)</t>
        </is>
      </c>
      <c r="AO8" s="251" t="n"/>
      <c r="AP8" s="525">
        <f>$C32/$C8</f>
        <v/>
      </c>
      <c r="AQ8" s="505">
        <f>AP8*1.1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K9+O9</f>
        <v/>
      </c>
      <c r="K9" s="646">
        <f>$C$20/1.1/$C$8</f>
        <v/>
      </c>
      <c r="L9" s="516">
        <f>K9-M9-N9</f>
        <v/>
      </c>
      <c r="M9" s="517">
        <f>$C$12/$C$8</f>
        <v/>
      </c>
      <c r="N9" s="518">
        <f>$C$13/$C$8</f>
        <v/>
      </c>
      <c r="O9" s="518">
        <f>$C$14/$C$8</f>
        <v/>
      </c>
      <c r="P9" s="515">
        <f>Q9+U9</f>
        <v/>
      </c>
      <c r="Q9" s="646">
        <f>$C$41/1.1/$C$8</f>
        <v/>
      </c>
      <c r="R9" s="516">
        <f>Q9-S9-T9</f>
        <v/>
      </c>
      <c r="S9" s="500">
        <f>$C$12/$C$8-$AL$5-$AL$10</f>
        <v/>
      </c>
      <c r="T9" s="519">
        <f>$C$13/$C$8-$AL$6-$AL$11</f>
        <v/>
      </c>
      <c r="U9" s="500">
        <f>O9</f>
        <v/>
      </c>
      <c r="V9" s="515">
        <f>P9</f>
        <v/>
      </c>
      <c r="W9" s="573" t="n"/>
      <c r="X9" s="573" t="n"/>
      <c r="Y9" s="516" t="n"/>
      <c r="Z9" s="500" t="n"/>
      <c r="AA9" s="519" t="n"/>
      <c r="AB9" s="196" t="n"/>
      <c r="AC9" s="281">
        <f>H9-G9+1</f>
        <v/>
      </c>
      <c r="AD9" s="92" t="n"/>
      <c r="AH9" s="94" t="n"/>
      <c r="AJ9" s="375" t="n"/>
      <c r="AK9" s="506" t="inlineStr">
        <is>
          <t>제품</t>
        </is>
      </c>
      <c r="AL9" s="507">
        <f>AL8-AL10-AL11</f>
        <v/>
      </c>
      <c r="AN9" s="375" t="n"/>
      <c r="AO9" s="506" t="inlineStr">
        <is>
          <t>제품</t>
        </is>
      </c>
      <c r="AP9" s="507">
        <f>AP8-AP10-AP11</f>
        <v/>
      </c>
      <c r="AQ9" s="505">
        <f>ROUND(AP9*1.1,)</f>
        <v/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K10+O10</f>
        <v/>
      </c>
      <c r="K10" s="646">
        <f>$C$20/1.1/$C$8</f>
        <v/>
      </c>
      <c r="L10" s="516">
        <f>K10-M10-N10</f>
        <v/>
      </c>
      <c r="M10" s="517">
        <f>$C$12/$C$8</f>
        <v/>
      </c>
      <c r="N10" s="518">
        <f>$C$13/$C$8</f>
        <v/>
      </c>
      <c r="O10" s="518">
        <f>$C$14/$C$8</f>
        <v/>
      </c>
      <c r="P10" s="515">
        <f>Q10+U10</f>
        <v/>
      </c>
      <c r="Q10" s="646">
        <f>$C$41/1.1/$C$8</f>
        <v/>
      </c>
      <c r="R10" s="516">
        <f>Q10-S10-T10</f>
        <v/>
      </c>
      <c r="S10" s="500">
        <f>$C$12/$C$8-$AL$5-$AL$10</f>
        <v/>
      </c>
      <c r="T10" s="519">
        <f>$C$13/$C$8-$AL$6-$AL$11</f>
        <v/>
      </c>
      <c r="U10" s="500">
        <f>O10</f>
        <v/>
      </c>
      <c r="V10" s="515">
        <f>P10</f>
        <v/>
      </c>
      <c r="W10" s="573" t="n"/>
      <c r="X10" s="573" t="n"/>
      <c r="Y10" s="516" t="n"/>
      <c r="Z10" s="500" t="n"/>
      <c r="AA10" s="519" t="n"/>
      <c r="AB10" s="196" t="n"/>
      <c r="AC10" s="281">
        <f>H10-G10+1</f>
        <v/>
      </c>
      <c r="AD10" s="92" t="n"/>
      <c r="AH10" s="94" t="n"/>
      <c r="AJ10" s="375" t="n"/>
      <c r="AK10" s="506" t="inlineStr">
        <is>
          <t>케어</t>
        </is>
      </c>
      <c r="AL10" s="507">
        <f>ROUND(AL8*$C$12/($C$16-$C$14),-2)</f>
        <v/>
      </c>
      <c r="AN10" s="375" t="n"/>
      <c r="AO10" s="506" t="inlineStr">
        <is>
          <t>케어</t>
        </is>
      </c>
      <c r="AP10" s="507">
        <f>ROUND(AP8*$C$12/($C$16-$C$14),0)</f>
        <v/>
      </c>
      <c r="AQ10" s="505">
        <f>ROUND(AP10*1.1,)</f>
        <v/>
      </c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K11+O11</f>
        <v/>
      </c>
      <c r="K11" s="646">
        <f>$C$20/1.1/$C$8</f>
        <v/>
      </c>
      <c r="L11" s="516">
        <f>K11-M11-N11</f>
        <v/>
      </c>
      <c r="M11" s="517">
        <f>$C$12/$C$8</f>
        <v/>
      </c>
      <c r="N11" s="518">
        <f>$C$13/$C$8</f>
        <v/>
      </c>
      <c r="O11" s="518">
        <f>$C$14/$C$8</f>
        <v/>
      </c>
      <c r="P11" s="515">
        <f>Q11+U11</f>
        <v/>
      </c>
      <c r="Q11" s="646">
        <f>$C$41/1.1/$C$8</f>
        <v/>
      </c>
      <c r="R11" s="516">
        <f>Q11-S11-T11</f>
        <v/>
      </c>
      <c r="S11" s="500">
        <f>$C$12/$C$8-$AL$5-$AL$10</f>
        <v/>
      </c>
      <c r="T11" s="519">
        <f>$C$13/$C$8-$AL$6-$AL$11</f>
        <v/>
      </c>
      <c r="U11" s="500">
        <f>O11</f>
        <v/>
      </c>
      <c r="V11" s="515">
        <f>P11</f>
        <v/>
      </c>
      <c r="W11" s="573" t="n"/>
      <c r="X11" s="573" t="n"/>
      <c r="Y11" s="516" t="n"/>
      <c r="Z11" s="500" t="n"/>
      <c r="AA11" s="519" t="n"/>
      <c r="AB11" s="196" t="n"/>
      <c r="AC11" s="281">
        <f>H11-G11+1</f>
        <v/>
      </c>
      <c r="AD11" s="92" t="n"/>
      <c r="AH11" s="94" t="n"/>
      <c r="AJ11" s="376" t="n"/>
      <c r="AK11" s="524" t="inlineStr">
        <is>
          <t>보증</t>
        </is>
      </c>
      <c r="AL11" s="507">
        <f>ROUND(AL8*$C$13/($C$16-$C$14),-2)</f>
        <v/>
      </c>
      <c r="AN11" s="376" t="n"/>
      <c r="AO11" s="524" t="inlineStr">
        <is>
          <t>보증</t>
        </is>
      </c>
      <c r="AP11" s="507">
        <f>ROUND(AP8*$C$13/($C$16-$C$14),0)</f>
        <v/>
      </c>
      <c r="AQ11" s="505">
        <f>ROUND(AP11*1.1,)</f>
        <v/>
      </c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K12+O12</f>
        <v/>
      </c>
      <c r="K12" s="646">
        <f>$C$20/1.1/$C$8</f>
        <v/>
      </c>
      <c r="L12" s="516">
        <f>K12-M12-N12</f>
        <v/>
      </c>
      <c r="M12" s="517">
        <f>$C$12/$C$8</f>
        <v/>
      </c>
      <c r="N12" s="518">
        <f>$C$13/$C$8</f>
        <v/>
      </c>
      <c r="O12" s="518">
        <f>$C$14/$C$8</f>
        <v/>
      </c>
      <c r="P12" s="515">
        <f>Q12+U12</f>
        <v/>
      </c>
      <c r="Q12" s="646">
        <f>$C$41/1.1/$C$8</f>
        <v/>
      </c>
      <c r="R12" s="516">
        <f>Q12-S12-T12</f>
        <v/>
      </c>
      <c r="S12" s="500">
        <f>$C$12/$C$8-$AL$5-$AL$10</f>
        <v/>
      </c>
      <c r="T12" s="519">
        <f>$C$13/$C$8-$AL$6-$AL$11</f>
        <v/>
      </c>
      <c r="U12" s="500">
        <f>O12</f>
        <v/>
      </c>
      <c r="V12" s="515">
        <f>P12</f>
        <v/>
      </c>
      <c r="W12" s="573" t="n"/>
      <c r="X12" s="573" t="n"/>
      <c r="Y12" s="516" t="n"/>
      <c r="Z12" s="500" t="n"/>
      <c r="AA12" s="519" t="n"/>
      <c r="AB12" s="196" t="n"/>
      <c r="AC12" s="281">
        <f>H12-G12+1</f>
        <v/>
      </c>
      <c r="AD12" s="92" t="n"/>
      <c r="AH12" s="94" t="n"/>
      <c r="AK12" s="517" t="n"/>
      <c r="AM12" s="611" t="n"/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K13+O13</f>
        <v/>
      </c>
      <c r="K13" s="646">
        <f>$C$20/1.1/$C$8</f>
        <v/>
      </c>
      <c r="L13" s="516">
        <f>K13-M13-N13</f>
        <v/>
      </c>
      <c r="M13" s="517">
        <f>$C$12/$C$8</f>
        <v/>
      </c>
      <c r="N13" s="518">
        <f>$C$13/$C$8</f>
        <v/>
      </c>
      <c r="O13" s="518">
        <f>$C$14/$C$8</f>
        <v/>
      </c>
      <c r="P13" s="515">
        <f>Q13+U13</f>
        <v/>
      </c>
      <c r="Q13" s="646">
        <f>$C$41/1.1/$C$8</f>
        <v/>
      </c>
      <c r="R13" s="516">
        <f>Q13-S13-T13</f>
        <v/>
      </c>
      <c r="S13" s="500">
        <f>$C$12/$C$8-$AL$5-$AL$10</f>
        <v/>
      </c>
      <c r="T13" s="519">
        <f>$C$13/$C$8-$AL$6-$AL$11</f>
        <v/>
      </c>
      <c r="U13" s="500">
        <f>O13</f>
        <v/>
      </c>
      <c r="V13" s="515">
        <f>P13</f>
        <v/>
      </c>
      <c r="W13" s="573" t="n"/>
      <c r="X13" s="573" t="n"/>
      <c r="Y13" s="516" t="n"/>
      <c r="Z13" s="500" t="n"/>
      <c r="AA13" s="519" t="n"/>
      <c r="AB13" s="196" t="n"/>
      <c r="AC13" s="281">
        <f>H13-G13+1</f>
        <v/>
      </c>
      <c r="AD13" s="92" t="n"/>
      <c r="AH13" s="94" t="n"/>
      <c r="AM13" s="539" t="n"/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K14+O14</f>
        <v/>
      </c>
      <c r="K14" s="646">
        <f>$C$20/1.1/$C$8</f>
        <v/>
      </c>
      <c r="L14" s="516">
        <f>K14-M14-N14</f>
        <v/>
      </c>
      <c r="M14" s="517">
        <f>$C$12/$C$8</f>
        <v/>
      </c>
      <c r="N14" s="518">
        <f>$C$13/$C$8</f>
        <v/>
      </c>
      <c r="O14" s="518">
        <f>$C$14/$C$8</f>
        <v/>
      </c>
      <c r="P14" s="515">
        <f>Q14+U14</f>
        <v/>
      </c>
      <c r="Q14" s="646">
        <f>$C$41/1.1/$C$8</f>
        <v/>
      </c>
      <c r="R14" s="516">
        <f>Q14-S14-T14</f>
        <v/>
      </c>
      <c r="S14" s="500">
        <f>$C$12/$C$8-$AL$5-$AL$10</f>
        <v/>
      </c>
      <c r="T14" s="519">
        <f>$C$13/$C$8-$AL$6-$AL$11</f>
        <v/>
      </c>
      <c r="U14" s="500">
        <f>O14</f>
        <v/>
      </c>
      <c r="V14" s="515">
        <f>P14</f>
        <v/>
      </c>
      <c r="W14" s="573" t="n"/>
      <c r="X14" s="573" t="n"/>
      <c r="Y14" s="516" t="n"/>
      <c r="Z14" s="500" t="n"/>
      <c r="AA14" s="519" t="n"/>
      <c r="AB14" s="196" t="n"/>
      <c r="AC14" s="281">
        <f>H14-G14+1</f>
        <v/>
      </c>
      <c r="AD14" s="92" t="n"/>
      <c r="AH14" s="94" t="n"/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K15+O15</f>
        <v/>
      </c>
      <c r="K15" s="646">
        <f>$C$20/1.1/$C$8</f>
        <v/>
      </c>
      <c r="L15" s="516">
        <f>K15-M15-N15</f>
        <v/>
      </c>
      <c r="M15" s="517">
        <f>$C$12/$C$8</f>
        <v/>
      </c>
      <c r="N15" s="518">
        <f>$C$13/$C$8</f>
        <v/>
      </c>
      <c r="O15" s="518">
        <f>$C$14/$C$8</f>
        <v/>
      </c>
      <c r="P15" s="515">
        <f>Q15+U15</f>
        <v/>
      </c>
      <c r="Q15" s="646">
        <f>$C$41/1.1/$C$8</f>
        <v/>
      </c>
      <c r="R15" s="516">
        <f>Q15-S15-T15</f>
        <v/>
      </c>
      <c r="S15" s="500">
        <f>$C$12/$C$8-$AL$5-$AL$10</f>
        <v/>
      </c>
      <c r="T15" s="519">
        <f>$C$13/$C$8-$AL$6-$AL$11</f>
        <v/>
      </c>
      <c r="U15" s="500">
        <f>O15</f>
        <v/>
      </c>
      <c r="V15" s="515">
        <f>P15</f>
        <v/>
      </c>
      <c r="W15" s="573" t="n"/>
      <c r="X15" s="573" t="n"/>
      <c r="Y15" s="516" t="n"/>
      <c r="Z15" s="500" t="n"/>
      <c r="AA15" s="519" t="n"/>
      <c r="AB15" s="196" t="n"/>
      <c r="AC15" s="281">
        <f>H15-G15+1</f>
        <v/>
      </c>
      <c r="AD15" s="92" t="n"/>
      <c r="AH15" s="94" t="n"/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K16+O16</f>
        <v/>
      </c>
      <c r="K16" s="646">
        <f>$C$20/1.1/$C$8</f>
        <v/>
      </c>
      <c r="L16" s="516">
        <f>K16-M16-N16</f>
        <v/>
      </c>
      <c r="M16" s="517">
        <f>$C$12/$C$8</f>
        <v/>
      </c>
      <c r="N16" s="518">
        <f>$C$13/$C$8</f>
        <v/>
      </c>
      <c r="O16" s="518">
        <f>$C$14/$C$8</f>
        <v/>
      </c>
      <c r="P16" s="515">
        <f>Q16+U16</f>
        <v/>
      </c>
      <c r="Q16" s="646">
        <f>$C$41/1.1/$C$8</f>
        <v/>
      </c>
      <c r="R16" s="516">
        <f>Q16-S16-T16</f>
        <v/>
      </c>
      <c r="S16" s="500">
        <f>$C$12/$C$8-$AL$5-$AL$10</f>
        <v/>
      </c>
      <c r="T16" s="519">
        <f>$C$13/$C$8-$AL$6-$AL$11</f>
        <v/>
      </c>
      <c r="U16" s="500">
        <f>O16</f>
        <v/>
      </c>
      <c r="V16" s="515">
        <f>P16</f>
        <v/>
      </c>
      <c r="W16" s="573" t="n"/>
      <c r="X16" s="573" t="n"/>
      <c r="Y16" s="516" t="n"/>
      <c r="Z16" s="500" t="n"/>
      <c r="AA16" s="519" t="n"/>
      <c r="AB16" s="196" t="n"/>
      <c r="AC16" s="281">
        <f>H16-G16+1</f>
        <v/>
      </c>
      <c r="AD16" s="92" t="n"/>
      <c r="AH16" s="94" t="n"/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K17+O17</f>
        <v/>
      </c>
      <c r="K17" s="646">
        <f>$C$20/1.1/$C$8</f>
        <v/>
      </c>
      <c r="L17" s="516">
        <f>K17-M17-N17</f>
        <v/>
      </c>
      <c r="M17" s="517">
        <f>$C$12/$C$8</f>
        <v/>
      </c>
      <c r="N17" s="518">
        <f>$C$13/$C$8</f>
        <v/>
      </c>
      <c r="O17" s="518">
        <f>$C$14/$C$8</f>
        <v/>
      </c>
      <c r="P17" s="515">
        <f>Q17+U17</f>
        <v/>
      </c>
      <c r="Q17" s="646">
        <f>$C$41/1.1/$C$8</f>
        <v/>
      </c>
      <c r="R17" s="516">
        <f>Q17-S17-T17</f>
        <v/>
      </c>
      <c r="S17" s="500">
        <f>$C$12/$C$8-$AL$5-$AL$10</f>
        <v/>
      </c>
      <c r="T17" s="519">
        <f>$C$13/$C$8-$AL$6-$AL$11</f>
        <v/>
      </c>
      <c r="U17" s="500">
        <f>O17</f>
        <v/>
      </c>
      <c r="V17" s="515">
        <f>P17</f>
        <v/>
      </c>
      <c r="W17" s="573" t="n"/>
      <c r="X17" s="573" t="n"/>
      <c r="Y17" s="516" t="n"/>
      <c r="Z17" s="500" t="n"/>
      <c r="AA17" s="519" t="n"/>
      <c r="AB17" s="196" t="n"/>
      <c r="AC17" s="281">
        <f>H17-G17+1</f>
        <v/>
      </c>
      <c r="AD17" s="92" t="n"/>
      <c r="AH17" s="94" t="n"/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K18+O18</f>
        <v/>
      </c>
      <c r="K18" s="646">
        <f>$C$20/1.1/$C$8</f>
        <v/>
      </c>
      <c r="L18" s="516">
        <f>K18-M18-N18</f>
        <v/>
      </c>
      <c r="M18" s="517">
        <f>$C$12/$C$8</f>
        <v/>
      </c>
      <c r="N18" s="518">
        <f>$C$13/$C$8</f>
        <v/>
      </c>
      <c r="O18" s="518">
        <f>$C$14/$C$8</f>
        <v/>
      </c>
      <c r="P18" s="515">
        <f>Q18+U18</f>
        <v/>
      </c>
      <c r="Q18" s="646">
        <f>$C$41/1.1/$C$8</f>
        <v/>
      </c>
      <c r="R18" s="516">
        <f>Q18-S18-T18</f>
        <v/>
      </c>
      <c r="S18" s="500">
        <f>$C$12/$C$8-$AL$5-$AL$10</f>
        <v/>
      </c>
      <c r="T18" s="519">
        <f>$C$13/$C$8-$AL$6-$AL$11</f>
        <v/>
      </c>
      <c r="U18" s="500">
        <f>O18</f>
        <v/>
      </c>
      <c r="V18" s="515">
        <f>P18</f>
        <v/>
      </c>
      <c r="W18" s="573" t="n"/>
      <c r="X18" s="573" t="n"/>
      <c r="Y18" s="516" t="n"/>
      <c r="Z18" s="500" t="n"/>
      <c r="AA18" s="519" t="n"/>
      <c r="AB18" s="196" t="n"/>
      <c r="AC18" s="281">
        <f>H18-G18+1</f>
        <v/>
      </c>
      <c r="AD18" s="92" t="n"/>
      <c r="AH18" s="94" t="n"/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K19+O19</f>
        <v/>
      </c>
      <c r="K19" s="646">
        <f>$C$20/1.1/$C$8</f>
        <v/>
      </c>
      <c r="L19" s="516">
        <f>K19-M19-N19</f>
        <v/>
      </c>
      <c r="M19" s="517">
        <f>$C$12/$C$8</f>
        <v/>
      </c>
      <c r="N19" s="518">
        <f>$C$13/$C$8</f>
        <v/>
      </c>
      <c r="O19" s="518">
        <f>$C$14/$C$8</f>
        <v/>
      </c>
      <c r="P19" s="515">
        <f>Q19+U19</f>
        <v/>
      </c>
      <c r="Q19" s="646">
        <f>$C$41/1.1/$C$8</f>
        <v/>
      </c>
      <c r="R19" s="516">
        <f>Q19-S19-T19</f>
        <v/>
      </c>
      <c r="S19" s="500">
        <f>$C$12/$C$8-$AL$5-$AL$10</f>
        <v/>
      </c>
      <c r="T19" s="519">
        <f>$C$13/$C$8-$AL$6-$AL$11</f>
        <v/>
      </c>
      <c r="U19" s="500">
        <f>O19</f>
        <v/>
      </c>
      <c r="V19" s="515">
        <f>P19</f>
        <v/>
      </c>
      <c r="W19" s="573" t="n"/>
      <c r="X19" s="573" t="n"/>
      <c r="Y19" s="516" t="n"/>
      <c r="Z19" s="500" t="n"/>
      <c r="AA19" s="519" t="n"/>
      <c r="AB19" s="196" t="n"/>
      <c r="AC19" s="281">
        <f>H19-G19+1</f>
        <v/>
      </c>
      <c r="AD19" s="92" t="n"/>
      <c r="AH19" s="94" t="n"/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K20+O20</f>
        <v/>
      </c>
      <c r="K20" s="646">
        <f>$C$20/1.1/$C$8</f>
        <v/>
      </c>
      <c r="L20" s="516">
        <f>K20-M20-N20</f>
        <v/>
      </c>
      <c r="M20" s="517">
        <f>$C$12/$C$8</f>
        <v/>
      </c>
      <c r="N20" s="518">
        <f>$C$13/$C$8</f>
        <v/>
      </c>
      <c r="O20" s="518">
        <f>$C$14/$C$8</f>
        <v/>
      </c>
      <c r="P20" s="515">
        <f>Q20+U20</f>
        <v/>
      </c>
      <c r="Q20" s="646">
        <f>$C$41/1.1/$C$8</f>
        <v/>
      </c>
      <c r="R20" s="516">
        <f>Q20-S20-T20</f>
        <v/>
      </c>
      <c r="S20" s="500">
        <f>$C$12/$C$8-$AL$5-$AL$10</f>
        <v/>
      </c>
      <c r="T20" s="519">
        <f>$C$13/$C$8-$AL$6-$AL$11</f>
        <v/>
      </c>
      <c r="U20" s="500">
        <f>O20</f>
        <v/>
      </c>
      <c r="V20" s="515">
        <f>P20</f>
        <v/>
      </c>
      <c r="W20" s="573" t="n"/>
      <c r="X20" s="573" t="n"/>
      <c r="Y20" s="516" t="inlineStr">
        <is>
          <t>* 연체 발생 이후 익월 청구일부터 가산이자 발생</t>
        </is>
      </c>
      <c r="Z20" s="500" t="n"/>
      <c r="AA20" s="519" t="n"/>
      <c r="AB20" s="196" t="n"/>
      <c r="AC20" s="281">
        <f>H20-G20+1</f>
        <v/>
      </c>
      <c r="AD20" s="92" t="n"/>
      <c r="AH20" s="94" t="n"/>
    </row>
    <row r="21" ht="17.45" customHeight="1" s="497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K21+O21</f>
        <v/>
      </c>
      <c r="K21" s="646">
        <f>$C$20/1.1/$C$8</f>
        <v/>
      </c>
      <c r="L21" s="516">
        <f>K21-M21-N21</f>
        <v/>
      </c>
      <c r="M21" s="517">
        <f>$C$12/$C$8</f>
        <v/>
      </c>
      <c r="N21" s="518">
        <f>$C$13/$C$8</f>
        <v/>
      </c>
      <c r="O21" s="518">
        <f>$C$14/$C$8</f>
        <v/>
      </c>
      <c r="P21" s="515">
        <f>Q21+U21</f>
        <v/>
      </c>
      <c r="Q21" s="646">
        <f>$C$41/1.1/$C$8</f>
        <v/>
      </c>
      <c r="R21" s="516">
        <f>Q21-S21-T21</f>
        <v/>
      </c>
      <c r="S21" s="500">
        <f>$C$12/$C$8-$AL$5-$AL$10</f>
        <v/>
      </c>
      <c r="T21" s="519">
        <f>$C$13/$C$8-$AL$6-$AL$11</f>
        <v/>
      </c>
      <c r="U21" s="500">
        <f>O21</f>
        <v/>
      </c>
      <c r="V21" s="720">
        <f>P21</f>
        <v/>
      </c>
      <c r="W21" s="141" t="inlineStr">
        <is>
          <t>연체</t>
        </is>
      </c>
      <c r="X21" s="726" t="n"/>
      <c r="Y21" s="721" t="n"/>
      <c r="Z21" s="724" t="n"/>
      <c r="AA21" s="725" t="n"/>
      <c r="AB21" s="158" t="n"/>
      <c r="AC21" s="159">
        <f>H21-G21+1</f>
        <v/>
      </c>
      <c r="AD21" s="160" t="n"/>
      <c r="AE21" s="724">
        <f>P21</f>
        <v/>
      </c>
      <c r="AF21" s="282" t="n"/>
      <c r="AG21" s="282" t="n"/>
      <c r="AH21" s="161" t="n"/>
    </row>
    <row r="22">
      <c r="A22" s="305" t="n"/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K22+O22</f>
        <v/>
      </c>
      <c r="K22" s="646">
        <f>$C$20/1.1/$C$8</f>
        <v/>
      </c>
      <c r="L22" s="516">
        <f>K22-M22-N22</f>
        <v/>
      </c>
      <c r="M22" s="517">
        <f>$C$12/$C$8</f>
        <v/>
      </c>
      <c r="N22" s="518">
        <f>$C$13/$C$8</f>
        <v/>
      </c>
      <c r="O22" s="518">
        <f>$C$14/$C$8</f>
        <v/>
      </c>
      <c r="P22" s="515">
        <f>Q22+U22</f>
        <v/>
      </c>
      <c r="Q22" s="646">
        <f>$C$41/1.1/$C$8</f>
        <v/>
      </c>
      <c r="R22" s="516">
        <f>Q22-S22-T22</f>
        <v/>
      </c>
      <c r="S22" s="500">
        <f>$C$12/$C$8-$AL$5-$AL$10</f>
        <v/>
      </c>
      <c r="T22" s="519">
        <f>$C$13/$C$8-$AL$6-$AL$11</f>
        <v/>
      </c>
      <c r="U22" s="500">
        <f>O22</f>
        <v/>
      </c>
      <c r="V22" s="727">
        <f>P22+X22</f>
        <v/>
      </c>
      <c r="W22" s="141" t="inlineStr">
        <is>
          <t>연체</t>
        </is>
      </c>
      <c r="X22" s="726">
        <f>SUM(Y22:AA22)</f>
        <v/>
      </c>
      <c r="Y22" s="728">
        <f>ROUNDDOWN((Q21*1.1+U21)*6%*(I22-I21-1)/365,-1)</f>
        <v/>
      </c>
      <c r="Z22" s="724" t="n"/>
      <c r="AA22" s="725" t="n"/>
      <c r="AB22" s="158" t="n"/>
      <c r="AC22" s="159">
        <f>H22-G22+1</f>
        <v/>
      </c>
      <c r="AD22" s="160" t="n"/>
      <c r="AE22" s="724">
        <f>P22</f>
        <v/>
      </c>
      <c r="AF22" s="282" t="n"/>
      <c r="AG22" s="729" t="n"/>
      <c r="AH22" s="161" t="n"/>
    </row>
    <row r="23">
      <c r="A23" s="305" t="n"/>
      <c r="B23" s="9" t="inlineStr">
        <is>
          <t>(계산용) 선납금(v-) (총구독료 v+ 기준)</t>
        </is>
      </c>
      <c r="C23" s="506">
        <f>C18*C22/1.1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K23+O23</f>
        <v/>
      </c>
      <c r="K23" s="646">
        <f>$C$20/1.1/$C$8</f>
        <v/>
      </c>
      <c r="L23" s="516">
        <f>K23-M23-N23</f>
        <v/>
      </c>
      <c r="M23" s="517">
        <f>$C$12/$C$8</f>
        <v/>
      </c>
      <c r="N23" s="518">
        <f>$C$13/$C$8</f>
        <v/>
      </c>
      <c r="O23" s="518">
        <f>$C$14/$C$8</f>
        <v/>
      </c>
      <c r="P23" s="515">
        <f>Q23+U23</f>
        <v/>
      </c>
      <c r="Q23" s="646">
        <f>$C$41/1.1/$C$8</f>
        <v/>
      </c>
      <c r="R23" s="516">
        <f>Q23-S23-T23</f>
        <v/>
      </c>
      <c r="S23" s="500">
        <f>$C$12/$C$8-$AL$5-$AL$10</f>
        <v/>
      </c>
      <c r="T23" s="519">
        <f>$C$13/$C$8-$AL$6-$AL$11</f>
        <v/>
      </c>
      <c r="U23" s="500">
        <f>O23</f>
        <v/>
      </c>
      <c r="V23" s="727">
        <f>P23+X23</f>
        <v/>
      </c>
      <c r="W23" s="141" t="inlineStr">
        <is>
          <t>연체</t>
        </is>
      </c>
      <c r="X23" s="726">
        <f>SUM(Y23:AA23)</f>
        <v/>
      </c>
      <c r="Y23" s="728">
        <f>ROUNDDOWN((Q21*1.1+U21)*6%*(I23-I21-1)/365,-1)</f>
        <v/>
      </c>
      <c r="Z23" s="729">
        <f>ROUNDDOWN((Q22*1.1+U22)*6%*(I23-I22-1)/365,-1)</f>
        <v/>
      </c>
      <c r="AA23" s="725" t="n"/>
      <c r="AB23" s="158" t="n"/>
      <c r="AC23" s="159">
        <f>H23-G23+1</f>
        <v/>
      </c>
      <c r="AD23" s="160" t="n"/>
      <c r="AE23" s="724">
        <f>P23</f>
        <v/>
      </c>
      <c r="AF23" s="282" t="n"/>
      <c r="AG23" s="729" t="n"/>
      <c r="AH23" s="161" t="n"/>
    </row>
    <row r="24">
      <c r="A24" s="305" t="n"/>
      <c r="B24" s="9" t="inlineStr">
        <is>
          <t>(계산용) 월 선납금(V-)</t>
        </is>
      </c>
      <c r="C24" s="506">
        <f>ROUND(C23/C8,-2)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K24+O24</f>
        <v/>
      </c>
      <c r="K24" s="646">
        <f>$C$20/1.1/$C$8</f>
        <v/>
      </c>
      <c r="L24" s="516">
        <f>K24-M24-N24</f>
        <v/>
      </c>
      <c r="M24" s="517">
        <f>$C$12/$C$8</f>
        <v/>
      </c>
      <c r="N24" s="518">
        <f>$C$13/$C$8</f>
        <v/>
      </c>
      <c r="O24" s="518">
        <f>$C$14/$C$8</f>
        <v/>
      </c>
      <c r="P24" s="515">
        <f>Q24+U24</f>
        <v/>
      </c>
      <c r="Q24" s="646">
        <f>$C$41/1.1/$C$8</f>
        <v/>
      </c>
      <c r="R24" s="516">
        <f>Q24-S24-T24</f>
        <v/>
      </c>
      <c r="S24" s="500">
        <f>$C$12/$C$8-$AL$5-$AL$10</f>
        <v/>
      </c>
      <c r="T24" s="519">
        <f>$C$13/$C$8-$AL$6-$AL$11</f>
        <v/>
      </c>
      <c r="U24" s="500">
        <f>O24</f>
        <v/>
      </c>
      <c r="V24" s="727">
        <f>P24+X24</f>
        <v/>
      </c>
      <c r="W24" s="141" t="inlineStr">
        <is>
          <t>연체</t>
        </is>
      </c>
      <c r="X24" s="726">
        <f>SUM(Y24:AA24)</f>
        <v/>
      </c>
      <c r="Y24" s="728">
        <f>ROUNDDOWN((Q21*1.1+U21)*6%*(I24-I21-1)/365,-1)</f>
        <v/>
      </c>
      <c r="Z24" s="729">
        <f>ROUNDDOWN((Q22*1.1+U22)*6%*(I24-I22-1)/365,-1)</f>
        <v/>
      </c>
      <c r="AA24" s="730">
        <f>ROUNDDOWN((Q23*1.1+U23)*6%*(I24-I23-1)/365,-1)</f>
        <v/>
      </c>
      <c r="AB24" s="158" t="n"/>
      <c r="AC24" s="159">
        <f>H24-G24+1</f>
        <v/>
      </c>
      <c r="AD24" s="160" t="n"/>
      <c r="AE24" s="724">
        <f>P24</f>
        <v/>
      </c>
      <c r="AF24" s="282" t="n"/>
      <c r="AG24" s="729">
        <f>X24</f>
        <v/>
      </c>
      <c r="AH24" s="161" t="n"/>
    </row>
    <row r="25">
      <c r="A25" s="305" t="n"/>
      <c r="B25" s="9" t="inlineStr">
        <is>
          <t>(계산용) 월 선납금(V+)</t>
        </is>
      </c>
      <c r="C25" s="506">
        <f>C24*1.1</f>
        <v/>
      </c>
      <c r="F25" s="80" t="inlineStr">
        <is>
          <t>20회차</t>
        </is>
      </c>
      <c r="G25" s="81">
        <f>H24+1</f>
        <v/>
      </c>
      <c r="H25" s="81">
        <f>EOMONTH(G25,0)</f>
        <v/>
      </c>
      <c r="I25" s="82">
        <f>EDATE(I24,1)</f>
        <v/>
      </c>
      <c r="J25" s="630">
        <f>K25+O25</f>
        <v/>
      </c>
      <c r="K25" s="647">
        <f>$C$20/1.1/$C$8</f>
        <v/>
      </c>
      <c r="L25" s="631">
        <f>K25-M25-N25</f>
        <v/>
      </c>
      <c r="M25" s="632">
        <f>$C$12/$C$8</f>
        <v/>
      </c>
      <c r="N25" s="633">
        <f>$C$13/$C$8</f>
        <v/>
      </c>
      <c r="O25" s="633">
        <f>$C$14/$C$8</f>
        <v/>
      </c>
      <c r="P25" s="630">
        <f>Q25+U25</f>
        <v/>
      </c>
      <c r="Q25" s="647">
        <f>$C$41/1.1/$C$8</f>
        <v/>
      </c>
      <c r="R25" s="631">
        <f>Q25-S25-T25</f>
        <v/>
      </c>
      <c r="S25" s="634">
        <f>$C$12/$C$8-$AL$5-$AL$10</f>
        <v/>
      </c>
      <c r="T25" s="635">
        <f>$C$13/$C$8-$AL$6-$AL$11</f>
        <v/>
      </c>
      <c r="U25" s="634">
        <f>O25</f>
        <v/>
      </c>
      <c r="V25" s="646" t="n"/>
      <c r="W25" s="731" t="n"/>
      <c r="X25" s="573" t="n"/>
      <c r="Y25" s="516" t="inlineStr">
        <is>
          <t xml:space="preserve">* CE는 구독료(v-)*1.1을 적용하여 구독료(v+)를 구할 수 있지만 </t>
        </is>
      </c>
      <c r="Z25" s="500" t="n"/>
      <c r="AA25" s="519" t="n"/>
      <c r="AB25" s="162">
        <f>I24+DAY(2)</f>
        <v/>
      </c>
      <c r="AC25" s="222">
        <f>AB25-G25</f>
        <v/>
      </c>
      <c r="AD25" s="732">
        <f>ROUNDDOWN(((C18)*(C9-SUM(AC6:AC25))/C9)*20%,-1)</f>
        <v/>
      </c>
      <c r="AE25" s="648">
        <f>SUM(AE21:AE24)+ROUNDDOWN(P25*AC25/DAY(H25),-2)</f>
        <v/>
      </c>
      <c r="AF25" s="648">
        <f>ROUNDDOWN(C32*SUM(AC6:AC25)/C9,-2)</f>
        <v/>
      </c>
      <c r="AG25" s="733">
        <f>AG24</f>
        <v/>
      </c>
      <c r="AH25" s="734">
        <f>-ROUNDUP((C28*(C9-SUM(AC6:AC25))/C9),-2)</f>
        <v/>
      </c>
      <c r="AI25" s="206" t="inlineStr">
        <is>
          <t>* 위약금, 할인회수, 선납잔액 환불 기준: 일수비율</t>
        </is>
      </c>
    </row>
    <row r="26">
      <c r="A26" s="305" t="n"/>
      <c r="B26" s="9" t="inlineStr">
        <is>
          <t>(최종) 선납금 반영 월 구독료 (V-)</t>
        </is>
      </c>
      <c r="C26" s="506">
        <f>C17-C24</f>
        <v/>
      </c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K26+O26</f>
        <v/>
      </c>
      <c r="K26" s="646">
        <f>$C$20/1.1/$C$8</f>
        <v/>
      </c>
      <c r="L26" s="516">
        <f>K26-M26-N26</f>
        <v/>
      </c>
      <c r="M26" s="517">
        <f>$C$12/$C$8</f>
        <v/>
      </c>
      <c r="N26" s="518">
        <f>$C$13/$C$8</f>
        <v/>
      </c>
      <c r="O26" s="518">
        <f>$C$14/$C$8</f>
        <v/>
      </c>
      <c r="P26" s="515">
        <f>Q26+U26</f>
        <v/>
      </c>
      <c r="Q26" s="646">
        <f>$C$41/1.1/$C$8</f>
        <v/>
      </c>
      <c r="R26" s="516">
        <f>Q26-S26-T26</f>
        <v/>
      </c>
      <c r="S26" s="500">
        <f>$C$12/$C$8-$AL$5-$AL$10</f>
        <v/>
      </c>
      <c r="T26" s="519">
        <f>$C$13/$C$8-$AL$6-$AL$11</f>
        <v/>
      </c>
      <c r="U26" s="500">
        <f>O26</f>
        <v/>
      </c>
      <c r="V26" s="515" t="n"/>
      <c r="W26" s="573" t="n"/>
      <c r="X26" s="573" t="n"/>
      <c r="Y26" s="516" t="inlineStr">
        <is>
          <t>MX는 피과세 파손보험 포함으로 단순*1.1 적용 불가</t>
        </is>
      </c>
      <c r="Z26" s="500" t="n"/>
      <c r="AA26" s="519" t="n"/>
      <c r="AB26" s="196" t="inlineStr">
        <is>
          <t xml:space="preserve">* 4회차 정기청구일+2일 '중지' </t>
        </is>
      </c>
      <c r="AC26" s="196" t="n"/>
      <c r="AD26" s="92" t="n"/>
      <c r="AE26" s="500" t="n"/>
      <c r="AH26" s="94" t="n"/>
    </row>
    <row r="27">
      <c r="A27" s="305" t="n"/>
      <c r="B27" s="9" t="inlineStr">
        <is>
          <t>(최종) 선납금 반영 총 구독료 (V-)</t>
        </is>
      </c>
      <c r="C27" s="506">
        <f>C26*C8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K27+O27</f>
        <v/>
      </c>
      <c r="K27" s="646">
        <f>$C$20/1.1/$C$8</f>
        <v/>
      </c>
      <c r="L27" s="516">
        <f>K27-M27-N27</f>
        <v/>
      </c>
      <c r="M27" s="517">
        <f>$C$12/$C$8</f>
        <v/>
      </c>
      <c r="N27" s="518">
        <f>$C$13/$C$8</f>
        <v/>
      </c>
      <c r="O27" s="518">
        <f>$C$14/$C$8</f>
        <v/>
      </c>
      <c r="P27" s="515">
        <f>Q27+U27</f>
        <v/>
      </c>
      <c r="Q27" s="646">
        <f>$C$41/1.1/$C$8</f>
        <v/>
      </c>
      <c r="R27" s="516">
        <f>Q27-S27-T27</f>
        <v/>
      </c>
      <c r="S27" s="500">
        <f>$C$12/$C$8-$AL$5-$AL$10</f>
        <v/>
      </c>
      <c r="T27" s="519">
        <f>$C$13/$C$8-$AL$6-$AL$11</f>
        <v/>
      </c>
      <c r="U27" s="500">
        <f>O27</f>
        <v/>
      </c>
      <c r="V27" s="515" t="n"/>
      <c r="W27" s="573" t="n"/>
      <c r="X27" s="573" t="n"/>
      <c r="Y27" s="516" t="n"/>
      <c r="Z27" s="500" t="n"/>
      <c r="AA27" s="519" t="n"/>
      <c r="AB27" s="196" t="n"/>
      <c r="AC27" s="196" t="n"/>
      <c r="AD27" s="92" t="n"/>
      <c r="AE27" s="500" t="n"/>
      <c r="AH27" s="94" t="n"/>
    </row>
    <row r="28">
      <c r="A28" s="305" t="n"/>
      <c r="B28" s="63" t="inlineStr">
        <is>
          <t>(최종) 선납금 (V-)</t>
        </is>
      </c>
      <c r="C28" s="649">
        <f>C24*C8</f>
        <v/>
      </c>
      <c r="D28" s="505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K28+O28</f>
        <v/>
      </c>
      <c r="K28" s="646">
        <f>$C$20/1.1/$C$8</f>
        <v/>
      </c>
      <c r="L28" s="516">
        <f>K28-M28-N28</f>
        <v/>
      </c>
      <c r="M28" s="517">
        <f>$C$12/$C$8</f>
        <v/>
      </c>
      <c r="N28" s="518">
        <f>$C$13/$C$8</f>
        <v/>
      </c>
      <c r="O28" s="518">
        <f>$C$14/$C$8</f>
        <v/>
      </c>
      <c r="P28" s="515">
        <f>Q28+U28</f>
        <v/>
      </c>
      <c r="Q28" s="646">
        <f>$C$41/1.1/$C$8</f>
        <v/>
      </c>
      <c r="R28" s="516">
        <f>Q28-S28-T28</f>
        <v/>
      </c>
      <c r="S28" s="500">
        <f>$C$12/$C$8-$AL$5-$AL$10</f>
        <v/>
      </c>
      <c r="T28" s="519">
        <f>$C$13/$C$8-$AL$6-$AL$11</f>
        <v/>
      </c>
      <c r="U28" s="500">
        <f>O28</f>
        <v/>
      </c>
      <c r="V28" s="515" t="n"/>
      <c r="W28" s="573" t="n"/>
      <c r="X28" s="573" t="n"/>
      <c r="Y28" s="516" t="n"/>
      <c r="Z28" s="500" t="n"/>
      <c r="AA28" s="519" t="n"/>
      <c r="AB28" s="196" t="n"/>
      <c r="AC28" s="196" t="n"/>
      <c r="AD28" s="92" t="n"/>
      <c r="AH28" s="94" t="n"/>
    </row>
    <row r="29">
      <c r="B29" s="170" t="inlineStr">
        <is>
          <t>(계산용) 선납 할인금 (V-) (총구독료 v+기준)</t>
        </is>
      </c>
      <c r="C29" s="650">
        <f>C18*4%/1.1</f>
        <v/>
      </c>
      <c r="D29" s="500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K29+O29</f>
        <v/>
      </c>
      <c r="K29" s="646">
        <f>$C$20/1.1/$C$8</f>
        <v/>
      </c>
      <c r="L29" s="516">
        <f>K29-M29-N29</f>
        <v/>
      </c>
      <c r="M29" s="517">
        <f>$C$12/$C$8</f>
        <v/>
      </c>
      <c r="N29" s="518">
        <f>$C$13/$C$8</f>
        <v/>
      </c>
      <c r="O29" s="518">
        <f>$C$14/$C$8</f>
        <v/>
      </c>
      <c r="P29" s="515">
        <f>Q29+U29</f>
        <v/>
      </c>
      <c r="Q29" s="646">
        <f>$C$41/1.1/$C$8</f>
        <v/>
      </c>
      <c r="R29" s="516">
        <f>Q29-S29-T29</f>
        <v/>
      </c>
      <c r="S29" s="500">
        <f>$C$12/$C$8-$AL$5-$AL$10</f>
        <v/>
      </c>
      <c r="T29" s="519">
        <f>$C$13/$C$8-$AL$6-$AL$11</f>
        <v/>
      </c>
      <c r="U29" s="500">
        <f>O29</f>
        <v/>
      </c>
      <c r="V29" s="515" t="n"/>
      <c r="W29" s="573" t="n"/>
      <c r="X29" s="573" t="n"/>
      <c r="Y29" s="516" t="n"/>
      <c r="Z29" s="500" t="n"/>
      <c r="AA29" s="519" t="n"/>
      <c r="AB29" s="196" t="n"/>
      <c r="AC29" s="196" t="n"/>
      <c r="AD29" s="92" t="n"/>
      <c r="AH29" s="94" t="n"/>
    </row>
    <row r="30">
      <c r="B30" s="9" t="inlineStr">
        <is>
          <t>(계산용) 선납 할인금 월할 (V-)</t>
        </is>
      </c>
      <c r="C30" s="506">
        <f>C29/C8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K30+O30</f>
        <v/>
      </c>
      <c r="K30" s="646">
        <f>$C$20/1.1/$C$8</f>
        <v/>
      </c>
      <c r="L30" s="516">
        <f>K30-M30-N30</f>
        <v/>
      </c>
      <c r="M30" s="517">
        <f>$C$12/$C$8</f>
        <v/>
      </c>
      <c r="N30" s="518">
        <f>$C$13/$C$8</f>
        <v/>
      </c>
      <c r="O30" s="518">
        <f>$C$14/$C$8</f>
        <v/>
      </c>
      <c r="P30" s="515">
        <f>Q30+U30</f>
        <v/>
      </c>
      <c r="Q30" s="646">
        <f>$C$41/1.1/$C$8</f>
        <v/>
      </c>
      <c r="R30" s="516">
        <f>Q30-S30-T30</f>
        <v/>
      </c>
      <c r="S30" s="500">
        <f>$C$12/$C$8-$AL$5-$AL$10</f>
        <v/>
      </c>
      <c r="T30" s="519">
        <f>$C$13/$C$8-$AL$6-$AL$11</f>
        <v/>
      </c>
      <c r="U30" s="500">
        <f>O30</f>
        <v/>
      </c>
      <c r="V30" s="515" t="n"/>
      <c r="W30" s="573" t="n"/>
      <c r="X30" s="573" t="n"/>
      <c r="Y30" s="516" t="n"/>
      <c r="Z30" s="500" t="n"/>
      <c r="AA30" s="519" t="n"/>
      <c r="AB30" s="196" t="n"/>
      <c r="AC30" s="196" t="n"/>
      <c r="AD30" s="92" t="n"/>
      <c r="AH30" s="94" t="n"/>
    </row>
    <row r="31">
      <c r="B31" s="9" t="inlineStr">
        <is>
          <t>(계산용) 선납 할인금 월할 보정 (V-)</t>
        </is>
      </c>
      <c r="C31" s="506">
        <f>ROUNDUP(C30,-2)</f>
        <v/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K31+O31</f>
        <v/>
      </c>
      <c r="K31" s="646">
        <f>$C$20/1.1/$C$8</f>
        <v/>
      </c>
      <c r="L31" s="516">
        <f>K31-M31-N31</f>
        <v/>
      </c>
      <c r="M31" s="517">
        <f>$C$12/$C$8</f>
        <v/>
      </c>
      <c r="N31" s="518">
        <f>$C$13/$C$8</f>
        <v/>
      </c>
      <c r="O31" s="518">
        <f>$C$14/$C$8</f>
        <v/>
      </c>
      <c r="P31" s="515">
        <f>Q31+U31</f>
        <v/>
      </c>
      <c r="Q31" s="646">
        <f>$C$41/1.1/$C$8</f>
        <v/>
      </c>
      <c r="R31" s="516">
        <f>Q31-S31-T31</f>
        <v/>
      </c>
      <c r="S31" s="500">
        <f>$C$12/$C$8-$AL$5-$AL$10</f>
        <v/>
      </c>
      <c r="T31" s="519">
        <f>$C$13/$C$8-$AL$6-$AL$11</f>
        <v/>
      </c>
      <c r="U31" s="500">
        <f>O31</f>
        <v/>
      </c>
      <c r="V31" s="515" t="n"/>
      <c r="W31" s="573" t="n"/>
      <c r="X31" s="573" t="n"/>
      <c r="Y31" s="516" t="n"/>
      <c r="Z31" s="500" t="n"/>
      <c r="AA31" s="519" t="n"/>
      <c r="AB31" s="196" t="n"/>
      <c r="AC31" s="196" t="n"/>
      <c r="AD31" s="92" t="n"/>
      <c r="AH31" s="94" t="n"/>
    </row>
    <row r="32">
      <c r="B32" s="63" t="inlineStr">
        <is>
          <t>(최종) 선납 할인금 (V-)</t>
        </is>
      </c>
      <c r="C32" s="649">
        <f>C31*C8</f>
        <v/>
      </c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K32+O32</f>
        <v/>
      </c>
      <c r="K32" s="646">
        <f>$C$20/1.1/$C$8</f>
        <v/>
      </c>
      <c r="L32" s="516">
        <f>K32-M32-N32</f>
        <v/>
      </c>
      <c r="M32" s="517">
        <f>$C$12/$C$8</f>
        <v/>
      </c>
      <c r="N32" s="518">
        <f>$C$13/$C$8</f>
        <v/>
      </c>
      <c r="O32" s="518">
        <f>$C$14/$C$8</f>
        <v/>
      </c>
      <c r="P32" s="515">
        <f>Q32+U32</f>
        <v/>
      </c>
      <c r="Q32" s="646">
        <f>$C$41/1.1/$C$8</f>
        <v/>
      </c>
      <c r="R32" s="516">
        <f>Q32-S32-T32</f>
        <v/>
      </c>
      <c r="S32" s="500">
        <f>$C$12/$C$8-$AL$5-$AL$10</f>
        <v/>
      </c>
      <c r="T32" s="519">
        <f>$C$13/$C$8-$AL$6-$AL$11</f>
        <v/>
      </c>
      <c r="U32" s="500">
        <f>O32</f>
        <v/>
      </c>
      <c r="V32" s="515" t="n"/>
      <c r="W32" s="573" t="n"/>
      <c r="X32" s="573" t="n"/>
      <c r="Y32" s="516" t="n"/>
      <c r="Z32" s="500" t="n"/>
      <c r="AA32" s="519" t="n"/>
      <c r="AB32" s="196" t="n"/>
      <c r="AC32" s="196" t="n"/>
      <c r="AD32" s="92" t="n"/>
      <c r="AH32" s="94" t="n"/>
    </row>
    <row r="33">
      <c r="B33" s="9" t="inlineStr">
        <is>
          <t>(최종) 선납 할인금 (V+)</t>
        </is>
      </c>
      <c r="C33" s="506">
        <f>C32*1.1</f>
        <v/>
      </c>
      <c r="D33" s="505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K33+O33</f>
        <v/>
      </c>
      <c r="K33" s="646">
        <f>$C$20/1.1/$C$8</f>
        <v/>
      </c>
      <c r="L33" s="516">
        <f>K33-M33-N33</f>
        <v/>
      </c>
      <c r="M33" s="517">
        <f>$C$12/$C$8</f>
        <v/>
      </c>
      <c r="N33" s="518">
        <f>$C$13/$C$8</f>
        <v/>
      </c>
      <c r="O33" s="518">
        <f>$C$14/$C$8</f>
        <v/>
      </c>
      <c r="P33" s="515">
        <f>Q33+U33</f>
        <v/>
      </c>
      <c r="Q33" s="646">
        <f>$C$41/1.1/$C$8</f>
        <v/>
      </c>
      <c r="R33" s="516">
        <f>Q33-S33-T33</f>
        <v/>
      </c>
      <c r="S33" s="500">
        <f>$C$12/$C$8-$AL$5-$AL$10</f>
        <v/>
      </c>
      <c r="T33" s="519">
        <f>$C$13/$C$8-$AL$6-$AL$11</f>
        <v/>
      </c>
      <c r="U33" s="500">
        <f>O33</f>
        <v/>
      </c>
      <c r="V33" s="515" t="n"/>
      <c r="W33" s="573" t="n"/>
      <c r="X33" s="573" t="n"/>
      <c r="Y33" s="516" t="n"/>
      <c r="Z33" s="500" t="n"/>
      <c r="AA33" s="519" t="n"/>
      <c r="AB33" s="196" t="n"/>
      <c r="AC33" s="196" t="n"/>
      <c r="AD33" s="92" t="n"/>
      <c r="AH33" s="94" t="n"/>
    </row>
    <row r="34">
      <c r="B34" s="182" t="inlineStr">
        <is>
          <t>(최종) 선납금+선납 할인 반영 월 구독료 (V-)</t>
        </is>
      </c>
      <c r="C34" s="651">
        <f>((C15-C28-C32)+C13+C14)/C8</f>
        <v/>
      </c>
      <c r="D34" s="539" t="n"/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K34+O34</f>
        <v/>
      </c>
      <c r="K34" s="646">
        <f>$C$20/1.1/$C$8</f>
        <v/>
      </c>
      <c r="L34" s="516">
        <f>K34-M34-N34</f>
        <v/>
      </c>
      <c r="M34" s="517">
        <f>$C$12/$C$8</f>
        <v/>
      </c>
      <c r="N34" s="518">
        <f>$C$13/$C$8</f>
        <v/>
      </c>
      <c r="O34" s="518">
        <f>$C$14/$C$8</f>
        <v/>
      </c>
      <c r="P34" s="515">
        <f>Q34+U34</f>
        <v/>
      </c>
      <c r="Q34" s="646">
        <f>$C$41/1.1/$C$8</f>
        <v/>
      </c>
      <c r="R34" s="516">
        <f>Q34-S34-T34</f>
        <v/>
      </c>
      <c r="S34" s="500">
        <f>$C$12/$C$8-$AL$5-$AL$10</f>
        <v/>
      </c>
      <c r="T34" s="519">
        <f>$C$13/$C$8-$AL$6-$AL$11</f>
        <v/>
      </c>
      <c r="U34" s="500">
        <f>O34</f>
        <v/>
      </c>
      <c r="V34" s="515" t="n"/>
      <c r="W34" s="573" t="n"/>
      <c r="X34" s="573" t="n"/>
      <c r="Y34" s="516" t="n"/>
      <c r="Z34" s="500" t="n"/>
      <c r="AA34" s="519" t="n"/>
      <c r="AB34" s="196" t="n"/>
      <c r="AC34" s="196" t="n"/>
      <c r="AD34" s="92" t="n"/>
      <c r="AH34" s="94" t="n"/>
    </row>
    <row r="35">
      <c r="B35" s="182" t="inlineStr">
        <is>
          <t>(최종) 선납금+선납 할인 반영 총 구독료 (V-)</t>
        </is>
      </c>
      <c r="C35" s="651">
        <f>C34*C8</f>
        <v/>
      </c>
      <c r="D35" s="539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K35+O35</f>
        <v/>
      </c>
      <c r="K35" s="646">
        <f>$C$20/1.1/$C$8</f>
        <v/>
      </c>
      <c r="L35" s="516">
        <f>K35-M35-N35</f>
        <v/>
      </c>
      <c r="M35" s="517">
        <f>$C$12/$C$8</f>
        <v/>
      </c>
      <c r="N35" s="518">
        <f>$C$13/$C$8</f>
        <v/>
      </c>
      <c r="O35" s="518">
        <f>$C$14/$C$8</f>
        <v/>
      </c>
      <c r="P35" s="515">
        <f>Q35+U35</f>
        <v/>
      </c>
      <c r="Q35" s="646">
        <f>$C$41/1.1/$C$8</f>
        <v/>
      </c>
      <c r="R35" s="516">
        <f>Q35-S35-T35</f>
        <v/>
      </c>
      <c r="S35" s="500">
        <f>$C$12/$C$8-$AL$5-$AL$10</f>
        <v/>
      </c>
      <c r="T35" s="519">
        <f>$C$13/$C$8-$AL$6-$AL$11</f>
        <v/>
      </c>
      <c r="U35" s="500">
        <f>O35</f>
        <v/>
      </c>
      <c r="V35" s="515" t="n"/>
      <c r="W35" s="573" t="n"/>
      <c r="X35" s="573" t="n"/>
      <c r="Y35" s="516" t="n"/>
      <c r="Z35" s="500" t="n"/>
      <c r="AA35" s="519" t="n"/>
      <c r="AB35" s="196" t="n"/>
      <c r="AC35" s="196" t="n"/>
      <c r="AD35" s="92" t="n"/>
      <c r="AH35" s="94" t="n"/>
    </row>
    <row r="36">
      <c r="B36" s="182" t="inlineStr">
        <is>
          <t>(최종) 선납금+선납 할인 반영 월 구독료 (V+)</t>
        </is>
      </c>
      <c r="C36" s="651">
        <f>((C15-C28-C32)*1.1+C13*1.1+C14)/C8</f>
        <v/>
      </c>
      <c r="D36" s="517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K36+O36</f>
        <v/>
      </c>
      <c r="K36" s="646">
        <f>$C$20/1.1/$C$8</f>
        <v/>
      </c>
      <c r="L36" s="516">
        <f>K36-M36-N36</f>
        <v/>
      </c>
      <c r="M36" s="517">
        <f>$C$12/$C$8</f>
        <v/>
      </c>
      <c r="N36" s="518">
        <f>$C$13/$C$8</f>
        <v/>
      </c>
      <c r="O36" s="518">
        <f>$C$14/$C$8</f>
        <v/>
      </c>
      <c r="P36" s="515">
        <f>Q36+U36</f>
        <v/>
      </c>
      <c r="Q36" s="646">
        <f>$C$41/1.1/$C$8</f>
        <v/>
      </c>
      <c r="R36" s="516">
        <f>Q36-S36-T36</f>
        <v/>
      </c>
      <c r="S36" s="500">
        <f>$C$12/$C$8-$AL$5-$AL$10</f>
        <v/>
      </c>
      <c r="T36" s="519">
        <f>$C$13/$C$8-$AL$6-$AL$11</f>
        <v/>
      </c>
      <c r="U36" s="500">
        <f>O36</f>
        <v/>
      </c>
      <c r="V36" s="515" t="n"/>
      <c r="W36" s="573" t="n"/>
      <c r="X36" s="573" t="n"/>
      <c r="Y36" s="516" t="n"/>
      <c r="Z36" s="500" t="n"/>
      <c r="AA36" s="519" t="n"/>
      <c r="AB36" s="196" t="n"/>
      <c r="AC36" s="196" t="n"/>
      <c r="AD36" s="92" t="n"/>
      <c r="AH36" s="94" t="n"/>
    </row>
    <row r="37">
      <c r="B37" s="182" t="inlineStr">
        <is>
          <t>(최종) 선납금+선납 할인 반영 총 구독료 (V+)</t>
        </is>
      </c>
      <c r="C37" s="651">
        <f>C36*C8</f>
        <v/>
      </c>
      <c r="D37" s="505">
        <f>(C15-C28-C32+C13)*1.1+C14</f>
        <v/>
      </c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K37+O37</f>
        <v/>
      </c>
      <c r="K37" s="646">
        <f>$C$20/1.1/$C$8</f>
        <v/>
      </c>
      <c r="L37" s="516">
        <f>K37-M37-N37</f>
        <v/>
      </c>
      <c r="M37" s="517">
        <f>$C$12/$C$8</f>
        <v/>
      </c>
      <c r="N37" s="518">
        <f>$C$13/$C$8</f>
        <v/>
      </c>
      <c r="O37" s="518">
        <f>$C$14/$C$8</f>
        <v/>
      </c>
      <c r="P37" s="515">
        <f>Q37+U37</f>
        <v/>
      </c>
      <c r="Q37" s="646">
        <f>$C$41/1.1/$C$8</f>
        <v/>
      </c>
      <c r="R37" s="516">
        <f>Q37-S37-T37</f>
        <v/>
      </c>
      <c r="S37" s="500">
        <f>$C$12/$C$8-$AL$5-$AL$10</f>
        <v/>
      </c>
      <c r="T37" s="519">
        <f>$C$13/$C$8-$AL$6-$AL$11</f>
        <v/>
      </c>
      <c r="U37" s="500">
        <f>O37</f>
        <v/>
      </c>
      <c r="V37" s="515" t="n"/>
      <c r="W37" s="573" t="n"/>
      <c r="X37" s="573" t="n"/>
      <c r="Y37" s="516" t="n"/>
      <c r="Z37" s="500" t="n"/>
      <c r="AA37" s="519" t="n"/>
      <c r="AB37" s="196" t="n"/>
      <c r="AC37" s="196" t="n"/>
      <c r="AD37" s="92" t="n"/>
      <c r="AH37" s="94" t="n"/>
    </row>
    <row r="38">
      <c r="C38" s="505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K38+O38</f>
        <v/>
      </c>
      <c r="K38" s="646">
        <f>$C$20/1.1/$C$8</f>
        <v/>
      </c>
      <c r="L38" s="516">
        <f>K38-M38-N38</f>
        <v/>
      </c>
      <c r="M38" s="517">
        <f>$C$12/$C$8</f>
        <v/>
      </c>
      <c r="N38" s="518">
        <f>$C$13/$C$8</f>
        <v/>
      </c>
      <c r="O38" s="518">
        <f>$C$14/$C$8</f>
        <v/>
      </c>
      <c r="P38" s="515">
        <f>Q38+U38</f>
        <v/>
      </c>
      <c r="Q38" s="646">
        <f>$C$41/1.1/$C$8</f>
        <v/>
      </c>
      <c r="R38" s="516">
        <f>Q38-S38-T38</f>
        <v/>
      </c>
      <c r="S38" s="500">
        <f>$C$12/$C$8-$AL$5-$AL$10</f>
        <v/>
      </c>
      <c r="T38" s="519">
        <f>$C$13/$C$8-$AL$6-$AL$11</f>
        <v/>
      </c>
      <c r="U38" s="500">
        <f>O38</f>
        <v/>
      </c>
      <c r="V38" s="515" t="n"/>
      <c r="W38" s="573" t="n"/>
      <c r="X38" s="573" t="n"/>
      <c r="Y38" s="516" t="n"/>
      <c r="Z38" s="500" t="n"/>
      <c r="AA38" s="519" t="n"/>
      <c r="AB38" s="196" t="n"/>
      <c r="AC38" s="196" t="n"/>
      <c r="AD38" s="92" t="n"/>
      <c r="AH38" s="94" t="n"/>
    </row>
    <row r="39">
      <c r="B39" s="9" t="inlineStr">
        <is>
          <t>선납금+선납 할인 반영 순수 구독료 (V-)</t>
        </is>
      </c>
      <c r="C39" s="506">
        <f>C35-C12-C13-C14+SUM(AL5:AL6,AL10:AL11)*C8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K39+O39</f>
        <v/>
      </c>
      <c r="K39" s="646">
        <f>$C$20/1.1/$C$8</f>
        <v/>
      </c>
      <c r="L39" s="516">
        <f>K39-M39-N39</f>
        <v/>
      </c>
      <c r="M39" s="517">
        <f>$C$12/$C$8</f>
        <v/>
      </c>
      <c r="N39" s="518">
        <f>$C$13/$C$8</f>
        <v/>
      </c>
      <c r="O39" s="518">
        <f>$C$14/$C$8</f>
        <v/>
      </c>
      <c r="P39" s="515">
        <f>Q39+U39</f>
        <v/>
      </c>
      <c r="Q39" s="646">
        <f>$C$41/1.1/$C$8</f>
        <v/>
      </c>
      <c r="R39" s="516">
        <f>Q39-S39-T39</f>
        <v/>
      </c>
      <c r="S39" s="500">
        <f>$C$12/$C$8-$AL$5-$AL$10</f>
        <v/>
      </c>
      <c r="T39" s="519">
        <f>$C$13/$C$8-$AL$6-$AL$11</f>
        <v/>
      </c>
      <c r="U39" s="500">
        <f>O39</f>
        <v/>
      </c>
      <c r="V39" s="515" t="n"/>
      <c r="W39" s="573" t="n"/>
      <c r="X39" s="573" t="n"/>
      <c r="Y39" s="516" t="n"/>
      <c r="Z39" s="500" t="n"/>
      <c r="AA39" s="519" t="n"/>
      <c r="AB39" s="196" t="n"/>
      <c r="AC39" s="196" t="n"/>
      <c r="AD39" s="92" t="n"/>
      <c r="AH39" s="94" t="n"/>
    </row>
    <row r="40">
      <c r="B40" s="9" t="inlineStr">
        <is>
          <t>선납금+선납 할인 반영 순수 구독료 월할 (V-)</t>
        </is>
      </c>
      <c r="C40" s="506">
        <f>C39/C8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K40+O40</f>
        <v/>
      </c>
      <c r="K40" s="646">
        <f>$C$20/1.1/$C$8</f>
        <v/>
      </c>
      <c r="L40" s="516">
        <f>K40-M40-N40</f>
        <v/>
      </c>
      <c r="M40" s="517">
        <f>$C$12/$C$8</f>
        <v/>
      </c>
      <c r="N40" s="518">
        <f>$C$13/$C$8</f>
        <v/>
      </c>
      <c r="O40" s="518">
        <f>$C$14/$C$8</f>
        <v/>
      </c>
      <c r="P40" s="515">
        <f>Q40+U40</f>
        <v/>
      </c>
      <c r="Q40" s="646">
        <f>$C$41/1.1/$C$8</f>
        <v/>
      </c>
      <c r="R40" s="516">
        <f>Q40-S40-T40</f>
        <v/>
      </c>
      <c r="S40" s="500">
        <f>$C$12/$C$8-$AL$5-$AL$10</f>
        <v/>
      </c>
      <c r="T40" s="519">
        <f>$C$13/$C$8-$AL$6-$AL$11</f>
        <v/>
      </c>
      <c r="U40" s="500">
        <f>O40</f>
        <v/>
      </c>
      <c r="V40" s="515" t="n"/>
      <c r="W40" s="573" t="n"/>
      <c r="X40" s="573" t="n"/>
      <c r="Y40" s="516" t="n"/>
      <c r="Z40" s="500" t="n"/>
      <c r="AA40" s="519" t="n"/>
      <c r="AB40" s="196" t="n"/>
      <c r="AC40" s="196" t="n"/>
      <c r="AD40" s="92" t="n"/>
      <c r="AH40" s="94" t="n"/>
    </row>
    <row r="41">
      <c r="B41" s="250" t="inlineStr">
        <is>
          <t>선납금+선납 할인 반영 파손제외 구독료 (v+)</t>
        </is>
      </c>
      <c r="C41" s="527">
        <f>C37-C14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K41+O41</f>
        <v/>
      </c>
      <c r="K41" s="646">
        <f>$C$20/1.1/$C$8</f>
        <v/>
      </c>
      <c r="L41" s="516">
        <f>K41-M41-N41</f>
        <v/>
      </c>
      <c r="M41" s="517">
        <f>$C$12/$C$8</f>
        <v/>
      </c>
      <c r="N41" s="518">
        <f>$C$13/$C$8</f>
        <v/>
      </c>
      <c r="O41" s="518">
        <f>$C$14/$C$8</f>
        <v/>
      </c>
      <c r="P41" s="515">
        <f>Q41+U41</f>
        <v/>
      </c>
      <c r="Q41" s="646">
        <f>$C$41/1.1/$C$8</f>
        <v/>
      </c>
      <c r="R41" s="516">
        <f>Q41-S41-T41</f>
        <v/>
      </c>
      <c r="S41" s="500">
        <f>$C$12/$C$8-$AL$5-$AL$10</f>
        <v/>
      </c>
      <c r="T41" s="519">
        <f>$C$13/$C$8-$AL$6-$AL$11</f>
        <v/>
      </c>
      <c r="U41" s="500">
        <f>O41</f>
        <v/>
      </c>
      <c r="V41" s="515" t="n"/>
      <c r="W41" s="573" t="n"/>
      <c r="X41" s="573" t="n"/>
      <c r="Y41" s="516" t="n"/>
      <c r="Z41" s="500" t="n"/>
      <c r="AA41" s="519" t="n"/>
      <c r="AB41" s="196" t="n"/>
      <c r="AC41" s="196" t="n"/>
      <c r="AD41" s="92" t="n"/>
      <c r="AH41" s="94" t="n"/>
    </row>
    <row r="42"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K42+O42</f>
        <v/>
      </c>
      <c r="K42" s="646">
        <f>$C$20/1.1/$C$8</f>
        <v/>
      </c>
      <c r="L42" s="516">
        <f>K42-M42-N42</f>
        <v/>
      </c>
      <c r="M42" s="517">
        <f>$C$12/$C$8</f>
        <v/>
      </c>
      <c r="N42" s="518">
        <f>$C$13/$C$8</f>
        <v/>
      </c>
      <c r="O42" s="518">
        <f>$C$14/$C$8</f>
        <v/>
      </c>
      <c r="P42" s="515">
        <f>Q42+U42</f>
        <v/>
      </c>
      <c r="Q42" s="646">
        <f>$C$41/1.1/$C$8</f>
        <v/>
      </c>
      <c r="R42" s="516">
        <f>Q42-S42-T42</f>
        <v/>
      </c>
      <c r="S42" s="500">
        <f>$C$12/$C$8-$AL$5-$AL$10</f>
        <v/>
      </c>
      <c r="T42" s="519">
        <f>$C$13/$C$8-$AL$6-$AL$11</f>
        <v/>
      </c>
      <c r="U42" s="500">
        <f>O42</f>
        <v/>
      </c>
      <c r="V42" s="515" t="n"/>
      <c r="W42" s="573" t="n"/>
      <c r="X42" s="573" t="n"/>
      <c r="Y42" s="516" t="n"/>
      <c r="Z42" s="500" t="n"/>
      <c r="AA42" s="519" t="n"/>
      <c r="AB42" s="196" t="n"/>
      <c r="AC42" s="196" t="n"/>
      <c r="AD42" s="92" t="n"/>
      <c r="AH42" s="94" t="n"/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K43+O43</f>
        <v/>
      </c>
      <c r="K43" s="646">
        <f>$C$20/1.1/$C$8</f>
        <v/>
      </c>
      <c r="L43" s="516">
        <f>K43-M43-N43</f>
        <v/>
      </c>
      <c r="M43" s="517">
        <f>$C$12/$C$8</f>
        <v/>
      </c>
      <c r="N43" s="518">
        <f>$C$13/$C$8</f>
        <v/>
      </c>
      <c r="O43" s="518">
        <f>$C$14/$C$8</f>
        <v/>
      </c>
      <c r="P43" s="515">
        <f>Q43+U43</f>
        <v/>
      </c>
      <c r="Q43" s="646">
        <f>$C$41/1.1/$C$8</f>
        <v/>
      </c>
      <c r="R43" s="516">
        <f>Q43-S43-T43</f>
        <v/>
      </c>
      <c r="S43" s="500">
        <f>$C$12/$C$8-$AL$5-$AL$10</f>
        <v/>
      </c>
      <c r="T43" s="519">
        <f>$C$13/$C$8-$AL$6-$AL$11</f>
        <v/>
      </c>
      <c r="U43" s="500">
        <f>O43</f>
        <v/>
      </c>
      <c r="V43" s="515" t="n"/>
      <c r="W43" s="573" t="n"/>
      <c r="X43" s="573" t="n"/>
      <c r="Y43" s="516" t="n"/>
      <c r="Z43" s="500" t="n"/>
      <c r="AA43" s="519" t="n"/>
      <c r="AB43" s="196" t="n"/>
      <c r="AC43" s="196" t="n"/>
      <c r="AD43" s="92" t="n"/>
      <c r="AH43" s="94" t="n"/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K44+O44</f>
        <v/>
      </c>
      <c r="K44" s="646">
        <f>$C$20/1.1/$C$8</f>
        <v/>
      </c>
      <c r="L44" s="516">
        <f>K44-M44-N44</f>
        <v/>
      </c>
      <c r="M44" s="517">
        <f>$C$12/$C$8</f>
        <v/>
      </c>
      <c r="N44" s="518">
        <f>$C$13/$C$8</f>
        <v/>
      </c>
      <c r="O44" s="518">
        <f>$C$14/$C$8</f>
        <v/>
      </c>
      <c r="P44" s="515">
        <f>Q44+U44</f>
        <v/>
      </c>
      <c r="Q44" s="646">
        <f>$C$41/1.1/$C$8</f>
        <v/>
      </c>
      <c r="R44" s="516">
        <f>Q44-S44-T44</f>
        <v/>
      </c>
      <c r="S44" s="500">
        <f>$C$12/$C$8-$AL$5-$AL$10</f>
        <v/>
      </c>
      <c r="T44" s="519">
        <f>$C$13/$C$8-$AL$6-$AL$11</f>
        <v/>
      </c>
      <c r="U44" s="500">
        <f>O44</f>
        <v/>
      </c>
      <c r="V44" s="515" t="n"/>
      <c r="W44" s="573" t="n"/>
      <c r="X44" s="573" t="n"/>
      <c r="Y44" s="516" t="n"/>
      <c r="Z44" s="500" t="n"/>
      <c r="AA44" s="519" t="n"/>
      <c r="AB44" s="196" t="n"/>
      <c r="AC44" s="196" t="n"/>
      <c r="AD44" s="92" t="n"/>
      <c r="AH44" s="94" t="n"/>
    </row>
    <row r="45"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K45+O45</f>
        <v/>
      </c>
      <c r="K45" s="646">
        <f>$C$20/1.1/$C$8</f>
        <v/>
      </c>
      <c r="L45" s="516">
        <f>K45-M45-N45</f>
        <v/>
      </c>
      <c r="M45" s="517">
        <f>$C$12/$C$8</f>
        <v/>
      </c>
      <c r="N45" s="518">
        <f>$C$13/$C$8</f>
        <v/>
      </c>
      <c r="O45" s="518">
        <f>$C$14/$C$8</f>
        <v/>
      </c>
      <c r="P45" s="515">
        <f>Q45+U45</f>
        <v/>
      </c>
      <c r="Q45" s="646">
        <f>$C$41/1.1/$C$8</f>
        <v/>
      </c>
      <c r="R45" s="516">
        <f>Q45-S45-T45</f>
        <v/>
      </c>
      <c r="S45" s="500">
        <f>$C$12/$C$8-$AL$5-$AL$10</f>
        <v/>
      </c>
      <c r="T45" s="519">
        <f>$C$13/$C$8-$AL$6-$AL$11</f>
        <v/>
      </c>
      <c r="U45" s="500">
        <f>O45</f>
        <v/>
      </c>
      <c r="V45" s="515" t="n"/>
      <c r="W45" s="573" t="n"/>
      <c r="X45" s="573" t="n"/>
      <c r="Y45" s="516" t="n"/>
      <c r="Z45" s="500" t="n"/>
      <c r="AA45" s="519" t="n"/>
      <c r="AB45" s="196" t="n"/>
      <c r="AC45" s="196" t="n"/>
      <c r="AD45" s="92" t="n"/>
      <c r="AH45" s="94" t="n"/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K46+O46</f>
        <v/>
      </c>
      <c r="K46" s="646">
        <f>$C$20/1.1/$C$8</f>
        <v/>
      </c>
      <c r="L46" s="516">
        <f>K46-M46-N46</f>
        <v/>
      </c>
      <c r="M46" s="517">
        <f>$C$12/$C$8</f>
        <v/>
      </c>
      <c r="N46" s="518">
        <f>$C$13/$C$8</f>
        <v/>
      </c>
      <c r="O46" s="518">
        <f>$C$14/$C$8</f>
        <v/>
      </c>
      <c r="P46" s="515">
        <f>Q46+U46</f>
        <v/>
      </c>
      <c r="Q46" s="646">
        <f>$C$41/1.1/$C$8</f>
        <v/>
      </c>
      <c r="R46" s="516">
        <f>Q46-S46-T46</f>
        <v/>
      </c>
      <c r="S46" s="500">
        <f>$C$12/$C$8-$AL$5-$AL$10</f>
        <v/>
      </c>
      <c r="T46" s="519">
        <f>$C$13/$C$8-$AL$6-$AL$11</f>
        <v/>
      </c>
      <c r="U46" s="500">
        <f>O46</f>
        <v/>
      </c>
      <c r="V46" s="515" t="n"/>
      <c r="W46" s="573" t="n"/>
      <c r="X46" s="573" t="n"/>
      <c r="Y46" s="516" t="n"/>
      <c r="Z46" s="500" t="n"/>
      <c r="AA46" s="519" t="n"/>
      <c r="AB46" s="196" t="n"/>
      <c r="AC46" s="196" t="n"/>
      <c r="AD46" s="92" t="n"/>
      <c r="AH46" s="94" t="n"/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K47+O47</f>
        <v/>
      </c>
      <c r="K47" s="646">
        <f>$C$20/1.1/$C$8</f>
        <v/>
      </c>
      <c r="L47" s="516">
        <f>K47-M47-N47</f>
        <v/>
      </c>
      <c r="M47" s="517">
        <f>$C$12/$C$8</f>
        <v/>
      </c>
      <c r="N47" s="518">
        <f>$C$13/$C$8</f>
        <v/>
      </c>
      <c r="O47" s="518">
        <f>$C$14/$C$8</f>
        <v/>
      </c>
      <c r="P47" s="515">
        <f>Q47+U47</f>
        <v/>
      </c>
      <c r="Q47" s="646">
        <f>$C$41/1.1/$C$8</f>
        <v/>
      </c>
      <c r="R47" s="516">
        <f>Q47-S47-T47</f>
        <v/>
      </c>
      <c r="S47" s="500">
        <f>$C$12/$C$8-$AL$5-$AL$10</f>
        <v/>
      </c>
      <c r="T47" s="519">
        <f>$C$13/$C$8-$AL$6-$AL$11</f>
        <v/>
      </c>
      <c r="U47" s="500">
        <f>O47</f>
        <v/>
      </c>
      <c r="V47" s="515" t="n"/>
      <c r="W47" s="573" t="n"/>
      <c r="X47" s="573" t="n"/>
      <c r="Y47" s="516" t="n"/>
      <c r="Z47" s="500" t="n"/>
      <c r="AA47" s="519" t="n"/>
      <c r="AB47" s="196" t="n"/>
      <c r="AC47" s="196" t="n"/>
      <c r="AD47" s="92" t="n"/>
      <c r="AH47" s="94" t="n"/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K48+O48</f>
        <v/>
      </c>
      <c r="K48" s="646">
        <f>$C$20/1.1/$C$8</f>
        <v/>
      </c>
      <c r="L48" s="516">
        <f>K48-M48-N48</f>
        <v/>
      </c>
      <c r="M48" s="517">
        <f>$C$12/$C$8</f>
        <v/>
      </c>
      <c r="N48" s="518">
        <f>$C$13/$C$8</f>
        <v/>
      </c>
      <c r="O48" s="518">
        <f>$C$14/$C$8</f>
        <v/>
      </c>
      <c r="P48" s="515">
        <f>Q48+U48</f>
        <v/>
      </c>
      <c r="Q48" s="646">
        <f>$C$41/1.1/$C$8</f>
        <v/>
      </c>
      <c r="R48" s="516">
        <f>Q48-S48-T48</f>
        <v/>
      </c>
      <c r="S48" s="500">
        <f>$C$12/$C$8-$AL$5-$AL$10</f>
        <v/>
      </c>
      <c r="T48" s="519">
        <f>$C$13/$C$8-$AL$6-$AL$11</f>
        <v/>
      </c>
      <c r="U48" s="500">
        <f>O48</f>
        <v/>
      </c>
      <c r="V48" s="515" t="n"/>
      <c r="W48" s="573" t="n"/>
      <c r="X48" s="573" t="n"/>
      <c r="Y48" s="516" t="n"/>
      <c r="Z48" s="500" t="n"/>
      <c r="AA48" s="519" t="n"/>
      <c r="AB48" s="196" t="n"/>
      <c r="AC48" s="196" t="n"/>
      <c r="AD48" s="92" t="n"/>
      <c r="AH48" s="94" t="n"/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K49+O49</f>
        <v/>
      </c>
      <c r="K49" s="646">
        <f>$C$20/1.1/$C$8</f>
        <v/>
      </c>
      <c r="L49" s="516">
        <f>K49-M49-N49</f>
        <v/>
      </c>
      <c r="M49" s="517">
        <f>$C$12/$C$8</f>
        <v/>
      </c>
      <c r="N49" s="518">
        <f>$C$13/$C$8</f>
        <v/>
      </c>
      <c r="O49" s="518">
        <f>$C$14/$C$8</f>
        <v/>
      </c>
      <c r="P49" s="515">
        <f>Q49+U49</f>
        <v/>
      </c>
      <c r="Q49" s="646">
        <f>$C$41/1.1/$C$8</f>
        <v/>
      </c>
      <c r="R49" s="516">
        <f>Q49-S49-T49</f>
        <v/>
      </c>
      <c r="S49" s="500">
        <f>$C$12/$C$8-$AL$5-$AL$10</f>
        <v/>
      </c>
      <c r="T49" s="519">
        <f>$C$13/$C$8-$AL$6-$AL$11</f>
        <v/>
      </c>
      <c r="U49" s="500">
        <f>O49</f>
        <v/>
      </c>
      <c r="V49" s="515" t="n"/>
      <c r="W49" s="573" t="n"/>
      <c r="X49" s="573" t="n"/>
      <c r="Y49" s="516" t="n"/>
      <c r="Z49" s="500" t="n"/>
      <c r="AA49" s="519" t="n"/>
      <c r="AB49" s="196" t="n"/>
      <c r="AC49" s="196" t="n"/>
      <c r="AD49" s="92" t="n"/>
      <c r="AH49" s="94" t="n"/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K50+O50</f>
        <v/>
      </c>
      <c r="K50" s="646">
        <f>$C$20/1.1/$C$8</f>
        <v/>
      </c>
      <c r="L50" s="516">
        <f>K50-M50-N50</f>
        <v/>
      </c>
      <c r="M50" s="517">
        <f>$C$12/$C$8</f>
        <v/>
      </c>
      <c r="N50" s="518">
        <f>$C$13/$C$8</f>
        <v/>
      </c>
      <c r="O50" s="518">
        <f>$C$14/$C$8</f>
        <v/>
      </c>
      <c r="P50" s="515">
        <f>Q50+U50</f>
        <v/>
      </c>
      <c r="Q50" s="646">
        <f>$C$41/1.1/$C$8</f>
        <v/>
      </c>
      <c r="R50" s="516">
        <f>Q50-S50-T50</f>
        <v/>
      </c>
      <c r="S50" s="500">
        <f>$C$12/$C$8-$AL$5-$AL$10</f>
        <v/>
      </c>
      <c r="T50" s="519">
        <f>$C$13/$C$8-$AL$6-$AL$11</f>
        <v/>
      </c>
      <c r="U50" s="500">
        <f>O50</f>
        <v/>
      </c>
      <c r="V50" s="515" t="n"/>
      <c r="W50" s="573" t="n"/>
      <c r="X50" s="573" t="n"/>
      <c r="Y50" s="516" t="n"/>
      <c r="Z50" s="500" t="n"/>
      <c r="AA50" s="519" t="n"/>
      <c r="AB50" s="196" t="n"/>
      <c r="AC50" s="196" t="n"/>
      <c r="AD50" s="92" t="n"/>
      <c r="AH50" s="94" t="n"/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K51+O51</f>
        <v/>
      </c>
      <c r="K51" s="646">
        <f>$C$20/1.1/$C$8</f>
        <v/>
      </c>
      <c r="L51" s="516">
        <f>K51-M51-N51</f>
        <v/>
      </c>
      <c r="M51" s="517">
        <f>$C$12/$C$8</f>
        <v/>
      </c>
      <c r="N51" s="518">
        <f>$C$13/$C$8</f>
        <v/>
      </c>
      <c r="O51" s="518">
        <f>$C$14/$C$8</f>
        <v/>
      </c>
      <c r="P51" s="515">
        <f>Q51+U51</f>
        <v/>
      </c>
      <c r="Q51" s="646">
        <f>$C$41/1.1/$C$8</f>
        <v/>
      </c>
      <c r="R51" s="516">
        <f>Q51-S51-T51</f>
        <v/>
      </c>
      <c r="S51" s="500">
        <f>$C$12/$C$8-$AL$5-$AL$10</f>
        <v/>
      </c>
      <c r="T51" s="519">
        <f>$C$13/$C$8-$AL$6-$AL$11</f>
        <v/>
      </c>
      <c r="U51" s="500">
        <f>O51</f>
        <v/>
      </c>
      <c r="V51" s="515" t="n"/>
      <c r="W51" s="573" t="n"/>
      <c r="X51" s="573" t="n"/>
      <c r="Y51" s="516" t="n"/>
      <c r="Z51" s="500" t="n"/>
      <c r="AA51" s="519" t="n"/>
      <c r="AB51" s="196" t="n"/>
      <c r="AC51" s="196" t="n"/>
      <c r="AD51" s="92" t="n"/>
      <c r="AH51" s="94" t="n"/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K52+O52</f>
        <v/>
      </c>
      <c r="K52" s="646">
        <f>$C$20/1.1/$C$8</f>
        <v/>
      </c>
      <c r="L52" s="516">
        <f>K52-M52-N52</f>
        <v/>
      </c>
      <c r="M52" s="517">
        <f>$C$12/$C$8</f>
        <v/>
      </c>
      <c r="N52" s="518">
        <f>$C$13/$C$8</f>
        <v/>
      </c>
      <c r="O52" s="518">
        <f>$C$14/$C$8</f>
        <v/>
      </c>
      <c r="P52" s="515">
        <f>Q52+U52</f>
        <v/>
      </c>
      <c r="Q52" s="646">
        <f>$C$41/1.1/$C$8</f>
        <v/>
      </c>
      <c r="R52" s="516">
        <f>Q52-S52-T52</f>
        <v/>
      </c>
      <c r="S52" s="500">
        <f>$C$12/$C$8-$AL$5-$AL$10</f>
        <v/>
      </c>
      <c r="T52" s="519">
        <f>$C$13/$C$8-$AL$6-$AL$11</f>
        <v/>
      </c>
      <c r="U52" s="500">
        <f>O52</f>
        <v/>
      </c>
      <c r="V52" s="515" t="n"/>
      <c r="W52" s="573" t="n"/>
      <c r="X52" s="573" t="n"/>
      <c r="Y52" s="516" t="n"/>
      <c r="Z52" s="500" t="n"/>
      <c r="AA52" s="519" t="n"/>
      <c r="AB52" s="196" t="n"/>
      <c r="AC52" s="196" t="n"/>
      <c r="AD52" s="92" t="n"/>
      <c r="AH52" s="94" t="n"/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K53+O53</f>
        <v/>
      </c>
      <c r="K53" s="646">
        <f>$C$20/1.1/$C$8</f>
        <v/>
      </c>
      <c r="L53" s="516">
        <f>K53-M53-N53</f>
        <v/>
      </c>
      <c r="M53" s="517">
        <f>$C$12/$C$8</f>
        <v/>
      </c>
      <c r="N53" s="518">
        <f>$C$13/$C$8</f>
        <v/>
      </c>
      <c r="O53" s="518">
        <f>$C$14/$C$8</f>
        <v/>
      </c>
      <c r="P53" s="515">
        <f>Q53+U53</f>
        <v/>
      </c>
      <c r="Q53" s="646">
        <f>$C$41/1.1/$C$8</f>
        <v/>
      </c>
      <c r="R53" s="516">
        <f>Q53-S53-T53</f>
        <v/>
      </c>
      <c r="S53" s="500">
        <f>$C$12/$C$8-$AL$5-$AL$10</f>
        <v/>
      </c>
      <c r="T53" s="519">
        <f>$C$13/$C$8-$AL$6-$AL$11</f>
        <v/>
      </c>
      <c r="U53" s="500">
        <f>O53</f>
        <v/>
      </c>
      <c r="V53" s="515" t="n"/>
      <c r="W53" s="573" t="n"/>
      <c r="X53" s="573" t="n"/>
      <c r="Y53" s="516" t="n"/>
      <c r="Z53" s="500" t="n"/>
      <c r="AA53" s="519" t="n"/>
      <c r="AB53" s="196" t="n"/>
      <c r="AC53" s="196" t="n"/>
      <c r="AD53" s="92" t="n"/>
      <c r="AH53" s="94" t="n"/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K54+O54</f>
        <v/>
      </c>
      <c r="K54" s="646">
        <f>$C$20/1.1/$C$8-K6</f>
        <v/>
      </c>
      <c r="L54" s="516">
        <f>K54-M54-N54</f>
        <v/>
      </c>
      <c r="M54" s="517">
        <f>$C$12/$C$8</f>
        <v/>
      </c>
      <c r="N54" s="518">
        <f>$C$13/$C$8-N6</f>
        <v/>
      </c>
      <c r="O54" s="518">
        <f>$C$14/$C$8-O6</f>
        <v/>
      </c>
      <c r="P54" s="515">
        <f>Q54+U54</f>
        <v/>
      </c>
      <c r="Q54" s="646">
        <f>$C$41/1.1/$C$8-Q6</f>
        <v/>
      </c>
      <c r="R54" s="516">
        <f>Q54-S54-T54</f>
        <v/>
      </c>
      <c r="S54" s="500">
        <f>($C$12/$C$8-$AL$5-$AL$10)-S6</f>
        <v/>
      </c>
      <c r="T54" s="519">
        <f>($C$13/$C$8-$AL$6-$AL$11)-T6</f>
        <v/>
      </c>
      <c r="U54" s="500">
        <f>O54</f>
        <v/>
      </c>
      <c r="V54" s="515" t="n"/>
      <c r="W54" s="573" t="n"/>
      <c r="X54" s="573" t="n"/>
      <c r="Y54" s="516" t="n"/>
      <c r="Z54" s="500" t="n"/>
      <c r="AA54" s="519" t="n"/>
      <c r="AB54" s="196" t="n"/>
      <c r="AC54" s="196" t="n"/>
      <c r="AD54" s="92" t="n"/>
      <c r="AH54" s="94" t="n"/>
    </row>
    <row r="55">
      <c r="F55" s="101" t="n"/>
      <c r="G55" s="102" t="n"/>
      <c r="H55" s="102" t="n"/>
      <c r="I55" s="103" t="n"/>
      <c r="J55" s="515" t="n"/>
      <c r="K55" s="646" t="n"/>
      <c r="L55" s="516" t="n"/>
      <c r="M55" s="517" t="n"/>
      <c r="N55" s="518" t="n"/>
      <c r="O55" s="518" t="n"/>
      <c r="P55" s="515" t="n"/>
      <c r="Q55" s="646" t="n"/>
      <c r="R55" s="516" t="n"/>
      <c r="S55" s="500" t="n"/>
      <c r="T55" s="519" t="n"/>
      <c r="U55" s="500" t="n"/>
      <c r="V55" s="515" t="n"/>
      <c r="W55" s="573" t="n"/>
      <c r="X55" s="573" t="n"/>
      <c r="Y55" s="516" t="n"/>
      <c r="Z55" s="500" t="n"/>
      <c r="AA55" s="519" t="n"/>
      <c r="AB55" s="196" t="n"/>
      <c r="AC55" s="196" t="n"/>
      <c r="AD55" s="92" t="n"/>
      <c r="AH55" s="94" t="n"/>
    </row>
    <row r="56">
      <c r="F56" s="101" t="n"/>
      <c r="G56" s="102" t="n"/>
      <c r="H56" s="102" t="n"/>
      <c r="I56" s="103" t="n"/>
      <c r="J56" s="515" t="n"/>
      <c r="K56" s="646" t="n"/>
      <c r="L56" s="516" t="n"/>
      <c r="M56" s="517" t="n"/>
      <c r="N56" s="518" t="n"/>
      <c r="O56" s="518" t="n"/>
      <c r="P56" s="515" t="n"/>
      <c r="Q56" s="646" t="n"/>
      <c r="R56" s="516" t="n"/>
      <c r="S56" s="500" t="n"/>
      <c r="T56" s="519" t="n"/>
      <c r="U56" s="500" t="n"/>
      <c r="V56" s="515" t="n"/>
      <c r="W56" s="573" t="n"/>
      <c r="X56" s="573" t="n"/>
      <c r="Y56" s="516" t="n"/>
      <c r="Z56" s="500" t="n"/>
      <c r="AA56" s="519" t="n"/>
      <c r="AB56" s="196" t="n"/>
      <c r="AC56" s="196" t="n"/>
      <c r="AD56" s="92" t="n"/>
      <c r="AH56" s="94" t="n"/>
    </row>
    <row r="57">
      <c r="F57" s="101" t="n"/>
      <c r="G57" s="102" t="n"/>
      <c r="H57" s="102" t="n"/>
      <c r="I57" s="103" t="n"/>
      <c r="J57" s="515" t="n"/>
      <c r="K57" s="646" t="n"/>
      <c r="L57" s="516" t="n"/>
      <c r="M57" s="517" t="n"/>
      <c r="N57" s="518" t="n"/>
      <c r="O57" s="518" t="n"/>
      <c r="P57" s="515" t="n"/>
      <c r="Q57" s="646" t="n"/>
      <c r="R57" s="516" t="n"/>
      <c r="S57" s="500" t="n"/>
      <c r="T57" s="519" t="n"/>
      <c r="U57" s="500" t="n"/>
      <c r="V57" s="515" t="n"/>
      <c r="W57" s="573" t="n"/>
      <c r="X57" s="573" t="n"/>
      <c r="Y57" s="516" t="n"/>
      <c r="Z57" s="500" t="n"/>
      <c r="AA57" s="519" t="n"/>
      <c r="AB57" s="196" t="n"/>
      <c r="AC57" s="196" t="n"/>
      <c r="AD57" s="92" t="n"/>
      <c r="AH57" s="94" t="n"/>
    </row>
    <row r="58">
      <c r="F58" s="101" t="n"/>
      <c r="G58" s="102" t="n"/>
      <c r="H58" s="102" t="n"/>
      <c r="I58" s="103" t="n"/>
      <c r="J58" s="515" t="n"/>
      <c r="K58" s="646" t="n"/>
      <c r="L58" s="516" t="n"/>
      <c r="M58" s="517" t="n"/>
      <c r="N58" s="518" t="n"/>
      <c r="O58" s="518" t="n"/>
      <c r="P58" s="515" t="n"/>
      <c r="Q58" s="646" t="n"/>
      <c r="R58" s="516" t="n"/>
      <c r="S58" s="500" t="n"/>
      <c r="T58" s="519" t="n"/>
      <c r="U58" s="500" t="n"/>
      <c r="V58" s="515" t="n"/>
      <c r="W58" s="573" t="n"/>
      <c r="X58" s="573" t="n"/>
      <c r="Y58" s="516" t="n"/>
      <c r="Z58" s="500" t="n"/>
      <c r="AA58" s="519" t="n"/>
      <c r="AB58" s="196" t="n"/>
      <c r="AC58" s="196" t="n"/>
      <c r="AD58" s="92" t="n"/>
      <c r="AH58" s="94" t="n"/>
    </row>
    <row r="59">
      <c r="F59" s="101" t="n"/>
      <c r="G59" s="102" t="n"/>
      <c r="H59" s="102" t="n"/>
      <c r="I59" s="103" t="n"/>
      <c r="J59" s="515" t="n"/>
      <c r="K59" s="646" t="n"/>
      <c r="L59" s="516" t="n"/>
      <c r="M59" s="517" t="n"/>
      <c r="N59" s="518" t="n"/>
      <c r="O59" s="518" t="n"/>
      <c r="P59" s="515" t="n"/>
      <c r="Q59" s="646" t="n"/>
      <c r="R59" s="516" t="n"/>
      <c r="S59" s="500" t="n"/>
      <c r="T59" s="519" t="n"/>
      <c r="U59" s="500" t="n"/>
      <c r="V59" s="515" t="n"/>
      <c r="W59" s="573" t="n"/>
      <c r="X59" s="573" t="n"/>
      <c r="Y59" s="516" t="n"/>
      <c r="Z59" s="500" t="n"/>
      <c r="AA59" s="519" t="n"/>
      <c r="AB59" s="196" t="n"/>
      <c r="AC59" s="196" t="n"/>
      <c r="AD59" s="92" t="n"/>
      <c r="AH59" s="94" t="n"/>
    </row>
    <row r="60">
      <c r="F60" s="101" t="n"/>
      <c r="G60" s="102" t="n"/>
      <c r="H60" s="102" t="n"/>
      <c r="I60" s="103" t="n"/>
      <c r="J60" s="515" t="n"/>
      <c r="K60" s="646" t="n"/>
      <c r="L60" s="516" t="n"/>
      <c r="M60" s="517" t="n"/>
      <c r="N60" s="518" t="n"/>
      <c r="O60" s="518" t="n"/>
      <c r="P60" s="515" t="n"/>
      <c r="Q60" s="646" t="n"/>
      <c r="R60" s="516" t="n"/>
      <c r="S60" s="500" t="n"/>
      <c r="T60" s="519" t="n"/>
      <c r="U60" s="500" t="n"/>
      <c r="V60" s="515" t="n"/>
      <c r="W60" s="573" t="n"/>
      <c r="X60" s="573" t="n"/>
      <c r="Y60" s="516" t="n"/>
      <c r="Z60" s="500" t="n"/>
      <c r="AA60" s="519" t="n"/>
      <c r="AB60" s="196" t="n"/>
      <c r="AC60" s="196" t="n"/>
      <c r="AD60" s="92" t="n"/>
      <c r="AH60" s="94" t="n"/>
    </row>
    <row r="61">
      <c r="F61" s="101" t="n"/>
      <c r="G61" s="102" t="n"/>
      <c r="H61" s="102" t="n"/>
      <c r="I61" s="103" t="n"/>
      <c r="J61" s="515" t="n"/>
      <c r="K61" s="646" t="n"/>
      <c r="L61" s="516" t="n"/>
      <c r="M61" s="517" t="n"/>
      <c r="N61" s="518" t="n"/>
      <c r="O61" s="518" t="n"/>
      <c r="P61" s="515" t="n"/>
      <c r="Q61" s="646" t="n"/>
      <c r="R61" s="516" t="n"/>
      <c r="S61" s="500" t="n"/>
      <c r="T61" s="519" t="n"/>
      <c r="U61" s="500" t="n"/>
      <c r="V61" s="515" t="n"/>
      <c r="W61" s="573" t="n"/>
      <c r="X61" s="573" t="n"/>
      <c r="Y61" s="516" t="n"/>
      <c r="Z61" s="500" t="n"/>
      <c r="AA61" s="519" t="n"/>
      <c r="AB61" s="196" t="n"/>
      <c r="AC61" s="196" t="n"/>
      <c r="AD61" s="92" t="n"/>
      <c r="AH61" s="94" t="n"/>
    </row>
    <row r="62">
      <c r="F62" s="101" t="n"/>
      <c r="G62" s="102" t="n"/>
      <c r="H62" s="102" t="n"/>
      <c r="I62" s="103" t="n"/>
      <c r="J62" s="515" t="n"/>
      <c r="K62" s="646" t="n"/>
      <c r="L62" s="516" t="n"/>
      <c r="M62" s="517" t="n"/>
      <c r="N62" s="518" t="n"/>
      <c r="O62" s="518" t="n"/>
      <c r="P62" s="515" t="n"/>
      <c r="Q62" s="646" t="n"/>
      <c r="R62" s="516" t="n"/>
      <c r="S62" s="500" t="n"/>
      <c r="T62" s="519" t="n"/>
      <c r="U62" s="500" t="n"/>
      <c r="V62" s="515" t="n"/>
      <c r="W62" s="573" t="n"/>
      <c r="X62" s="573" t="n"/>
      <c r="Y62" s="516" t="n"/>
      <c r="Z62" s="500" t="n"/>
      <c r="AA62" s="519" t="n"/>
      <c r="AB62" s="196" t="n"/>
      <c r="AC62" s="196" t="n"/>
      <c r="AD62" s="92" t="n"/>
      <c r="AH62" s="94" t="n"/>
    </row>
    <row r="63">
      <c r="F63" s="101" t="n"/>
      <c r="G63" s="102" t="n"/>
      <c r="H63" s="102" t="n"/>
      <c r="I63" s="103" t="n"/>
      <c r="J63" s="515" t="n"/>
      <c r="K63" s="646" t="n"/>
      <c r="L63" s="516" t="n"/>
      <c r="M63" s="517" t="n"/>
      <c r="N63" s="518" t="n"/>
      <c r="O63" s="518" t="n"/>
      <c r="P63" s="515" t="n"/>
      <c r="Q63" s="646" t="n"/>
      <c r="R63" s="516" t="n"/>
      <c r="S63" s="500" t="n"/>
      <c r="T63" s="519" t="n"/>
      <c r="U63" s="500" t="n"/>
      <c r="V63" s="515" t="n"/>
      <c r="W63" s="573" t="n"/>
      <c r="X63" s="573" t="n"/>
      <c r="Y63" s="516" t="n"/>
      <c r="Z63" s="500" t="n"/>
      <c r="AA63" s="519" t="n"/>
      <c r="AB63" s="196" t="n"/>
      <c r="AC63" s="196" t="n"/>
      <c r="AD63" s="92" t="n"/>
      <c r="AH63" s="94" t="n"/>
    </row>
    <row r="64">
      <c r="F64" s="101" t="n"/>
      <c r="G64" s="102" t="n"/>
      <c r="H64" s="102" t="n"/>
      <c r="I64" s="103" t="n"/>
      <c r="J64" s="515" t="n"/>
      <c r="K64" s="646" t="n"/>
      <c r="L64" s="516" t="n"/>
      <c r="M64" s="517" t="n"/>
      <c r="N64" s="518" t="n"/>
      <c r="O64" s="518" t="n"/>
      <c r="P64" s="515" t="n"/>
      <c r="Q64" s="646" t="n"/>
      <c r="R64" s="516" t="n"/>
      <c r="S64" s="500" t="n"/>
      <c r="T64" s="519" t="n"/>
      <c r="U64" s="500" t="n"/>
      <c r="V64" s="515" t="n"/>
      <c r="W64" s="573" t="n"/>
      <c r="X64" s="573" t="n"/>
      <c r="Y64" s="516" t="n"/>
      <c r="Z64" s="500" t="n"/>
      <c r="AA64" s="519" t="n"/>
      <c r="AB64" s="196" t="n"/>
      <c r="AC64" s="196" t="n"/>
      <c r="AD64" s="92" t="n"/>
      <c r="AH64" s="94" t="n"/>
    </row>
    <row r="65">
      <c r="F65" s="101" t="n"/>
      <c r="G65" s="102" t="n"/>
      <c r="H65" s="102" t="n"/>
      <c r="I65" s="103" t="n"/>
      <c r="J65" s="515" t="n"/>
      <c r="K65" s="646" t="n"/>
      <c r="L65" s="516" t="n"/>
      <c r="M65" s="517" t="n"/>
      <c r="N65" s="518" t="n"/>
      <c r="O65" s="518" t="n"/>
      <c r="P65" s="515" t="n"/>
      <c r="Q65" s="646" t="n"/>
      <c r="R65" s="516" t="n"/>
      <c r="S65" s="500" t="n"/>
      <c r="T65" s="519" t="n"/>
      <c r="U65" s="500" t="n"/>
      <c r="V65" s="515" t="n"/>
      <c r="W65" s="573" t="n"/>
      <c r="X65" s="573" t="n"/>
      <c r="Y65" s="516" t="n"/>
      <c r="Z65" s="500" t="n"/>
      <c r="AA65" s="519" t="n"/>
      <c r="AB65" s="196" t="n"/>
      <c r="AC65" s="196" t="n"/>
      <c r="AD65" s="92" t="n"/>
      <c r="AH65" s="94" t="n"/>
    </row>
    <row r="66">
      <c r="F66" s="101" t="n"/>
      <c r="G66" s="102" t="n"/>
      <c r="H66" s="102" t="n"/>
      <c r="I66" s="103" t="n"/>
      <c r="J66" s="515" t="n"/>
      <c r="K66" s="646" t="n"/>
      <c r="L66" s="516" t="n"/>
      <c r="M66" s="517" t="n"/>
      <c r="N66" s="518" t="n"/>
      <c r="O66" s="518" t="n"/>
      <c r="P66" s="515" t="n"/>
      <c r="Q66" s="646" t="n"/>
      <c r="R66" s="516" t="n"/>
      <c r="S66" s="500" t="n"/>
      <c r="T66" s="519" t="n"/>
      <c r="U66" s="500" t="n"/>
      <c r="V66" s="515" t="n"/>
      <c r="W66" s="573" t="n"/>
      <c r="X66" s="573" t="n"/>
      <c r="Y66" s="516" t="n"/>
      <c r="Z66" s="500" t="n"/>
      <c r="AA66" s="519" t="n"/>
      <c r="AB66" s="196" t="n"/>
      <c r="AC66" s="196" t="n"/>
      <c r="AD66" s="92" t="n"/>
      <c r="AH66" s="94" t="n"/>
    </row>
    <row r="67">
      <c r="F67" s="101" t="n"/>
      <c r="G67" s="102" t="n"/>
      <c r="H67" s="102" t="n"/>
      <c r="I67" s="103" t="n"/>
      <c r="J67" s="515" t="n"/>
      <c r="K67" s="646" t="n"/>
      <c r="L67" s="516" t="n"/>
      <c r="M67" s="517" t="n"/>
      <c r="N67" s="518" t="n"/>
      <c r="O67" s="518" t="n"/>
      <c r="P67" s="515" t="n"/>
      <c r="Q67" s="646" t="n"/>
      <c r="R67" s="516" t="n"/>
      <c r="S67" s="500" t="n"/>
      <c r="T67" s="519" t="n"/>
      <c r="U67" s="500" t="n"/>
      <c r="V67" s="515" t="n"/>
      <c r="W67" s="573" t="n"/>
      <c r="X67" s="573" t="n"/>
      <c r="Y67" s="516" t="n"/>
      <c r="Z67" s="500" t="n"/>
      <c r="AA67" s="519" t="n"/>
      <c r="AB67" s="196" t="n"/>
      <c r="AC67" s="196" t="n"/>
      <c r="AD67" s="92" t="n"/>
      <c r="AH67" s="94" t="n"/>
    </row>
    <row r="68">
      <c r="F68" s="101" t="n"/>
      <c r="G68" s="102" t="n"/>
      <c r="H68" s="102" t="n"/>
      <c r="I68" s="103" t="n"/>
      <c r="J68" s="515" t="n"/>
      <c r="K68" s="646" t="n"/>
      <c r="L68" s="516" t="n"/>
      <c r="M68" s="517" t="n"/>
      <c r="N68" s="518" t="n"/>
      <c r="O68" s="518" t="n"/>
      <c r="P68" s="515" t="n"/>
      <c r="Q68" s="646" t="n"/>
      <c r="R68" s="516" t="n"/>
      <c r="S68" s="500" t="n"/>
      <c r="T68" s="519" t="n"/>
      <c r="U68" s="500" t="n"/>
      <c r="V68" s="515" t="n"/>
      <c r="W68" s="573" t="n"/>
      <c r="X68" s="573" t="n"/>
      <c r="Y68" s="516" t="n"/>
      <c r="Z68" s="500" t="n"/>
      <c r="AA68" s="519" t="n"/>
      <c r="AB68" s="196" t="n"/>
      <c r="AC68" s="196" t="n"/>
      <c r="AD68" s="92" t="n"/>
      <c r="AH68" s="94" t="n"/>
    </row>
    <row r="69">
      <c r="F69" s="101" t="n"/>
      <c r="G69" s="102" t="n"/>
      <c r="H69" s="102" t="n"/>
      <c r="I69" s="103" t="n"/>
      <c r="J69" s="515" t="n"/>
      <c r="K69" s="646" t="n"/>
      <c r="L69" s="516" t="n"/>
      <c r="M69" s="517" t="n"/>
      <c r="N69" s="518" t="n"/>
      <c r="O69" s="518" t="n"/>
      <c r="P69" s="515" t="n"/>
      <c r="Q69" s="646" t="n"/>
      <c r="R69" s="516" t="n"/>
      <c r="S69" s="500" t="n"/>
      <c r="T69" s="519" t="n"/>
      <c r="U69" s="500" t="n"/>
      <c r="V69" s="515" t="n"/>
      <c r="W69" s="573" t="n"/>
      <c r="X69" s="573" t="n"/>
      <c r="Y69" s="516" t="n"/>
      <c r="Z69" s="500" t="n"/>
      <c r="AA69" s="519" t="n"/>
      <c r="AB69" s="196" t="n"/>
      <c r="AC69" s="196" t="n"/>
      <c r="AD69" s="92" t="n"/>
      <c r="AH69" s="94" t="n"/>
    </row>
    <row r="70">
      <c r="F70" s="101" t="n"/>
      <c r="G70" s="102" t="n"/>
      <c r="H70" s="102" t="n"/>
      <c r="I70" s="103" t="n"/>
      <c r="J70" s="515" t="n"/>
      <c r="K70" s="646" t="n"/>
      <c r="L70" s="516" t="n"/>
      <c r="M70" s="517" t="n"/>
      <c r="N70" s="518" t="n"/>
      <c r="O70" s="518" t="n"/>
      <c r="P70" s="515" t="n"/>
      <c r="Q70" s="646" t="n"/>
      <c r="R70" s="516" t="n"/>
      <c r="S70" s="500" t="n"/>
      <c r="T70" s="519" t="n"/>
      <c r="U70" s="500" t="n"/>
      <c r="V70" s="515" t="n"/>
      <c r="W70" s="573" t="n"/>
      <c r="X70" s="573" t="n"/>
      <c r="Y70" s="516" t="n"/>
      <c r="Z70" s="500" t="n"/>
      <c r="AA70" s="519" t="n"/>
      <c r="AB70" s="196" t="n"/>
      <c r="AC70" s="196" t="n"/>
      <c r="AD70" s="92" t="n"/>
      <c r="AH70" s="94" t="n"/>
    </row>
    <row r="71">
      <c r="F71" s="101" t="n"/>
      <c r="G71" s="102" t="n"/>
      <c r="H71" s="102" t="n"/>
      <c r="I71" s="103" t="n"/>
      <c r="J71" s="515" t="n"/>
      <c r="K71" s="646" t="n"/>
      <c r="L71" s="516" t="n"/>
      <c r="M71" s="517" t="n"/>
      <c r="N71" s="518" t="n"/>
      <c r="O71" s="518" t="n"/>
      <c r="P71" s="515" t="n"/>
      <c r="Q71" s="646" t="n"/>
      <c r="R71" s="516" t="n"/>
      <c r="S71" s="500" t="n"/>
      <c r="T71" s="519" t="n"/>
      <c r="U71" s="500" t="n"/>
      <c r="V71" s="515" t="n"/>
      <c r="W71" s="573" t="n"/>
      <c r="X71" s="573" t="n"/>
      <c r="Y71" s="516" t="n"/>
      <c r="Z71" s="500" t="n"/>
      <c r="AA71" s="519" t="n"/>
      <c r="AB71" s="196" t="n"/>
      <c r="AC71" s="196" t="n"/>
      <c r="AD71" s="92" t="n"/>
      <c r="AH71" s="94" t="n"/>
    </row>
    <row r="72">
      <c r="F72" s="101" t="n"/>
      <c r="G72" s="102" t="n"/>
      <c r="H72" s="102" t="n"/>
      <c r="I72" s="103" t="n"/>
      <c r="J72" s="515" t="n"/>
      <c r="K72" s="646" t="n"/>
      <c r="L72" s="516" t="n"/>
      <c r="M72" s="517" t="n"/>
      <c r="N72" s="518" t="n"/>
      <c r="O72" s="518" t="n"/>
      <c r="P72" s="515" t="n"/>
      <c r="Q72" s="646" t="n"/>
      <c r="R72" s="516" t="n"/>
      <c r="S72" s="500" t="n"/>
      <c r="T72" s="519" t="n"/>
      <c r="U72" s="500" t="n"/>
      <c r="V72" s="515" t="n"/>
      <c r="W72" s="573" t="n"/>
      <c r="X72" s="573" t="n"/>
      <c r="Y72" s="516" t="n"/>
      <c r="Z72" s="500" t="n"/>
      <c r="AA72" s="519" t="n"/>
      <c r="AB72" s="196" t="n"/>
      <c r="AC72" s="196" t="n"/>
      <c r="AD72" s="92" t="n"/>
      <c r="AH72" s="94" t="n"/>
    </row>
    <row r="73">
      <c r="F73" s="101" t="n"/>
      <c r="G73" s="102" t="n"/>
      <c r="H73" s="102" t="n"/>
      <c r="I73" s="103" t="n"/>
      <c r="J73" s="515" t="n"/>
      <c r="K73" s="646" t="n"/>
      <c r="L73" s="516" t="n"/>
      <c r="M73" s="517" t="n"/>
      <c r="N73" s="518" t="n"/>
      <c r="O73" s="518" t="n"/>
      <c r="P73" s="515" t="n"/>
      <c r="Q73" s="646" t="n"/>
      <c r="R73" s="516" t="n"/>
      <c r="S73" s="500" t="n"/>
      <c r="T73" s="519" t="n"/>
      <c r="U73" s="500" t="n"/>
      <c r="V73" s="515" t="n"/>
      <c r="W73" s="573" t="n"/>
      <c r="X73" s="573" t="n"/>
      <c r="Y73" s="516" t="n"/>
      <c r="Z73" s="500" t="n"/>
      <c r="AA73" s="519" t="n"/>
      <c r="AB73" s="196" t="n"/>
      <c r="AC73" s="196" t="n"/>
      <c r="AD73" s="92" t="n"/>
      <c r="AH73" s="94" t="n"/>
    </row>
    <row r="74">
      <c r="F74" s="101" t="n"/>
      <c r="G74" s="102" t="n"/>
      <c r="H74" s="102" t="n"/>
      <c r="I74" s="103" t="n"/>
      <c r="J74" s="515" t="n"/>
      <c r="K74" s="646" t="n"/>
      <c r="L74" s="516" t="n"/>
      <c r="M74" s="517" t="n"/>
      <c r="N74" s="518" t="n"/>
      <c r="O74" s="518" t="n"/>
      <c r="P74" s="515" t="n"/>
      <c r="Q74" s="646" t="n"/>
      <c r="R74" s="516" t="n"/>
      <c r="S74" s="500" t="n"/>
      <c r="T74" s="519" t="n"/>
      <c r="U74" s="500" t="n"/>
      <c r="V74" s="515" t="n"/>
      <c r="W74" s="573" t="n"/>
      <c r="X74" s="573" t="n"/>
      <c r="Y74" s="516" t="n"/>
      <c r="Z74" s="500" t="n"/>
      <c r="AA74" s="519" t="n"/>
      <c r="AB74" s="196" t="n"/>
      <c r="AC74" s="196" t="n"/>
      <c r="AD74" s="92" t="n"/>
      <c r="AH74" s="94" t="n"/>
    </row>
    <row r="75">
      <c r="F75" s="101" t="n"/>
      <c r="G75" s="102" t="n"/>
      <c r="H75" s="102" t="n"/>
      <c r="I75" s="103" t="n"/>
      <c r="J75" s="515" t="n"/>
      <c r="K75" s="646" t="n"/>
      <c r="L75" s="516" t="n"/>
      <c r="M75" s="517" t="n"/>
      <c r="N75" s="518" t="n"/>
      <c r="O75" s="518" t="n"/>
      <c r="P75" s="515" t="n"/>
      <c r="Q75" s="646" t="n"/>
      <c r="R75" s="516" t="n"/>
      <c r="S75" s="500" t="n"/>
      <c r="T75" s="519" t="n"/>
      <c r="U75" s="500" t="n"/>
      <c r="V75" s="515" t="n"/>
      <c r="W75" s="573" t="n"/>
      <c r="X75" s="573" t="n"/>
      <c r="Y75" s="516" t="n"/>
      <c r="Z75" s="500" t="n"/>
      <c r="AA75" s="519" t="n"/>
      <c r="AB75" s="196" t="n"/>
      <c r="AC75" s="196" t="n"/>
      <c r="AD75" s="92" t="n"/>
      <c r="AH75" s="94" t="n"/>
    </row>
    <row r="76">
      <c r="F76" s="101" t="n"/>
      <c r="G76" s="102" t="n"/>
      <c r="H76" s="102" t="n"/>
      <c r="I76" s="103" t="n"/>
      <c r="J76" s="515" t="n"/>
      <c r="K76" s="646" t="n"/>
      <c r="L76" s="516" t="n"/>
      <c r="M76" s="517" t="n"/>
      <c r="N76" s="518" t="n"/>
      <c r="O76" s="518" t="n"/>
      <c r="P76" s="515" t="n"/>
      <c r="Q76" s="646" t="n"/>
      <c r="R76" s="516" t="n"/>
      <c r="S76" s="500" t="n"/>
      <c r="T76" s="519" t="n"/>
      <c r="U76" s="500" t="n"/>
      <c r="V76" s="515" t="n"/>
      <c r="W76" s="573" t="n"/>
      <c r="X76" s="573" t="n"/>
      <c r="Y76" s="516" t="n"/>
      <c r="Z76" s="500" t="n"/>
      <c r="AA76" s="519" t="n"/>
      <c r="AB76" s="196" t="n"/>
      <c r="AC76" s="196" t="n"/>
      <c r="AD76" s="92" t="n"/>
      <c r="AH76" s="94" t="n"/>
    </row>
    <row r="77">
      <c r="F77" s="101" t="n"/>
      <c r="G77" s="102" t="n"/>
      <c r="H77" s="102" t="n"/>
      <c r="I77" s="103" t="n"/>
      <c r="J77" s="515" t="n"/>
      <c r="K77" s="646" t="n"/>
      <c r="L77" s="516" t="n"/>
      <c r="M77" s="517" t="n"/>
      <c r="N77" s="518" t="n"/>
      <c r="O77" s="518" t="n"/>
      <c r="P77" s="515" t="n"/>
      <c r="Q77" s="646" t="n"/>
      <c r="R77" s="516" t="n"/>
      <c r="S77" s="500" t="n"/>
      <c r="T77" s="519" t="n"/>
      <c r="U77" s="500" t="n"/>
      <c r="V77" s="515" t="n"/>
      <c r="W77" s="573" t="n"/>
      <c r="X77" s="573" t="n"/>
      <c r="Y77" s="516" t="n"/>
      <c r="Z77" s="500" t="n"/>
      <c r="AA77" s="519" t="n"/>
      <c r="AB77" s="196" t="n"/>
      <c r="AC77" s="196" t="n"/>
      <c r="AD77" s="92" t="n"/>
      <c r="AH77" s="94" t="n"/>
    </row>
    <row r="78">
      <c r="F78" s="276" t="n"/>
      <c r="G78" s="277" t="n"/>
      <c r="H78" s="277" t="n"/>
      <c r="I78" s="278" t="n"/>
      <c r="J78" s="581" t="n"/>
      <c r="K78" s="653" t="n"/>
      <c r="L78" s="588" t="n"/>
      <c r="M78" s="640" t="n"/>
      <c r="N78" s="641" t="n"/>
      <c r="O78" s="641" t="n"/>
      <c r="P78" s="581" t="n"/>
      <c r="Q78" s="653" t="n"/>
      <c r="R78" s="588" t="n"/>
      <c r="S78" s="589" t="n"/>
      <c r="T78" s="642" t="n"/>
      <c r="U78" s="589" t="n"/>
      <c r="V78" s="581" t="n"/>
      <c r="W78" s="590" t="n"/>
      <c r="X78" s="590" t="n"/>
      <c r="Y78" s="588" t="n"/>
      <c r="Z78" s="589" t="n"/>
      <c r="AA78" s="642" t="n"/>
      <c r="AB78" s="12" t="n"/>
      <c r="AC78" s="12" t="n"/>
      <c r="AD78" s="59" t="n"/>
      <c r="AE78" s="95" t="n"/>
      <c r="AF78" s="95" t="n"/>
      <c r="AG78" s="95" t="n"/>
      <c r="AH78" s="97" t="n"/>
    </row>
    <row r="79">
      <c r="R79" s="500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E08A1E"/>
    <outlinePr summaryBelow="1" summaryRight="1"/>
    <pageSetUpPr/>
  </sheetPr>
  <dimension ref="A2:AN78"/>
  <sheetViews>
    <sheetView showGridLines="0" topLeftCell="A31" zoomScale="70" zoomScaleNormal="70" workbookViewId="0">
      <selection activeCell="C34" sqref="C34"/>
    </sheetView>
  </sheetViews>
  <sheetFormatPr baseColWidth="8" defaultRowHeight="16.9"/>
  <cols>
    <col width="8" customWidth="1" style="497" min="1" max="1"/>
    <col width="44.375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customWidth="1" style="185" min="6" max="6"/>
    <col width="11.125" customWidth="1" style="185" min="7" max="9"/>
    <col width="13.375" customWidth="1" style="497" min="10" max="11"/>
    <col width="12.125" customWidth="1" style="497" min="12" max="12"/>
    <col width="10.5" customWidth="1" style="497" min="13" max="13"/>
    <col width="15.875" customWidth="1" style="497" min="14" max="15"/>
    <col width="11.6875" bestFit="1" customWidth="1" style="497" min="16" max="16"/>
    <col width="10.1875" bestFit="1" customWidth="1" style="497" min="17" max="17"/>
    <col width="18.6875" bestFit="1" customWidth="1" style="497" min="18" max="18"/>
    <col width="9.375" customWidth="1" style="497" min="19" max="19"/>
    <col width="13.5" customWidth="1" style="497" min="20" max="20"/>
    <col width="18.6875" customWidth="1" style="497" min="21" max="23"/>
    <col width="12.1875" bestFit="1" customWidth="1" style="497" min="24" max="24"/>
    <col width="7.375" bestFit="1" customWidth="1" style="497" min="25" max="25"/>
    <col width="13.5" bestFit="1" customWidth="1" style="497" min="26" max="26"/>
    <col width="11.875" bestFit="1" customWidth="1" style="497" min="27" max="28"/>
    <col width="11.875" customWidth="1" style="497" min="29" max="29"/>
    <col width="14.125" bestFit="1" customWidth="1" style="497" min="30" max="30"/>
    <col width="14" bestFit="1" customWidth="1" style="497" min="31" max="31"/>
    <col width="7.125" bestFit="1" customWidth="1" style="497" min="34" max="34"/>
    <col width="11.6875" bestFit="1" customWidth="1" style="497" min="35" max="35"/>
    <col width="7.125" bestFit="1" customWidth="1" style="497" min="38" max="38"/>
    <col width="11.6875" bestFit="1" customWidth="1" style="497" min="39" max="39"/>
    <col width="10.625" bestFit="1" customWidth="1" style="497" min="40" max="40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 t="n"/>
      <c r="S2" s="500" t="n"/>
      <c r="T2" s="500" t="inlineStr">
        <is>
          <t>* 연체이자는 비과세로 V+기준으로 계산</t>
        </is>
      </c>
      <c r="U2" s="500" t="n"/>
      <c r="V2" s="500" t="n"/>
      <c r="W2" s="500" t="n"/>
      <c r="Z2" s="206" t="inlineStr">
        <is>
          <t>* 위약금은 비과세로 V+기준으로 계산</t>
        </is>
      </c>
      <c r="AC2" s="500" t="inlineStr">
        <is>
          <t>* 연체이자는 비과세로 V+기준으로 계산</t>
        </is>
      </c>
      <c r="AD2" s="500" t="n"/>
      <c r="AG2" s="206" t="inlineStr">
        <is>
          <t>v- 100단위 조정</t>
        </is>
      </c>
      <c r="AK2" s="206" t="inlineStr">
        <is>
          <t>v- 소수점만 제거</t>
        </is>
      </c>
      <c r="AN2" s="206" t="inlineStr">
        <is>
          <t>V+</t>
        </is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선납+선납할인+단품+결합할인 시 (v-)</t>
        </is>
      </c>
      <c r="O3" s="76" t="n"/>
      <c r="P3" s="76" t="n"/>
      <c r="Q3" s="76" t="n"/>
      <c r="R3" s="75" t="inlineStr">
        <is>
          <t>연체 누적 시 (V-)</t>
        </is>
      </c>
      <c r="S3" s="75" t="n"/>
      <c r="T3" s="76" t="n"/>
      <c r="U3" s="75" t="n"/>
      <c r="V3" s="76" t="n"/>
      <c r="W3" s="137" t="n"/>
      <c r="X3" s="75" t="inlineStr">
        <is>
          <t>연체3개월 초과 강제해지 (v-)</t>
        </is>
      </c>
      <c r="Y3" s="70" t="n"/>
      <c r="Z3" s="70" t="n"/>
      <c r="AA3" s="70" t="n"/>
      <c r="AB3" s="70" t="n"/>
      <c r="AC3" s="70" t="n"/>
      <c r="AD3" s="70" t="n"/>
      <c r="AE3" s="71" t="n"/>
      <c r="AG3" s="378" t="inlineStr">
        <is>
          <t>월 선납금(v-)</t>
        </is>
      </c>
      <c r="AH3" s="251" t="n"/>
      <c r="AI3" s="504">
        <f>$C$22/$C$7</f>
        <v/>
      </c>
      <c r="AK3" s="378" t="inlineStr">
        <is>
          <t>월 선납금(v-)</t>
        </is>
      </c>
      <c r="AL3" s="251" t="n"/>
      <c r="AM3" s="504">
        <f>$C$22/$C$7</f>
        <v/>
      </c>
      <c r="AN3" s="505">
        <f>AM3*1.1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구독료(연체료)청구</t>
        </is>
      </c>
      <c r="S4" s="9" t="inlineStr">
        <is>
          <t>납부여부</t>
        </is>
      </c>
      <c r="T4" s="63" t="inlineStr">
        <is>
          <t>누적 연체이자</t>
        </is>
      </c>
      <c r="U4" s="154" t="inlineStr">
        <is>
          <t>연체 1회</t>
        </is>
      </c>
      <c r="V4" s="136" t="inlineStr">
        <is>
          <t>연체 2회</t>
        </is>
      </c>
      <c r="W4" s="155" t="inlineStr">
        <is>
          <t>연체 3회</t>
        </is>
      </c>
      <c r="X4" s="9" t="inlineStr">
        <is>
          <t>계약중지</t>
        </is>
      </c>
      <c r="Y4" s="9" t="inlineStr">
        <is>
          <t>경과일</t>
        </is>
      </c>
      <c r="Z4" s="26" t="inlineStr">
        <is>
          <t>위약금</t>
        </is>
      </c>
      <c r="AA4" s="15" t="inlineStr">
        <is>
          <t>사용분 청구</t>
        </is>
      </c>
      <c r="AB4" s="15" t="inlineStr">
        <is>
          <t>할인금 회수</t>
        </is>
      </c>
      <c r="AC4" s="136" t="inlineStr">
        <is>
          <t>연체이자</t>
        </is>
      </c>
      <c r="AD4" s="15" t="inlineStr">
        <is>
          <t>선납잔액 환불</t>
        </is>
      </c>
      <c r="AE4" s="27" t="inlineStr">
        <is>
          <t>등록비 청구</t>
        </is>
      </c>
      <c r="AG4" s="375" t="n"/>
      <c r="AH4" s="506" t="inlineStr">
        <is>
          <t>제품</t>
        </is>
      </c>
      <c r="AI4" s="507">
        <f>AI3-AI5-AI6</f>
        <v/>
      </c>
      <c r="AK4" s="375" t="n"/>
      <c r="AL4" s="506" t="inlineStr">
        <is>
          <t>제품</t>
        </is>
      </c>
      <c r="AM4" s="507">
        <f>AM3-AM5-AM6</f>
        <v/>
      </c>
      <c r="AN4" s="505">
        <f>ROUND(AM4*1.1,)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08">
        <f>ROUNDDOWN(($C$58/$C$7)*($H5-$G5+1)/DAY($H5),-2)</f>
        <v/>
      </c>
      <c r="O5" s="509">
        <f>N5-P5-Q5</f>
        <v/>
      </c>
      <c r="P5" s="512">
        <f>ROUNDDOWN(($C$11/$C$7-AI5-AI10-AI15-AI20)*(H5-G5+1)/DAY(H5),-2)</f>
        <v/>
      </c>
      <c r="Q5" s="513">
        <f>ROUNDDOWN(($C$12/$C$7-AI6-AI11-AI16-AI21)*(H5-G5+1)/DAY(H5),-2)</f>
        <v/>
      </c>
      <c r="R5" s="515">
        <f>N5</f>
        <v/>
      </c>
      <c r="S5" s="573" t="n"/>
      <c r="T5" s="573" t="n"/>
      <c r="U5" s="516" t="n"/>
      <c r="V5" s="500" t="n"/>
      <c r="W5" s="519" t="n"/>
      <c r="X5" s="54" t="n"/>
      <c r="Y5" s="280">
        <f>H5-G5+1</f>
        <v/>
      </c>
      <c r="Z5" s="55" t="n"/>
      <c r="AA5" s="626" t="n"/>
      <c r="AB5" s="627" t="n"/>
      <c r="AC5" s="627" t="n"/>
      <c r="AD5" s="627" t="n"/>
      <c r="AE5" s="91" t="n"/>
      <c r="AG5" s="375" t="n"/>
      <c r="AH5" s="506" t="inlineStr">
        <is>
          <t>케어</t>
        </is>
      </c>
      <c r="AI5" s="507">
        <f>ROUND(AI3*$C11/$C$14,-2)</f>
        <v/>
      </c>
      <c r="AK5" s="375" t="n"/>
      <c r="AL5" s="506" t="inlineStr">
        <is>
          <t>케어</t>
        </is>
      </c>
      <c r="AM5" s="507">
        <f>ROUND(AM3*$C11/$C$14,0)</f>
        <v/>
      </c>
      <c r="AN5" s="505">
        <f>ROUND(AM5*1.1,)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$C$57</f>
        <v/>
      </c>
      <c r="O6" s="516">
        <f>N6-P6-Q6</f>
        <v/>
      </c>
      <c r="P6" s="500">
        <f>$C$11/$C$7-$AI$5-$AI$10-$AI$15-$AI$20</f>
        <v/>
      </c>
      <c r="Q6" s="519">
        <f>$C$12/$C$7-$AI$6-$AI$11-$AI$16-$AI$21</f>
        <v/>
      </c>
      <c r="R6" s="515">
        <f>N6</f>
        <v/>
      </c>
      <c r="S6" s="573" t="n"/>
      <c r="T6" s="573" t="n"/>
      <c r="U6" s="516" t="n"/>
      <c r="V6" s="500" t="n"/>
      <c r="W6" s="519" t="n"/>
      <c r="X6" s="196" t="n"/>
      <c r="Y6" s="281">
        <f>H6-G6+1</f>
        <v/>
      </c>
      <c r="Z6" s="92" t="n"/>
      <c r="AA6" s="206" t="n"/>
      <c r="AB6" s="206" t="n"/>
      <c r="AC6" s="206" t="n"/>
      <c r="AD6" s="206" t="n"/>
      <c r="AE6" s="94" t="n"/>
      <c r="AG6" s="376" t="n"/>
      <c r="AH6" s="524" t="inlineStr">
        <is>
          <t>보증</t>
        </is>
      </c>
      <c r="AI6" s="507">
        <f>ROUND($AI$3*$C12/$C$14,-2)</f>
        <v/>
      </c>
      <c r="AK6" s="376" t="n"/>
      <c r="AL6" s="524" t="inlineStr">
        <is>
          <t>보증</t>
        </is>
      </c>
      <c r="AM6" s="507">
        <f>ROUND($AM$3*$C12/$C$14,0)</f>
        <v/>
      </c>
      <c r="AN6" s="505">
        <f>ROUND(AM6*1.1,)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$C$57</f>
        <v/>
      </c>
      <c r="O7" s="516">
        <f>N7-P7-Q7</f>
        <v/>
      </c>
      <c r="P7" s="500">
        <f>$C$11/$C$7-$AI$5-$AI$10-$AI$15-$AI$20</f>
        <v/>
      </c>
      <c r="Q7" s="519">
        <f>$C$12/$C$7-$AI$6-$AI$11-$AI$16-$AI$21</f>
        <v/>
      </c>
      <c r="R7" s="515">
        <f>N7</f>
        <v/>
      </c>
      <c r="S7" s="573" t="n"/>
      <c r="T7" s="573" t="n"/>
      <c r="U7" s="516" t="n"/>
      <c r="V7" s="500" t="n"/>
      <c r="W7" s="519" t="n"/>
      <c r="X7" s="196" t="n"/>
      <c r="Y7" s="281">
        <f>H7-G7+1</f>
        <v/>
      </c>
      <c r="Z7" s="92" t="n"/>
      <c r="AA7" s="206" t="n"/>
      <c r="AB7" s="206" t="n"/>
      <c r="AC7" s="206" t="n"/>
      <c r="AD7" s="206" t="n"/>
      <c r="AE7" s="94" t="n"/>
      <c r="AG7" s="399" t="n"/>
      <c r="AH7" s="500" t="n"/>
      <c r="AI7" s="206" t="n"/>
      <c r="AK7" s="399" t="n"/>
      <c r="AL7" s="500" t="n"/>
      <c r="AM7" s="206" t="n"/>
      <c r="AN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$C$57</f>
        <v/>
      </c>
      <c r="O8" s="516">
        <f>N8-P8-Q8</f>
        <v/>
      </c>
      <c r="P8" s="500">
        <f>$C$11/$C$7-$AI$5-$AI$10-$AI$15-$AI$20</f>
        <v/>
      </c>
      <c r="Q8" s="519">
        <f>$C$12/$C$7-$AI$6-$AI$11-$AI$16-$AI$21</f>
        <v/>
      </c>
      <c r="R8" s="515">
        <f>N8</f>
        <v/>
      </c>
      <c r="S8" s="573" t="n"/>
      <c r="T8" s="573" t="n"/>
      <c r="U8" s="516" t="n"/>
      <c r="V8" s="500" t="n"/>
      <c r="W8" s="519" t="n"/>
      <c r="X8" s="196" t="n"/>
      <c r="Y8" s="281">
        <f>H8-G8+1</f>
        <v/>
      </c>
      <c r="Z8" s="92" t="n"/>
      <c r="AA8" s="206" t="n"/>
      <c r="AB8" s="206" t="n"/>
      <c r="AC8" s="206" t="n"/>
      <c r="AD8" s="206" t="n"/>
      <c r="AE8" s="94" t="n"/>
      <c r="AG8" s="378" t="inlineStr">
        <is>
          <t>월 선납할인(V-)</t>
        </is>
      </c>
      <c r="AH8" s="251" t="n"/>
      <c r="AI8" s="525">
        <f>$C$31/$C$7</f>
        <v/>
      </c>
      <c r="AK8" s="378" t="inlineStr">
        <is>
          <t>월 선납할인(V-)</t>
        </is>
      </c>
      <c r="AL8" s="251" t="n"/>
      <c r="AM8" s="525">
        <f>$C$31/$C$7</f>
        <v/>
      </c>
      <c r="AN8" s="505">
        <f>AM8*1.1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$C$57</f>
        <v/>
      </c>
      <c r="O9" s="516">
        <f>N9-P9-Q9</f>
        <v/>
      </c>
      <c r="P9" s="500">
        <f>$C$11/$C$7-$AI$5-$AI$10-$AI$15-$AI$20</f>
        <v/>
      </c>
      <c r="Q9" s="519">
        <f>$C$12/$C$7-$AI$6-$AI$11-$AI$16-$AI$21</f>
        <v/>
      </c>
      <c r="R9" s="515">
        <f>N9</f>
        <v/>
      </c>
      <c r="S9" s="573" t="n"/>
      <c r="T9" s="573" t="n"/>
      <c r="U9" s="516" t="n"/>
      <c r="V9" s="500" t="n"/>
      <c r="W9" s="519" t="n"/>
      <c r="X9" s="196" t="n"/>
      <c r="Y9" s="281">
        <f>H9-G9+1</f>
        <v/>
      </c>
      <c r="Z9" s="92" t="n"/>
      <c r="AA9" s="206" t="n"/>
      <c r="AB9" s="206" t="n"/>
      <c r="AC9" s="206" t="n"/>
      <c r="AD9" s="206" t="n"/>
      <c r="AE9" s="94" t="n"/>
      <c r="AG9" s="375" t="n"/>
      <c r="AH9" s="506" t="inlineStr">
        <is>
          <t>제품</t>
        </is>
      </c>
      <c r="AI9" s="507">
        <f>AI8-AI10-AI11</f>
        <v/>
      </c>
      <c r="AK9" s="375" t="n"/>
      <c r="AL9" s="506" t="inlineStr">
        <is>
          <t>제품</t>
        </is>
      </c>
      <c r="AM9" s="507">
        <f>AM8-AM10-AM11</f>
        <v/>
      </c>
      <c r="AN9" s="505">
        <f>ROUND(AM9*1.1,)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$C$57</f>
        <v/>
      </c>
      <c r="O10" s="516">
        <f>N10-P10-Q10</f>
        <v/>
      </c>
      <c r="P10" s="500">
        <f>$C$11/$C$7-$AI$5-$AI$10-$AI$15-$AI$20</f>
        <v/>
      </c>
      <c r="Q10" s="519">
        <f>$C$12/$C$7-$AI$6-$AI$11-$AI$16-$AI$21</f>
        <v/>
      </c>
      <c r="R10" s="515">
        <f>N10</f>
        <v/>
      </c>
      <c r="S10" s="573" t="n"/>
      <c r="T10" s="573" t="n"/>
      <c r="U10" s="516" t="n"/>
      <c r="V10" s="500" t="n"/>
      <c r="W10" s="519" t="n"/>
      <c r="X10" s="196" t="n"/>
      <c r="Y10" s="281">
        <f>H10-G10+1</f>
        <v/>
      </c>
      <c r="Z10" s="92" t="n"/>
      <c r="AA10" s="206" t="n"/>
      <c r="AB10" s="206" t="n"/>
      <c r="AC10" s="206" t="n"/>
      <c r="AD10" s="206" t="n"/>
      <c r="AE10" s="94" t="n"/>
      <c r="AG10" s="375" t="n"/>
      <c r="AH10" s="506" t="inlineStr">
        <is>
          <t>케어</t>
        </is>
      </c>
      <c r="AI10" s="507">
        <f>ROUND($AI8*$C$11/$C$14,-2)</f>
        <v/>
      </c>
      <c r="AK10" s="375" t="n"/>
      <c r="AL10" s="506" t="inlineStr">
        <is>
          <t>케어</t>
        </is>
      </c>
      <c r="AM10" s="507">
        <f>ROUND($AM8*$C$11/$C$14,0)</f>
        <v/>
      </c>
      <c r="AN10" s="505">
        <f>ROUND(AM10*1.1,)</f>
        <v/>
      </c>
    </row>
    <row r="11">
      <c r="B11" s="9" t="inlineStr">
        <is>
          <t>케어서비스(v-)</t>
        </is>
      </c>
      <c r="C11" s="526">
        <f>5900*72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$C$57</f>
        <v/>
      </c>
      <c r="O11" s="516">
        <f>N11-P11-Q11</f>
        <v/>
      </c>
      <c r="P11" s="500">
        <f>$C$11/$C$7-$AI$5-$AI$10-$AI$15-$AI$20</f>
        <v/>
      </c>
      <c r="Q11" s="519">
        <f>$C$12/$C$7-$AI$6-$AI$11-$AI$16-$AI$21</f>
        <v/>
      </c>
      <c r="R11" s="515">
        <f>N11</f>
        <v/>
      </c>
      <c r="S11" s="573" t="n"/>
      <c r="T11" s="573" t="n"/>
      <c r="U11" s="516" t="n"/>
      <c r="V11" s="500" t="n"/>
      <c r="W11" s="519" t="n"/>
      <c r="X11" s="196" t="n"/>
      <c r="Y11" s="281">
        <f>H11-G11+1</f>
        <v/>
      </c>
      <c r="Z11" s="92" t="n"/>
      <c r="AA11" s="206" t="n"/>
      <c r="AB11" s="206" t="n"/>
      <c r="AC11" s="206" t="n"/>
      <c r="AD11" s="206" t="n"/>
      <c r="AE11" s="94" t="n"/>
      <c r="AG11" s="376" t="n"/>
      <c r="AH11" s="524" t="inlineStr">
        <is>
          <t>보증</t>
        </is>
      </c>
      <c r="AI11" s="507">
        <f>ROUND($AI8*$C$12/$C$14,-2)</f>
        <v/>
      </c>
      <c r="AK11" s="376" t="n"/>
      <c r="AL11" s="524" t="inlineStr">
        <is>
          <t>보증</t>
        </is>
      </c>
      <c r="AM11" s="507">
        <f>ROUND($AM8*$C$12/$C$14,0)</f>
        <v/>
      </c>
      <c r="AN11" s="505">
        <f>ROUND(AM11*1.1,)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$C$57</f>
        <v/>
      </c>
      <c r="O12" s="516">
        <f>N12-P12-Q12</f>
        <v/>
      </c>
      <c r="P12" s="500">
        <f>$C$11/$C$7-$AI$5-$AI$10-$AI$15-$AI$20</f>
        <v/>
      </c>
      <c r="Q12" s="519">
        <f>$C$12/$C$7-$AI$6-$AI$11-$AI$16-$AI$21</f>
        <v/>
      </c>
      <c r="R12" s="515">
        <f>N12</f>
        <v/>
      </c>
      <c r="S12" s="573" t="n"/>
      <c r="T12" s="573" t="n"/>
      <c r="U12" s="516" t="n"/>
      <c r="V12" s="500" t="n"/>
      <c r="W12" s="519" t="n"/>
      <c r="X12" s="196" t="n"/>
      <c r="Y12" s="281">
        <f>H12-G12+1</f>
        <v/>
      </c>
      <c r="Z12" s="92" t="n"/>
      <c r="AA12" s="206" t="n"/>
      <c r="AB12" s="206" t="n"/>
      <c r="AC12" s="206" t="n"/>
      <c r="AD12" s="206" t="n"/>
      <c r="AE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$C$57</f>
        <v/>
      </c>
      <c r="O13" s="516">
        <f>N13-P13-Q13</f>
        <v/>
      </c>
      <c r="P13" s="500">
        <f>$C$11/$C$7-$AI$5-$AI$10-$AI$15-$AI$20</f>
        <v/>
      </c>
      <c r="Q13" s="519">
        <f>$C$12/$C$7-$AI$6-$AI$11-$AI$16-$AI$21</f>
        <v/>
      </c>
      <c r="R13" s="515">
        <f>N13</f>
        <v/>
      </c>
      <c r="S13" s="573" t="n"/>
      <c r="T13" s="573" t="n"/>
      <c r="U13" s="516" t="n"/>
      <c r="V13" s="500" t="n"/>
      <c r="W13" s="519" t="n"/>
      <c r="X13" s="196" t="n"/>
      <c r="Y13" s="281">
        <f>H13-G13+1</f>
        <v/>
      </c>
      <c r="Z13" s="92" t="n"/>
      <c r="AA13" s="206" t="n"/>
      <c r="AB13" s="206" t="n"/>
      <c r="AC13" s="206" t="n"/>
      <c r="AD13" s="206" t="n"/>
      <c r="AE13" s="94" t="n"/>
      <c r="AG13" s="378" t="inlineStr">
        <is>
          <t>월 단품할인(V-)</t>
        </is>
      </c>
      <c r="AH13" s="251" t="n"/>
      <c r="AI13" s="525">
        <f>$C$41/$C$7</f>
        <v/>
      </c>
      <c r="AK13" s="378" t="inlineStr">
        <is>
          <t>월 선납할인(V-)</t>
        </is>
      </c>
      <c r="AL13" s="251" t="n"/>
      <c r="AM13" s="525">
        <f>$C$41/$C$7</f>
        <v/>
      </c>
      <c r="AN13" s="505">
        <f>AM13*1.1</f>
        <v/>
      </c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$C$57</f>
        <v/>
      </c>
      <c r="O14" s="516">
        <f>N14-P14-Q14</f>
        <v/>
      </c>
      <c r="P14" s="500">
        <f>$C$11/$C$7-$AI$5-$AI$10-$AI$15-$AI$20</f>
        <v/>
      </c>
      <c r="Q14" s="519">
        <f>$C$12/$C$7-$AI$6-$AI$11-$AI$16-$AI$21</f>
        <v/>
      </c>
      <c r="R14" s="515">
        <f>N14</f>
        <v/>
      </c>
      <c r="S14" s="573" t="n"/>
      <c r="T14" s="573" t="n"/>
      <c r="U14" s="516" t="n"/>
      <c r="V14" s="500" t="n"/>
      <c r="W14" s="519" t="n"/>
      <c r="X14" s="196" t="n"/>
      <c r="Y14" s="281">
        <f>H14-G14+1</f>
        <v/>
      </c>
      <c r="Z14" s="92" t="n"/>
      <c r="AA14" s="206" t="n"/>
      <c r="AB14" s="206" t="n"/>
      <c r="AC14" s="206" t="n"/>
      <c r="AD14" s="206" t="n"/>
      <c r="AE14" s="94" t="n"/>
      <c r="AG14" s="375" t="n"/>
      <c r="AH14" s="506" t="inlineStr">
        <is>
          <t>제품</t>
        </is>
      </c>
      <c r="AI14" s="507">
        <f>AI13-AI15-AI16</f>
        <v/>
      </c>
      <c r="AK14" s="375" t="n"/>
      <c r="AL14" s="506" t="inlineStr">
        <is>
          <t>제품</t>
        </is>
      </c>
      <c r="AM14" s="507">
        <f>AM13-AM15-AM16</f>
        <v/>
      </c>
      <c r="AN14" s="505">
        <f>ROUND(AM14*1.1,)</f>
        <v/>
      </c>
    </row>
    <row r="15">
      <c r="B15" s="9" t="inlineStr">
        <is>
          <t>월구독료(v-)</t>
        </is>
      </c>
      <c r="C15" s="526">
        <f>C14/C7</f>
        <v/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$C$57</f>
        <v/>
      </c>
      <c r="O15" s="516">
        <f>N15-P15-Q15</f>
        <v/>
      </c>
      <c r="P15" s="500">
        <f>$C$11/$C$7-$AI$5-$AI$10-$AI$15-$AI$20</f>
        <v/>
      </c>
      <c r="Q15" s="519">
        <f>$C$12/$C$7-$AI$6-$AI$11-$AI$16-$AI$21</f>
        <v/>
      </c>
      <c r="R15" s="515">
        <f>N15</f>
        <v/>
      </c>
      <c r="S15" s="573" t="n"/>
      <c r="T15" s="573" t="n"/>
      <c r="U15" s="516" t="n"/>
      <c r="V15" s="500" t="n"/>
      <c r="W15" s="519" t="n"/>
      <c r="X15" s="196" t="n"/>
      <c r="Y15" s="281">
        <f>H15-G15+1</f>
        <v/>
      </c>
      <c r="Z15" s="92" t="n"/>
      <c r="AA15" s="206" t="n"/>
      <c r="AB15" s="206" t="n"/>
      <c r="AC15" s="206" t="n"/>
      <c r="AD15" s="206" t="n"/>
      <c r="AE15" s="94" t="n"/>
      <c r="AG15" s="375" t="n"/>
      <c r="AH15" s="506" t="inlineStr">
        <is>
          <t>케어</t>
        </is>
      </c>
      <c r="AI15" s="507">
        <f>ROUND($AI13*$C$11/$C$14,-2)</f>
        <v/>
      </c>
      <c r="AK15" s="375" t="n"/>
      <c r="AL15" s="506" t="inlineStr">
        <is>
          <t>케어</t>
        </is>
      </c>
      <c r="AM15" s="507">
        <f>ROUND($AM13*$C$11/$C$14,0)</f>
        <v/>
      </c>
      <c r="AN15" s="505">
        <f>ROUND(AM15*1.1,)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$C$57</f>
        <v/>
      </c>
      <c r="O16" s="516">
        <f>N16-P16-Q16</f>
        <v/>
      </c>
      <c r="P16" s="500">
        <f>$C$11/$C$7-$AI$5-$AI$10-$AI$15-$AI$20</f>
        <v/>
      </c>
      <c r="Q16" s="519">
        <f>$C$12/$C$7-$AI$6-$AI$11-$AI$16-$AI$21</f>
        <v/>
      </c>
      <c r="R16" s="515">
        <f>N16</f>
        <v/>
      </c>
      <c r="S16" s="573" t="n"/>
      <c r="T16" s="573" t="n"/>
      <c r="U16" s="516" t="n"/>
      <c r="V16" s="500" t="n"/>
      <c r="W16" s="519" t="n"/>
      <c r="X16" s="196" t="n"/>
      <c r="Y16" s="281">
        <f>H16-G16+1</f>
        <v/>
      </c>
      <c r="Z16" s="92" t="n"/>
      <c r="AA16" s="206" t="n"/>
      <c r="AB16" s="206" t="n"/>
      <c r="AC16" s="206" t="n"/>
      <c r="AD16" s="206" t="n"/>
      <c r="AE16" s="94" t="n"/>
      <c r="AG16" s="376" t="n"/>
      <c r="AH16" s="524" t="inlineStr">
        <is>
          <t>보증</t>
        </is>
      </c>
      <c r="AI16" s="507">
        <f>ROUND($AI13*$C$12/$C$14,-2)</f>
        <v/>
      </c>
      <c r="AK16" s="376" t="n"/>
      <c r="AL16" s="524" t="inlineStr">
        <is>
          <t>보증</t>
        </is>
      </c>
      <c r="AM16" s="507">
        <f>ROUND($AM13*$C$12/$C$14,0)</f>
        <v/>
      </c>
      <c r="AN16" s="505">
        <f>ROUND(AM16*1.1,)</f>
        <v/>
      </c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$C$57</f>
        <v/>
      </c>
      <c r="O17" s="516">
        <f>N17-P17-Q17</f>
        <v/>
      </c>
      <c r="P17" s="500">
        <f>$C$11/$C$7-$AI$5-$AI$10-$AI$15-$AI$20</f>
        <v/>
      </c>
      <c r="Q17" s="519">
        <f>$C$12/$C$7-$AI$6-$AI$11-$AI$16-$AI$21</f>
        <v/>
      </c>
      <c r="R17" s="515">
        <f>N17</f>
        <v/>
      </c>
      <c r="S17" s="573" t="n"/>
      <c r="T17" s="573" t="n"/>
      <c r="U17" s="516" t="n"/>
      <c r="V17" s="500" t="n"/>
      <c r="W17" s="519" t="n"/>
      <c r="X17" s="196" t="n"/>
      <c r="Y17" s="281">
        <f>H17-G17+1</f>
        <v/>
      </c>
      <c r="Z17" s="92" t="n"/>
      <c r="AA17" s="206" t="n"/>
      <c r="AB17" s="206" t="n"/>
      <c r="AC17" s="206" t="n"/>
      <c r="AD17" s="206" t="n"/>
      <c r="AE17" s="94" t="n"/>
    </row>
    <row r="18" ht="17.45" customHeight="1" s="497">
      <c r="A18" s="176" t="n"/>
      <c r="B18" s="314" t="inlineStr">
        <is>
          <t>선납금 %</t>
        </is>
      </c>
      <c r="C18" s="349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$C$57</f>
        <v/>
      </c>
      <c r="O18" s="516">
        <f>N18-P18-Q18</f>
        <v/>
      </c>
      <c r="P18" s="500">
        <f>$C$11/$C$7-$AI$5-$AI$10-$AI$15-$AI$20</f>
        <v/>
      </c>
      <c r="Q18" s="519">
        <f>$C$12/$C$7-$AI$6-$AI$11-$AI$16-$AI$21</f>
        <v/>
      </c>
      <c r="R18" s="515">
        <f>N18</f>
        <v/>
      </c>
      <c r="S18" s="573" t="n"/>
      <c r="T18" s="573" t="n"/>
      <c r="U18" s="516" t="n"/>
      <c r="V18" s="500" t="n"/>
      <c r="W18" s="519" t="n"/>
      <c r="X18" s="196" t="n"/>
      <c r="Y18" s="281">
        <f>H18-G18+1</f>
        <v/>
      </c>
      <c r="Z18" s="92" t="n"/>
      <c r="AA18" s="206" t="n"/>
      <c r="AB18" s="206" t="n"/>
      <c r="AC18" s="206" t="n"/>
      <c r="AD18" s="206" t="n"/>
      <c r="AE18" s="94" t="n"/>
      <c r="AG18" s="378" t="inlineStr">
        <is>
          <t>월 결합할인(V-)</t>
        </is>
      </c>
      <c r="AH18" s="251" t="n"/>
      <c r="AI18" s="525">
        <f>$C$51/$C$7</f>
        <v/>
      </c>
      <c r="AK18" s="378" t="inlineStr">
        <is>
          <t>월 선납할인(V-)</t>
        </is>
      </c>
      <c r="AL18" s="251" t="n"/>
      <c r="AM18" s="525">
        <f>$C$51/$C$7</f>
        <v/>
      </c>
      <c r="AN18" s="505">
        <f>AM18*1.1</f>
        <v/>
      </c>
    </row>
    <row r="19">
      <c r="A19" s="176" t="n"/>
      <c r="B19" s="9" t="inlineStr">
        <is>
          <t>(계산용) 선납금(V+)</t>
        </is>
      </c>
      <c r="C19" s="506">
        <f>C16*C18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$C$57</f>
        <v/>
      </c>
      <c r="O19" s="516">
        <f>N19-P19-Q19</f>
        <v/>
      </c>
      <c r="P19" s="500">
        <f>$C$11/$C$7-$AI$5-$AI$10-$AI$15-$AI$20</f>
        <v/>
      </c>
      <c r="Q19" s="519">
        <f>$C$12/$C$7-$AI$6-$AI$11-$AI$16-$AI$21</f>
        <v/>
      </c>
      <c r="R19" s="515">
        <f>N19</f>
        <v/>
      </c>
      <c r="S19" s="573" t="n"/>
      <c r="T19" s="573" t="n"/>
      <c r="U19" s="516" t="inlineStr">
        <is>
          <t>* 연체 발생 이후 익월 청구일부터 가산이자 발생</t>
        </is>
      </c>
      <c r="V19" s="500" t="n"/>
      <c r="W19" s="519" t="n"/>
      <c r="X19" s="196" t="n"/>
      <c r="Y19" s="281">
        <f>H19-G19+1</f>
        <v/>
      </c>
      <c r="Z19" s="92" t="n"/>
      <c r="AA19" s="206" t="n"/>
      <c r="AB19" s="206" t="n"/>
      <c r="AC19" s="206" t="n"/>
      <c r="AD19" s="206" t="n"/>
      <c r="AE19" s="94" t="n"/>
      <c r="AG19" s="375" t="n"/>
      <c r="AH19" s="506" t="inlineStr">
        <is>
          <t>제품</t>
        </is>
      </c>
      <c r="AI19" s="507">
        <f>AI18-AI20-AI21</f>
        <v/>
      </c>
      <c r="AK19" s="375" t="n"/>
      <c r="AL19" s="506" t="inlineStr">
        <is>
          <t>제품</t>
        </is>
      </c>
      <c r="AM19" s="507">
        <f>AM18-AM20-AM21</f>
        <v/>
      </c>
      <c r="AN19" s="505">
        <f>ROUND(AM19*1.1,)</f>
        <v/>
      </c>
    </row>
    <row r="20">
      <c r="A20" s="176" t="n"/>
      <c r="B20" s="9" t="inlineStr">
        <is>
          <t>(계산용) 선납금(V-)</t>
        </is>
      </c>
      <c r="C20" s="506">
        <f>+C19/1.1</f>
        <v/>
      </c>
      <c r="F20" s="141" t="inlineStr">
        <is>
          <t>16회차</t>
        </is>
      </c>
      <c r="G20" s="142">
        <f>H19+1</f>
        <v/>
      </c>
      <c r="H20" s="142">
        <f>EOMONTH(G20,0)</f>
        <v/>
      </c>
      <c r="I20" s="143">
        <f>EDATE(I19,1)</f>
        <v/>
      </c>
      <c r="J20" s="720">
        <f>$C$15</f>
        <v/>
      </c>
      <c r="K20" s="721">
        <f>$C$13/$C$7</f>
        <v/>
      </c>
      <c r="L20" s="722">
        <f>$C$11/$C$7</f>
        <v/>
      </c>
      <c r="M20" s="723">
        <f>$C$12/$C$7</f>
        <v/>
      </c>
      <c r="N20" s="720">
        <f>$C$57</f>
        <v/>
      </c>
      <c r="O20" s="721">
        <f>N20-P20-Q20</f>
        <v/>
      </c>
      <c r="P20" s="724">
        <f>$C$11/$C$7-$AI$5-$AI$10-$AI$15-$AI$20</f>
        <v/>
      </c>
      <c r="Q20" s="725">
        <f>$C$12/$C$7-$AI$6-$AI$11-$AI$16-$AI$21</f>
        <v/>
      </c>
      <c r="R20" s="720">
        <f>N20</f>
        <v/>
      </c>
      <c r="S20" s="141" t="inlineStr">
        <is>
          <t>연체</t>
        </is>
      </c>
      <c r="T20" s="726" t="n"/>
      <c r="U20" s="721" t="n"/>
      <c r="V20" s="724" t="n"/>
      <c r="W20" s="725" t="n"/>
      <c r="X20" s="158" t="n"/>
      <c r="Y20" s="159">
        <f>H20-G20+1</f>
        <v/>
      </c>
      <c r="Z20" s="160" t="n"/>
      <c r="AA20" s="724">
        <f>N20</f>
        <v/>
      </c>
      <c r="AB20" s="282" t="n"/>
      <c r="AC20" s="282" t="n"/>
      <c r="AD20" s="282" t="n"/>
      <c r="AE20" s="161" t="n"/>
      <c r="AG20" s="375" t="n"/>
      <c r="AH20" s="506" t="inlineStr">
        <is>
          <t>케어</t>
        </is>
      </c>
      <c r="AI20" s="507">
        <f>ROUND($AI18*$C$11/$C$14,-2)</f>
        <v/>
      </c>
      <c r="AK20" s="375" t="n"/>
      <c r="AL20" s="506" t="inlineStr">
        <is>
          <t>케어</t>
        </is>
      </c>
      <c r="AM20" s="507">
        <f>ROUND($AM18*$C$11/$C$14,0)</f>
        <v/>
      </c>
      <c r="AN20" s="505">
        <f>ROUND(AM20*1.1,)</f>
        <v/>
      </c>
    </row>
    <row r="21">
      <c r="A21" s="176" t="n"/>
      <c r="B21" s="9" t="inlineStr">
        <is>
          <t>(계산용) 월 선납금(V-)</t>
        </is>
      </c>
      <c r="C21" s="506">
        <f>+ROUND(C20/C7,-2)</f>
        <v/>
      </c>
      <c r="F21" s="141" t="inlineStr">
        <is>
          <t>17회차</t>
        </is>
      </c>
      <c r="G21" s="142">
        <f>H20+1</f>
        <v/>
      </c>
      <c r="H21" s="142">
        <f>EOMONTH(G21,0)</f>
        <v/>
      </c>
      <c r="I21" s="143">
        <f>EDATE(I20,1)</f>
        <v/>
      </c>
      <c r="J21" s="720">
        <f>$C$15</f>
        <v/>
      </c>
      <c r="K21" s="721">
        <f>$C$13/$C$7</f>
        <v/>
      </c>
      <c r="L21" s="722">
        <f>$C$11/$C$7</f>
        <v/>
      </c>
      <c r="M21" s="723">
        <f>$C$12/$C$7</f>
        <v/>
      </c>
      <c r="N21" s="720">
        <f>$C$57</f>
        <v/>
      </c>
      <c r="O21" s="721">
        <f>N21-P21-Q21</f>
        <v/>
      </c>
      <c r="P21" s="724">
        <f>$C$11/$C$7-$AI$5-$AI$10-$AI$15-$AI$20</f>
        <v/>
      </c>
      <c r="Q21" s="725">
        <f>$C$12/$C$7-$AI$6-$AI$11-$AI$16-$AI$21</f>
        <v/>
      </c>
      <c r="R21" s="727">
        <f>N21+T21</f>
        <v/>
      </c>
      <c r="S21" s="141" t="inlineStr">
        <is>
          <t>연체</t>
        </is>
      </c>
      <c r="T21" s="726">
        <f>SUM(U21:W21)</f>
        <v/>
      </c>
      <c r="U21" s="728">
        <f>ROUNDDOWN((N20*1.1)*6%*(I21-I20-1)/365,-1)</f>
        <v/>
      </c>
      <c r="V21" s="724" t="n"/>
      <c r="W21" s="725" t="n"/>
      <c r="X21" s="158" t="n"/>
      <c r="Y21" s="159">
        <f>H21-G21+1</f>
        <v/>
      </c>
      <c r="Z21" s="160" t="n"/>
      <c r="AA21" s="724">
        <f>N21</f>
        <v/>
      </c>
      <c r="AB21" s="282" t="n"/>
      <c r="AC21" s="729" t="n"/>
      <c r="AD21" s="729" t="n"/>
      <c r="AE21" s="161" t="n"/>
      <c r="AG21" s="376" t="n"/>
      <c r="AH21" s="524" t="inlineStr">
        <is>
          <t>보증</t>
        </is>
      </c>
      <c r="AI21" s="507">
        <f>ROUND($AI18*$C$12/$C$14,-2)</f>
        <v/>
      </c>
      <c r="AK21" s="376" t="n"/>
      <c r="AL21" s="524" t="inlineStr">
        <is>
          <t>보증</t>
        </is>
      </c>
      <c r="AM21" s="507">
        <f>ROUND($AM18*$C$12/$C$14,0)</f>
        <v/>
      </c>
      <c r="AN21" s="505">
        <f>ROUND(AM21*1.1,)</f>
        <v/>
      </c>
    </row>
    <row r="22">
      <c r="A22" s="176" t="n"/>
      <c r="B22" s="9" t="inlineStr">
        <is>
          <t>(최종) 선납금 (V-)</t>
        </is>
      </c>
      <c r="C22" s="506">
        <f>+C21*C7</f>
        <v/>
      </c>
      <c r="F22" s="141" t="inlineStr">
        <is>
          <t>18회차</t>
        </is>
      </c>
      <c r="G22" s="142">
        <f>H21+1</f>
        <v/>
      </c>
      <c r="H22" s="142">
        <f>EOMONTH(G22,0)</f>
        <v/>
      </c>
      <c r="I22" s="143">
        <f>EDATE(I21,1)</f>
        <v/>
      </c>
      <c r="J22" s="720">
        <f>$C$15</f>
        <v/>
      </c>
      <c r="K22" s="721">
        <f>$C$13/$C$7</f>
        <v/>
      </c>
      <c r="L22" s="722">
        <f>$C$11/$C$7</f>
        <v/>
      </c>
      <c r="M22" s="723">
        <f>$C$12/$C$7</f>
        <v/>
      </c>
      <c r="N22" s="720">
        <f>$C$57</f>
        <v/>
      </c>
      <c r="O22" s="721">
        <f>N22-P22-Q22</f>
        <v/>
      </c>
      <c r="P22" s="724">
        <f>$C$11/$C$7-$AI$5-$AI$10-$AI$15-$AI$20</f>
        <v/>
      </c>
      <c r="Q22" s="725">
        <f>$C$12/$C$7-$AI$6-$AI$11-$AI$16-$AI$21</f>
        <v/>
      </c>
      <c r="R22" s="727">
        <f>N22+T22</f>
        <v/>
      </c>
      <c r="S22" s="141" t="inlineStr">
        <is>
          <t>연체</t>
        </is>
      </c>
      <c r="T22" s="726">
        <f>SUM(U22:W22)</f>
        <v/>
      </c>
      <c r="U22" s="728">
        <f>ROUNDDOWN((N20*1.1)*6%*(I22-I20-1)/365,-1)</f>
        <v/>
      </c>
      <c r="V22" s="729">
        <f>ROUNDDOWN((N21*1.1)*6%*(I22-I21-1)/365,-1)</f>
        <v/>
      </c>
      <c r="W22" s="725" t="n"/>
      <c r="X22" s="158" t="n"/>
      <c r="Y22" s="159">
        <f>H22-G22+1</f>
        <v/>
      </c>
      <c r="Z22" s="160" t="n"/>
      <c r="AA22" s="724">
        <f>N22</f>
        <v/>
      </c>
      <c r="AB22" s="282" t="n"/>
      <c r="AC22" s="729" t="n"/>
      <c r="AD22" s="729" t="n"/>
      <c r="AE22" s="161" t="n"/>
    </row>
    <row r="23">
      <c r="A23" s="176" t="n"/>
      <c r="B23" s="9" t="inlineStr">
        <is>
          <t>(최종) 월 선납금 (V-)</t>
        </is>
      </c>
      <c r="C23" s="506">
        <f>+C22/C7</f>
        <v/>
      </c>
      <c r="F23" s="141" t="inlineStr">
        <is>
          <t>19회차</t>
        </is>
      </c>
      <c r="G23" s="142">
        <f>H22+1</f>
        <v/>
      </c>
      <c r="H23" s="142">
        <f>EOMONTH(G23,0)</f>
        <v/>
      </c>
      <c r="I23" s="143">
        <f>EDATE(I22,1)</f>
        <v/>
      </c>
      <c r="J23" s="720">
        <f>$C$15</f>
        <v/>
      </c>
      <c r="K23" s="721">
        <f>$C$13/$C$7</f>
        <v/>
      </c>
      <c r="L23" s="722">
        <f>$C$11/$C$7</f>
        <v/>
      </c>
      <c r="M23" s="723">
        <f>$C$12/$C$7</f>
        <v/>
      </c>
      <c r="N23" s="720">
        <f>$C$57</f>
        <v/>
      </c>
      <c r="O23" s="721">
        <f>N23-P23-Q23</f>
        <v/>
      </c>
      <c r="P23" s="724">
        <f>$C$11/$C$7-$AI$5-$AI$10-$AI$15-$AI$20</f>
        <v/>
      </c>
      <c r="Q23" s="725">
        <f>$C$12/$C$7-$AI$6-$AI$11-$AI$16-$AI$21</f>
        <v/>
      </c>
      <c r="R23" s="727">
        <f>N23+T23</f>
        <v/>
      </c>
      <c r="S23" s="141" t="inlineStr">
        <is>
          <t>연체</t>
        </is>
      </c>
      <c r="T23" s="726">
        <f>SUM(U23:W23)</f>
        <v/>
      </c>
      <c r="U23" s="728">
        <f>ROUNDDOWN((N20*1.1)*6%*(I23-I20-1)/365,-1)</f>
        <v/>
      </c>
      <c r="V23" s="729">
        <f>ROUNDDOWN((N21*1.1)*6%*(I23-I21-1)/365,-1)</f>
        <v/>
      </c>
      <c r="W23" s="730">
        <f>ROUNDDOWN((N22*1.1)*6%*(I23-I22-1)/365,-1)</f>
        <v/>
      </c>
      <c r="X23" s="158" t="n"/>
      <c r="Y23" s="159">
        <f>H23-G23+1</f>
        <v/>
      </c>
      <c r="Z23" s="160" t="n"/>
      <c r="AA23" s="724">
        <f>N23</f>
        <v/>
      </c>
      <c r="AB23" s="282" t="n"/>
      <c r="AC23" s="729">
        <f>T23</f>
        <v/>
      </c>
      <c r="AD23" s="729" t="n"/>
      <c r="AE23" s="161" t="n"/>
    </row>
    <row r="24">
      <c r="B24" s="9" t="inlineStr">
        <is>
          <t>(최종) 선납금 반영 월 구독료 (V+)</t>
        </is>
      </c>
      <c r="C24" s="506">
        <f>+(C15-C23)*1.1</f>
        <v/>
      </c>
      <c r="D24" s="505">
        <f>C22*1.1=C26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$C$57</f>
        <v/>
      </c>
      <c r="O24" s="516">
        <f>N24-P24-Q24</f>
        <v/>
      </c>
      <c r="P24" s="500">
        <f>$C$11/$C$7-$AI$5-$AI$10-$AI$15-$AI$20</f>
        <v/>
      </c>
      <c r="Q24" s="519">
        <f>$C$12/$C$7-$AI$6-$AI$11-$AI$16-$AI$21</f>
        <v/>
      </c>
      <c r="R24" s="646" t="n"/>
      <c r="S24" s="731" t="n"/>
      <c r="T24" s="573" t="n"/>
      <c r="U24" s="516" t="inlineStr">
        <is>
          <t xml:space="preserve">* CE는 구독료(v-)*1.1을 적용하여 구독료(v+)를 구할 수 있지만 </t>
        </is>
      </c>
      <c r="V24" s="500" t="n"/>
      <c r="W24" s="519" t="n"/>
      <c r="X24" s="162">
        <f>I23+DAY(2)</f>
        <v/>
      </c>
      <c r="Y24" s="222">
        <f>X24-G24</f>
        <v/>
      </c>
      <c r="Z24" s="732">
        <f>ROUNDDOWN(((C16)*(C8-SUM(Y5:Y24))/C8)*20%,-1)</f>
        <v/>
      </c>
      <c r="AA24" s="648">
        <f>SUM(AA20:AA23)+ROUNDDOWN(N24*Y24/DAY(H24),-2)</f>
        <v/>
      </c>
      <c r="AB24" s="648">
        <f>ROUNDDOWN(C41*SUM(Y5:Y24)/C8,-2)+ROUNDDOWN(C51*SUM(Y5:Y24)/C8,-2)+ROUNDDOWN(C31*SUM(Y5:Y24)/C8,-2)</f>
        <v/>
      </c>
      <c r="AC24" s="733">
        <f>AC23</f>
        <v/>
      </c>
      <c r="AD24" s="648">
        <f>-ROUNDUP((C22*(C8-SUM(Y5:Y24))/C8),-2)</f>
        <v/>
      </c>
      <c r="AE24" s="734">
        <f>ROUNDDOWN(100000/1.1*SUM(Y5:Y24)/C8,-2)</f>
        <v/>
      </c>
      <c r="AF24" s="206" t="inlineStr">
        <is>
          <t>* 위약금, 할인회수, 선납잔액 환불, 등록비 청구 기준: 일수비율</t>
        </is>
      </c>
    </row>
    <row r="25">
      <c r="B25" s="9" t="inlineStr">
        <is>
          <t>(최종) 선납금 반영 총 구독료 (V+)</t>
        </is>
      </c>
      <c r="C25" s="506">
        <f>+C24*C7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$C$57</f>
        <v/>
      </c>
      <c r="O25" s="516">
        <f>N25-P25-Q25</f>
        <v/>
      </c>
      <c r="P25" s="500">
        <f>$C$11/$C$7-$AI$5-$AI$10-$AI$15-$AI$20</f>
        <v/>
      </c>
      <c r="Q25" s="519">
        <f>$C$12/$C$7-$AI$6-$AI$11-$AI$16-$AI$21</f>
        <v/>
      </c>
      <c r="R25" s="515" t="n"/>
      <c r="S25" s="573" t="n"/>
      <c r="T25" s="573" t="n"/>
      <c r="U25" s="516" t="inlineStr">
        <is>
          <t>MX는 피과세 파손보험 포함으로 단순*1.1 적용 불가</t>
        </is>
      </c>
      <c r="V25" s="500" t="n"/>
      <c r="W25" s="519" t="n"/>
      <c r="X25" s="196" t="inlineStr">
        <is>
          <t xml:space="preserve">* 4회차 정기청구일+2일 '중지' </t>
        </is>
      </c>
      <c r="Y25" s="196" t="n"/>
      <c r="Z25" s="92" t="n"/>
      <c r="AA25" s="500" t="n"/>
      <c r="AB25" s="206" t="n"/>
      <c r="AC25" s="206" t="n"/>
      <c r="AD25" s="206" t="n"/>
      <c r="AE25" s="94" t="n"/>
    </row>
    <row r="26" ht="17.25" customHeight="1" s="497" thickBot="1">
      <c r="B26" s="9" t="inlineStr">
        <is>
          <t>(최종) 선납금 (V+)</t>
        </is>
      </c>
      <c r="C26" s="506">
        <f>+C16-C25</f>
        <v/>
      </c>
      <c r="D26" s="348" t="inlineStr">
        <is>
          <t>* 정책별 할인율</t>
        </is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$C$57</f>
        <v/>
      </c>
      <c r="O26" s="516">
        <f>N26-P26-Q26</f>
        <v/>
      </c>
      <c r="P26" s="500">
        <f>$C$11/$C$7-$AI$5-$AI$10-$AI$15-$AI$20</f>
        <v/>
      </c>
      <c r="Q26" s="519">
        <f>$C$12/$C$7-$AI$6-$AI$11-$AI$16-$AI$21</f>
        <v/>
      </c>
      <c r="R26" s="515" t="n"/>
      <c r="S26" s="573" t="n"/>
      <c r="T26" s="573" t="n"/>
      <c r="U26" s="516" t="n"/>
      <c r="V26" s="500" t="n"/>
      <c r="W26" s="519" t="n"/>
      <c r="X26" s="196" t="n"/>
      <c r="Y26" s="196" t="n"/>
      <c r="Z26" s="92" t="n"/>
      <c r="AA26" s="500" t="n"/>
      <c r="AB26" s="206" t="n"/>
      <c r="AC26" s="206" t="n"/>
      <c r="AD26" s="206" t="n"/>
      <c r="AE26" s="94" t="n"/>
    </row>
    <row r="27">
      <c r="A27" s="176" t="n"/>
      <c r="B27" s="296" t="inlineStr">
        <is>
          <t>(계산용) 선납 할인금 (V+)</t>
        </is>
      </c>
      <c r="C27" s="528">
        <f>C16*D27</f>
        <v/>
      </c>
      <c r="D27" s="529" t="n">
        <v>0.04</v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$C$57</f>
        <v/>
      </c>
      <c r="O27" s="516">
        <f>N27-P27-Q27</f>
        <v/>
      </c>
      <c r="P27" s="500">
        <f>$C$11/$C$7-$AI$5-$AI$10-$AI$15-$AI$20</f>
        <v/>
      </c>
      <c r="Q27" s="519">
        <f>$C$12/$C$7-$AI$6-$AI$11-$AI$16-$AI$21</f>
        <v/>
      </c>
      <c r="R27" s="515" t="n"/>
      <c r="S27" s="573" t="n"/>
      <c r="T27" s="573" t="n"/>
      <c r="U27" s="516" t="n"/>
      <c r="V27" s="500" t="n"/>
      <c r="W27" s="519" t="n"/>
      <c r="X27" s="196" t="n"/>
      <c r="Y27" s="196" t="n"/>
      <c r="Z27" s="92" t="n"/>
      <c r="AA27" s="206" t="n"/>
      <c r="AB27" s="206" t="n"/>
      <c r="AC27" s="206" t="n"/>
      <c r="AD27" s="206" t="n"/>
      <c r="AE27" s="94" t="n"/>
    </row>
    <row r="28">
      <c r="B28" s="298" t="inlineStr">
        <is>
          <t>(계산용) 선납 할인금 (V-)</t>
        </is>
      </c>
      <c r="C28" s="530">
        <f>+C27/1.1</f>
        <v/>
      </c>
      <c r="D28" s="531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$C$57</f>
        <v/>
      </c>
      <c r="O28" s="516">
        <f>N28-P28-Q28</f>
        <v/>
      </c>
      <c r="P28" s="500">
        <f>$C$11/$C$7-$AI$5-$AI$10-$AI$15-$AI$20</f>
        <v/>
      </c>
      <c r="Q28" s="519">
        <f>$C$12/$C$7-$AI$6-$AI$11-$AI$16-$AI$21</f>
        <v/>
      </c>
      <c r="R28" s="515" t="n"/>
      <c r="S28" s="573" t="n"/>
      <c r="T28" s="573" t="n"/>
      <c r="U28" s="516" t="n"/>
      <c r="V28" s="500" t="n"/>
      <c r="W28" s="519" t="n"/>
      <c r="X28" s="196" t="n"/>
      <c r="Y28" s="196" t="n"/>
      <c r="Z28" s="92" t="n"/>
      <c r="AA28" s="206" t="n"/>
      <c r="AB28" s="206" t="n"/>
      <c r="AC28" s="206" t="n"/>
      <c r="AD28" s="206" t="n"/>
      <c r="AE28" s="94" t="n"/>
    </row>
    <row r="29">
      <c r="B29" s="298" t="inlineStr">
        <is>
          <t>(계산용) 선납 월할인금 (V-)</t>
        </is>
      </c>
      <c r="C29" s="532">
        <f>+ROUNDUP(C28/C7,-2)</f>
        <v/>
      </c>
      <c r="D29" s="531" t="n"/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$C$57</f>
        <v/>
      </c>
      <c r="O29" s="516">
        <f>N29-P29-Q29</f>
        <v/>
      </c>
      <c r="P29" s="500">
        <f>$C$11/$C$7-$AI$5-$AI$10-$AI$15-$AI$20</f>
        <v/>
      </c>
      <c r="Q29" s="519">
        <f>$C$12/$C$7-$AI$6-$AI$11-$AI$16-$AI$21</f>
        <v/>
      </c>
      <c r="R29" s="515" t="n"/>
      <c r="S29" s="573" t="n"/>
      <c r="T29" s="573" t="n"/>
      <c r="U29" s="516" t="n"/>
      <c r="V29" s="500" t="n"/>
      <c r="W29" s="519" t="n"/>
      <c r="X29" s="196" t="n"/>
      <c r="Y29" s="196" t="n"/>
      <c r="Z29" s="92" t="n"/>
      <c r="AA29" s="206" t="n"/>
      <c r="AB29" s="206" t="n"/>
      <c r="AC29" s="206" t="n"/>
      <c r="AD29" s="206" t="n"/>
      <c r="AE29" s="94" t="n"/>
    </row>
    <row r="30" ht="17.25" customHeight="1" s="497" thickBot="1">
      <c r="B30" s="301" t="inlineStr">
        <is>
          <t>(계산용) 선납 월할인금 (V+)</t>
        </is>
      </c>
      <c r="C30" s="533">
        <f>+C29*1.1</f>
        <v/>
      </c>
      <c r="D30" s="534" t="n"/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$C$57</f>
        <v/>
      </c>
      <c r="O30" s="516">
        <f>N30-P30-Q30</f>
        <v/>
      </c>
      <c r="P30" s="500">
        <f>$C$11/$C$7-$AI$5-$AI$10-$AI$15-$AI$20</f>
        <v/>
      </c>
      <c r="Q30" s="519">
        <f>$C$12/$C$7-$AI$6-$AI$11-$AI$16-$AI$21</f>
        <v/>
      </c>
      <c r="R30" s="515" t="n"/>
      <c r="S30" s="573" t="n"/>
      <c r="T30" s="573" t="n"/>
      <c r="U30" s="516" t="n"/>
      <c r="V30" s="500" t="n"/>
      <c r="W30" s="519" t="n"/>
      <c r="X30" s="196" t="n"/>
      <c r="Y30" s="196" t="n"/>
      <c r="Z30" s="92" t="n"/>
      <c r="AA30" s="206" t="n"/>
      <c r="AB30" s="206" t="n"/>
      <c r="AC30" s="206" t="n"/>
      <c r="AD30" s="206" t="n"/>
      <c r="AE30" s="94" t="n"/>
    </row>
    <row r="31">
      <c r="B31" s="265" t="inlineStr">
        <is>
          <t>(최종) 선납 할인금 (V-)</t>
        </is>
      </c>
      <c r="C31" s="506">
        <f>+C29*C7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$C$57</f>
        <v/>
      </c>
      <c r="O31" s="516">
        <f>N31-P31-Q31</f>
        <v/>
      </c>
      <c r="P31" s="500">
        <f>$C$11/$C$7-$AI$5-$AI$10-$AI$15-$AI$20</f>
        <v/>
      </c>
      <c r="Q31" s="519">
        <f>$C$12/$C$7-$AI$6-$AI$11-$AI$16-$AI$21</f>
        <v/>
      </c>
      <c r="R31" s="515" t="n"/>
      <c r="S31" s="573" t="n"/>
      <c r="T31" s="573" t="n"/>
      <c r="U31" s="516" t="n"/>
      <c r="V31" s="500" t="n"/>
      <c r="W31" s="519" t="n"/>
      <c r="X31" s="196" t="n"/>
      <c r="Y31" s="196" t="n"/>
      <c r="Z31" s="92" t="n"/>
      <c r="AA31" s="206" t="n"/>
      <c r="AB31" s="206" t="n"/>
      <c r="AC31" s="206" t="n"/>
      <c r="AD31" s="206" t="n"/>
      <c r="AE31" s="94" t="n"/>
    </row>
    <row r="32" ht="17.25" customHeight="1" s="497" thickBot="1">
      <c r="B32" s="9" t="inlineStr">
        <is>
          <t>(최종) 선납 할인금 (V+)</t>
        </is>
      </c>
      <c r="C32" s="506">
        <f>+C30*C7</f>
        <v/>
      </c>
      <c r="D32" s="535">
        <f>C31*1.1=C32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$C$57</f>
        <v/>
      </c>
      <c r="O32" s="516">
        <f>N32-P32-Q32</f>
        <v/>
      </c>
      <c r="P32" s="500">
        <f>$C$11/$C$7-$AI$5-$AI$10-$AI$15-$AI$20</f>
        <v/>
      </c>
      <c r="Q32" s="519">
        <f>$C$12/$C$7-$AI$6-$AI$11-$AI$16-$AI$21</f>
        <v/>
      </c>
      <c r="R32" s="515" t="n"/>
      <c r="S32" s="573" t="n"/>
      <c r="T32" s="573" t="n"/>
      <c r="U32" s="516" t="n"/>
      <c r="V32" s="500" t="n"/>
      <c r="W32" s="519" t="n"/>
      <c r="X32" s="196" t="n"/>
      <c r="Y32" s="196" t="n"/>
      <c r="Z32" s="92" t="n"/>
      <c r="AA32" s="206" t="n"/>
      <c r="AB32" s="206" t="n"/>
      <c r="AC32" s="206" t="n"/>
      <c r="AD32" s="206" t="n"/>
      <c r="AE32" s="94" t="n"/>
    </row>
    <row r="33">
      <c r="B33" s="293" t="inlineStr">
        <is>
          <t>(최종) 선납금+선납 할인 반영 월 구독료 (V-)</t>
        </is>
      </c>
      <c r="C33" s="536">
        <f>+(C14-C31-C22)/C7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$C$57</f>
        <v/>
      </c>
      <c r="O33" s="516">
        <f>N33-P33-Q33</f>
        <v/>
      </c>
      <c r="P33" s="500">
        <f>$C$11/$C$7-$AI$5-$AI$10-$AI$15-$AI$20</f>
        <v/>
      </c>
      <c r="Q33" s="519">
        <f>$C$12/$C$7-$AI$6-$AI$11-$AI$16-$AI$21</f>
        <v/>
      </c>
      <c r="R33" s="515" t="n"/>
      <c r="S33" s="573" t="n"/>
      <c r="T33" s="573" t="n"/>
      <c r="U33" s="516" t="n"/>
      <c r="V33" s="500" t="n"/>
      <c r="W33" s="519" t="n"/>
      <c r="X33" s="196" t="n"/>
      <c r="Y33" s="196" t="n"/>
      <c r="Z33" s="92" t="n"/>
      <c r="AA33" s="206" t="n"/>
      <c r="AB33" s="206" t="n"/>
      <c r="AC33" s="206" t="n"/>
      <c r="AD33" s="206" t="n"/>
      <c r="AE33" s="94" t="n"/>
    </row>
    <row r="34" ht="17.25" customHeight="1" s="497" thickBot="1">
      <c r="B34" s="294" t="inlineStr">
        <is>
          <t>(최종) 선납금+선납 할인 반영 총 구독료 (V-)</t>
        </is>
      </c>
      <c r="C34" s="537">
        <f>C33*C7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$C$57</f>
        <v/>
      </c>
      <c r="O34" s="516">
        <f>N34-P34-Q34</f>
        <v/>
      </c>
      <c r="P34" s="500">
        <f>$C$11/$C$7-$AI$5-$AI$10-$AI$15-$AI$20</f>
        <v/>
      </c>
      <c r="Q34" s="519">
        <f>$C$12/$C$7-$AI$6-$AI$11-$AI$16-$AI$21</f>
        <v/>
      </c>
      <c r="R34" s="515" t="n"/>
      <c r="S34" s="573" t="n"/>
      <c r="T34" s="573" t="n"/>
      <c r="U34" s="516" t="n"/>
      <c r="V34" s="500" t="n"/>
      <c r="W34" s="519" t="n"/>
      <c r="X34" s="196" t="n"/>
      <c r="Y34" s="196" t="n"/>
      <c r="Z34" s="92" t="n"/>
      <c r="AA34" s="206" t="n"/>
      <c r="AB34" s="206" t="n"/>
      <c r="AC34" s="206" t="n"/>
      <c r="AD34" s="206" t="n"/>
      <c r="AE34" s="94" t="n"/>
    </row>
    <row r="35">
      <c r="B35" s="295" t="inlineStr">
        <is>
          <t>(최종) 선납금+선납 할인 반영 월 구독료 (V+)</t>
        </is>
      </c>
      <c r="C35" s="538">
        <f>+(C16-C22*1.1-C32)/C7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$C$57</f>
        <v/>
      </c>
      <c r="O35" s="516">
        <f>N35-P35-Q35</f>
        <v/>
      </c>
      <c r="P35" s="500">
        <f>$C$11/$C$7-$AI$5-$AI$10-$AI$15-$AI$20</f>
        <v/>
      </c>
      <c r="Q35" s="519">
        <f>$C$12/$C$7-$AI$6-$AI$11-$AI$16-$AI$21</f>
        <v/>
      </c>
      <c r="R35" s="515" t="n"/>
      <c r="S35" s="573" t="n"/>
      <c r="T35" s="573" t="n"/>
      <c r="U35" s="516" t="n"/>
      <c r="V35" s="500" t="n"/>
      <c r="W35" s="519" t="n"/>
      <c r="X35" s="196" t="n"/>
      <c r="Y35" s="196" t="n"/>
      <c r="Z35" s="92" t="n"/>
      <c r="AA35" s="206" t="n"/>
      <c r="AB35" s="206" t="n"/>
      <c r="AC35" s="206" t="n"/>
      <c r="AD35" s="206" t="n"/>
      <c r="AE35" s="94" t="n"/>
    </row>
    <row r="36" ht="17.25" customHeight="1" s="497" thickBot="1">
      <c r="B36" s="294" t="inlineStr">
        <is>
          <t>(최종) 선납금+선납 할인 반영 총 구독료 (V+)</t>
        </is>
      </c>
      <c r="C36" s="537">
        <f>C35*C7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$C$57</f>
        <v/>
      </c>
      <c r="O36" s="516">
        <f>N36-P36-Q36</f>
        <v/>
      </c>
      <c r="P36" s="500">
        <f>$C$11/$C$7-$AI$5-$AI$10-$AI$15-$AI$20</f>
        <v/>
      </c>
      <c r="Q36" s="519">
        <f>$C$12/$C$7-$AI$6-$AI$11-$AI$16-$AI$21</f>
        <v/>
      </c>
      <c r="R36" s="515" t="n"/>
      <c r="S36" s="573" t="n"/>
      <c r="T36" s="573" t="n"/>
      <c r="U36" s="516" t="n"/>
      <c r="V36" s="500" t="n"/>
      <c r="W36" s="519" t="n"/>
      <c r="X36" s="196" t="n"/>
      <c r="Y36" s="196" t="n"/>
      <c r="Z36" s="92" t="n"/>
      <c r="AA36" s="206" t="n"/>
      <c r="AB36" s="206" t="n"/>
      <c r="AC36" s="206" t="n"/>
      <c r="AD36" s="206" t="n"/>
      <c r="AE36" s="94" t="n"/>
    </row>
    <row r="37">
      <c r="B37" s="296" t="inlineStr">
        <is>
          <t>(계산용) 단품 할인금 (V+)</t>
        </is>
      </c>
      <c r="C37" s="528">
        <f>C16*D37</f>
        <v/>
      </c>
      <c r="D37" s="540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$C$57</f>
        <v/>
      </c>
      <c r="O37" s="516">
        <f>N37-P37-Q37</f>
        <v/>
      </c>
      <c r="P37" s="500">
        <f>$C$11/$C$7-$AI$5-$AI$10-$AI$15-$AI$20</f>
        <v/>
      </c>
      <c r="Q37" s="519">
        <f>$C$12/$C$7-$AI$6-$AI$11-$AI$16-$AI$21</f>
        <v/>
      </c>
      <c r="R37" s="515" t="n"/>
      <c r="S37" s="573" t="n"/>
      <c r="T37" s="573" t="n"/>
      <c r="U37" s="516" t="n"/>
      <c r="V37" s="500" t="n"/>
      <c r="W37" s="519" t="n"/>
      <c r="X37" s="196" t="n"/>
      <c r="Y37" s="196" t="n"/>
      <c r="Z37" s="92" t="n"/>
      <c r="AA37" s="206" t="n"/>
      <c r="AB37" s="206" t="n"/>
      <c r="AC37" s="206" t="n"/>
      <c r="AD37" s="206" t="n"/>
      <c r="AE37" s="94" t="n"/>
    </row>
    <row r="38">
      <c r="B38" s="298" t="inlineStr">
        <is>
          <t>(계산용) 단품 할인금 (V-)</t>
        </is>
      </c>
      <c r="C38" s="530">
        <f>+C37/1.1</f>
        <v/>
      </c>
      <c r="D38" s="531" t="n"/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$C$57</f>
        <v/>
      </c>
      <c r="O38" s="516">
        <f>N38-P38-Q38</f>
        <v/>
      </c>
      <c r="P38" s="500">
        <f>$C$11/$C$7-$AI$5-$AI$10-$AI$15-$AI$20</f>
        <v/>
      </c>
      <c r="Q38" s="519">
        <f>$C$12/$C$7-$AI$6-$AI$11-$AI$16-$AI$21</f>
        <v/>
      </c>
      <c r="R38" s="515" t="n"/>
      <c r="S38" s="573" t="n"/>
      <c r="T38" s="573" t="n"/>
      <c r="U38" s="516" t="n"/>
      <c r="V38" s="500" t="n"/>
      <c r="W38" s="519" t="n"/>
      <c r="X38" s="196" t="n"/>
      <c r="Y38" s="196" t="n"/>
      <c r="Z38" s="92" t="n"/>
      <c r="AA38" s="206" t="n"/>
      <c r="AB38" s="206" t="n"/>
      <c r="AC38" s="206" t="n"/>
      <c r="AD38" s="206" t="n"/>
      <c r="AE38" s="94" t="n"/>
    </row>
    <row r="39">
      <c r="B39" s="298" t="inlineStr">
        <is>
          <t>(계산용) 단품 월할인금 (V-)</t>
        </is>
      </c>
      <c r="C39" s="532">
        <f>+ROUNDUP(C38/C7,-2)</f>
        <v/>
      </c>
      <c r="D39" s="531" t="n"/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$C$57</f>
        <v/>
      </c>
      <c r="O39" s="516">
        <f>N39-P39-Q39</f>
        <v/>
      </c>
      <c r="P39" s="500">
        <f>$C$11/$C$7-$AI$5-$AI$10-$AI$15-$AI$20</f>
        <v/>
      </c>
      <c r="Q39" s="519">
        <f>$C$12/$C$7-$AI$6-$AI$11-$AI$16-$AI$21</f>
        <v/>
      </c>
      <c r="R39" s="515" t="n"/>
      <c r="S39" s="573" t="n"/>
      <c r="T39" s="573" t="n"/>
      <c r="U39" s="516" t="n"/>
      <c r="V39" s="500" t="n"/>
      <c r="W39" s="519" t="n"/>
      <c r="X39" s="196" t="n"/>
      <c r="Y39" s="196" t="n"/>
      <c r="Z39" s="92" t="n"/>
      <c r="AA39" s="206" t="n"/>
      <c r="AB39" s="206" t="n"/>
      <c r="AC39" s="206" t="n"/>
      <c r="AD39" s="206" t="n"/>
      <c r="AE39" s="94" t="n"/>
    </row>
    <row r="40" ht="17.25" customHeight="1" s="497" thickBot="1">
      <c r="B40" s="301" t="inlineStr">
        <is>
          <t>(계산용) 단품 월할인금 (V+)</t>
        </is>
      </c>
      <c r="C40" s="533">
        <f>+C39*1.1</f>
        <v/>
      </c>
      <c r="D40" s="541" t="n"/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$C$57</f>
        <v/>
      </c>
      <c r="O40" s="516">
        <f>N40-P40-Q40</f>
        <v/>
      </c>
      <c r="P40" s="500">
        <f>$C$11/$C$7-$AI$5-$AI$10-$AI$15-$AI$20</f>
        <v/>
      </c>
      <c r="Q40" s="519">
        <f>$C$12/$C$7-$AI$6-$AI$11-$AI$16-$AI$21</f>
        <v/>
      </c>
      <c r="R40" s="515" t="n"/>
      <c r="S40" s="573" t="n"/>
      <c r="T40" s="573" t="n"/>
      <c r="U40" s="516" t="n"/>
      <c r="V40" s="500" t="n"/>
      <c r="W40" s="519" t="n"/>
      <c r="X40" s="196" t="n"/>
      <c r="Y40" s="196" t="n"/>
      <c r="Z40" s="92" t="n"/>
      <c r="AA40" s="206" t="n"/>
      <c r="AB40" s="206" t="n"/>
      <c r="AC40" s="206" t="n"/>
      <c r="AD40" s="206" t="n"/>
      <c r="AE40" s="94" t="n"/>
    </row>
    <row r="41">
      <c r="B41" s="265" t="inlineStr">
        <is>
          <t>(최종) 단품 할인금 (V-)</t>
        </is>
      </c>
      <c r="C41" s="506">
        <f>+C39*C7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$C$57</f>
        <v/>
      </c>
      <c r="O41" s="516">
        <f>N41-P41-Q41</f>
        <v/>
      </c>
      <c r="P41" s="500">
        <f>$C$11/$C$7-$AI$5-$AI$10-$AI$15-$AI$20</f>
        <v/>
      </c>
      <c r="Q41" s="519">
        <f>$C$12/$C$7-$AI$6-$AI$11-$AI$16-$AI$21</f>
        <v/>
      </c>
      <c r="R41" s="515" t="n"/>
      <c r="S41" s="573" t="n"/>
      <c r="T41" s="573" t="n"/>
      <c r="U41" s="516" t="n"/>
      <c r="V41" s="500" t="n"/>
      <c r="W41" s="519" t="n"/>
      <c r="X41" s="196" t="n"/>
      <c r="Y41" s="196" t="n"/>
      <c r="Z41" s="92" t="n"/>
      <c r="AA41" s="206" t="n"/>
      <c r="AB41" s="206" t="n"/>
      <c r="AC41" s="206" t="n"/>
      <c r="AD41" s="206" t="n"/>
      <c r="AE41" s="94" t="n"/>
    </row>
    <row r="42" ht="17.25" customHeight="1" s="497" thickBot="1">
      <c r="B42" s="9" t="inlineStr">
        <is>
          <t>(최종) 단품 할인금 (V+)</t>
        </is>
      </c>
      <c r="C42" s="506">
        <f>+C40*C7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$C$57</f>
        <v/>
      </c>
      <c r="O42" s="516">
        <f>N42-P42-Q42</f>
        <v/>
      </c>
      <c r="P42" s="500">
        <f>$C$11/$C$7-$AI$5-$AI$10-$AI$15-$AI$20</f>
        <v/>
      </c>
      <c r="Q42" s="519">
        <f>$C$12/$C$7-$AI$6-$AI$11-$AI$16-$AI$21</f>
        <v/>
      </c>
      <c r="R42" s="515" t="n"/>
      <c r="S42" s="573" t="n"/>
      <c r="T42" s="573" t="n"/>
      <c r="U42" s="516" t="n"/>
      <c r="V42" s="500" t="n"/>
      <c r="W42" s="519" t="n"/>
      <c r="X42" s="196" t="n"/>
      <c r="Y42" s="196" t="n"/>
      <c r="Z42" s="92" t="n"/>
      <c r="AA42" s="206" t="n"/>
      <c r="AB42" s="206" t="n"/>
      <c r="AC42" s="206" t="n"/>
      <c r="AD42" s="206" t="n"/>
      <c r="AE42" s="94" t="n"/>
    </row>
    <row r="43">
      <c r="B43" s="293" t="inlineStr">
        <is>
          <t>(최종) 단품 할인 반영 월 구독료 (V-)</t>
        </is>
      </c>
      <c r="C43" s="536">
        <f>+(C14-C41)/C7</f>
        <v/>
      </c>
      <c r="D43" s="343">
        <f>+C15-C39=C43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$C$57</f>
        <v/>
      </c>
      <c r="O43" s="516">
        <f>N43-P43-Q43</f>
        <v/>
      </c>
      <c r="P43" s="500">
        <f>$C$11/$C$7-$AI$5-$AI$10-$AI$15-$AI$20</f>
        <v/>
      </c>
      <c r="Q43" s="519">
        <f>$C$12/$C$7-$AI$6-$AI$11-$AI$16-$AI$21</f>
        <v/>
      </c>
      <c r="R43" s="515" t="n"/>
      <c r="S43" s="573" t="n"/>
      <c r="T43" s="573" t="n"/>
      <c r="U43" s="516" t="n"/>
      <c r="V43" s="500" t="n"/>
      <c r="W43" s="519" t="n"/>
      <c r="X43" s="196" t="n"/>
      <c r="Y43" s="196" t="n"/>
      <c r="Z43" s="92" t="n"/>
      <c r="AA43" s="206" t="n"/>
      <c r="AB43" s="206" t="n"/>
      <c r="AC43" s="206" t="n"/>
      <c r="AD43" s="206" t="n"/>
      <c r="AE43" s="94" t="n"/>
    </row>
    <row r="44" ht="17.25" customHeight="1" s="497" thickBot="1">
      <c r="B44" s="294" t="inlineStr">
        <is>
          <t>(최종) 단품 할인 반영 총 구독료 (V-)</t>
        </is>
      </c>
      <c r="C44" s="537">
        <f>C43*C7</f>
        <v/>
      </c>
      <c r="D44" s="343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$C$57</f>
        <v/>
      </c>
      <c r="O44" s="516">
        <f>N44-P44-Q44</f>
        <v/>
      </c>
      <c r="P44" s="500">
        <f>$C$11/$C$7-$AI$5-$AI$10-$AI$15-$AI$20</f>
        <v/>
      </c>
      <c r="Q44" s="519">
        <f>$C$12/$C$7-$AI$6-$AI$11-$AI$16-$AI$21</f>
        <v/>
      </c>
      <c r="R44" s="515" t="n"/>
      <c r="S44" s="573" t="n"/>
      <c r="T44" s="573" t="n"/>
      <c r="U44" s="516" t="n"/>
      <c r="V44" s="500" t="n"/>
      <c r="W44" s="519" t="n"/>
      <c r="X44" s="196" t="n"/>
      <c r="Y44" s="196" t="n"/>
      <c r="Z44" s="92" t="n"/>
      <c r="AA44" s="206" t="n"/>
      <c r="AB44" s="206" t="n"/>
      <c r="AC44" s="206" t="n"/>
      <c r="AD44" s="206" t="n"/>
      <c r="AE44" s="94" t="n"/>
    </row>
    <row r="45">
      <c r="B45" s="295" t="inlineStr">
        <is>
          <t>(최종) 단품 할인 반영 월 구독료 (V+)</t>
        </is>
      </c>
      <c r="C45" s="538">
        <f>+C43*1.1</f>
        <v/>
      </c>
      <c r="D45" s="343">
        <f>+C15*1.1-C40=C45</f>
        <v/>
      </c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$C$57</f>
        <v/>
      </c>
      <c r="O45" s="516">
        <f>N45-P45-Q45</f>
        <v/>
      </c>
      <c r="P45" s="500">
        <f>$C$11/$C$7-$AI$5-$AI$10-$AI$15-$AI$20</f>
        <v/>
      </c>
      <c r="Q45" s="519">
        <f>$C$12/$C$7-$AI$6-$AI$11-$AI$16-$AI$21</f>
        <v/>
      </c>
      <c r="R45" s="515" t="n"/>
      <c r="S45" s="573" t="n"/>
      <c r="T45" s="573" t="n"/>
      <c r="U45" s="516" t="n"/>
      <c r="V45" s="500" t="n"/>
      <c r="W45" s="519" t="n"/>
      <c r="X45" s="196" t="n"/>
      <c r="Y45" s="196" t="n"/>
      <c r="Z45" s="92" t="n"/>
      <c r="AA45" s="206" t="n"/>
      <c r="AB45" s="206" t="n"/>
      <c r="AC45" s="206" t="n"/>
      <c r="AD45" s="206" t="n"/>
      <c r="AE45" s="94" t="n"/>
    </row>
    <row r="46" ht="17.25" customHeight="1" s="497" thickBot="1">
      <c r="B46" s="294" t="inlineStr">
        <is>
          <t>(최종) 단품 할인 반영 총 구독료 (V+)</t>
        </is>
      </c>
      <c r="C46" s="537">
        <f>+C45*C7</f>
        <v/>
      </c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$C$57</f>
        <v/>
      </c>
      <c r="O46" s="516">
        <f>N46-P46-Q46</f>
        <v/>
      </c>
      <c r="P46" s="500">
        <f>$C$11/$C$7-$AI$5-$AI$10-$AI$15-$AI$20</f>
        <v/>
      </c>
      <c r="Q46" s="519">
        <f>$C$12/$C$7-$AI$6-$AI$11-$AI$16-$AI$21</f>
        <v/>
      </c>
      <c r="R46" s="515" t="n"/>
      <c r="S46" s="573" t="n"/>
      <c r="T46" s="573" t="n"/>
      <c r="U46" s="516" t="n"/>
      <c r="V46" s="500" t="n"/>
      <c r="W46" s="519" t="n"/>
      <c r="X46" s="196" t="n"/>
      <c r="Y46" s="196" t="n"/>
      <c r="Z46" s="92" t="n"/>
      <c r="AA46" s="206" t="n"/>
      <c r="AB46" s="206" t="n"/>
      <c r="AC46" s="206" t="n"/>
      <c r="AD46" s="206" t="n"/>
      <c r="AE46" s="94" t="n"/>
    </row>
    <row r="47">
      <c r="B47" s="296" t="inlineStr">
        <is>
          <t>(계산용) 결합 할인금 (V+)</t>
        </is>
      </c>
      <c r="C47" s="528">
        <f>C16*D47</f>
        <v/>
      </c>
      <c r="D47" s="540" t="n">
        <v>0.05</v>
      </c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$C$57</f>
        <v/>
      </c>
      <c r="O47" s="516">
        <f>N47-P47-Q47</f>
        <v/>
      </c>
      <c r="P47" s="500">
        <f>$C$11/$C$7-$AI$5-$AI$10-$AI$15-$AI$20</f>
        <v/>
      </c>
      <c r="Q47" s="519">
        <f>$C$12/$C$7-$AI$6-$AI$11-$AI$16-$AI$21</f>
        <v/>
      </c>
      <c r="R47" s="515" t="n"/>
      <c r="S47" s="573" t="n"/>
      <c r="T47" s="573" t="n"/>
      <c r="U47" s="516" t="n"/>
      <c r="V47" s="500" t="n"/>
      <c r="W47" s="519" t="n"/>
      <c r="X47" s="196" t="n"/>
      <c r="Y47" s="196" t="n"/>
      <c r="Z47" s="92" t="n"/>
      <c r="AA47" s="206" t="n"/>
      <c r="AB47" s="206" t="n"/>
      <c r="AC47" s="206" t="n"/>
      <c r="AD47" s="206" t="n"/>
      <c r="AE47" s="94" t="n"/>
    </row>
    <row r="48">
      <c r="B48" s="298" t="inlineStr">
        <is>
          <t>(계산용) 결합 할인금 (V-)</t>
        </is>
      </c>
      <c r="C48" s="530">
        <f>+C47/1.1</f>
        <v/>
      </c>
      <c r="D48" s="531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$C$57</f>
        <v/>
      </c>
      <c r="O48" s="516">
        <f>N48-P48-Q48</f>
        <v/>
      </c>
      <c r="P48" s="500">
        <f>$C$11/$C$7-$AI$5-$AI$10-$AI$15-$AI$20</f>
        <v/>
      </c>
      <c r="Q48" s="519">
        <f>$C$12/$C$7-$AI$6-$AI$11-$AI$16-$AI$21</f>
        <v/>
      </c>
      <c r="R48" s="515" t="n"/>
      <c r="S48" s="573" t="n"/>
      <c r="T48" s="573" t="n"/>
      <c r="U48" s="516" t="n"/>
      <c r="V48" s="500" t="n"/>
      <c r="W48" s="519" t="n"/>
      <c r="X48" s="196" t="n"/>
      <c r="Y48" s="196" t="n"/>
      <c r="Z48" s="92" t="n"/>
      <c r="AA48" s="206" t="n"/>
      <c r="AB48" s="206" t="n"/>
      <c r="AC48" s="206" t="n"/>
      <c r="AD48" s="206" t="n"/>
      <c r="AE48" s="94" t="n"/>
    </row>
    <row r="49">
      <c r="B49" s="298" t="inlineStr">
        <is>
          <t>(계산용) 결합 월할인금 (V-)</t>
        </is>
      </c>
      <c r="C49" s="532">
        <f>+ROUNDUP(C48/C7,-2)</f>
        <v/>
      </c>
      <c r="D49" s="531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$C$57</f>
        <v/>
      </c>
      <c r="O49" s="516">
        <f>N49-P49-Q49</f>
        <v/>
      </c>
      <c r="P49" s="500">
        <f>$C$11/$C$7-$AI$5-$AI$10-$AI$15-$AI$20</f>
        <v/>
      </c>
      <c r="Q49" s="519">
        <f>$C$12/$C$7-$AI$6-$AI$11-$AI$16-$AI$21</f>
        <v/>
      </c>
      <c r="R49" s="515" t="n"/>
      <c r="S49" s="573" t="n"/>
      <c r="T49" s="573" t="n"/>
      <c r="U49" s="516" t="n"/>
      <c r="V49" s="500" t="n"/>
      <c r="W49" s="519" t="n"/>
      <c r="X49" s="196" t="n"/>
      <c r="Y49" s="196" t="n"/>
      <c r="Z49" s="92" t="n"/>
      <c r="AA49" s="206" t="n"/>
      <c r="AB49" s="206" t="n"/>
      <c r="AC49" s="206" t="n"/>
      <c r="AD49" s="206" t="n"/>
      <c r="AE49" s="94" t="n"/>
    </row>
    <row r="50" ht="17.25" customHeight="1" s="497" thickBot="1">
      <c r="B50" s="301" t="inlineStr">
        <is>
          <t>(계산용) 결합 월할인금 (V+)</t>
        </is>
      </c>
      <c r="C50" s="533">
        <f>+C49*1.1</f>
        <v/>
      </c>
      <c r="D50" s="541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$C$57</f>
        <v/>
      </c>
      <c r="O50" s="516">
        <f>N50-P50-Q50</f>
        <v/>
      </c>
      <c r="P50" s="500">
        <f>$C$11/$C$7-$AI$5-$AI$10-$AI$15-$AI$20</f>
        <v/>
      </c>
      <c r="Q50" s="519">
        <f>$C$12/$C$7-$AI$6-$AI$11-$AI$16-$AI$21</f>
        <v/>
      </c>
      <c r="R50" s="515" t="n"/>
      <c r="S50" s="573" t="n"/>
      <c r="T50" s="573" t="n"/>
      <c r="U50" s="516" t="n"/>
      <c r="V50" s="500" t="n"/>
      <c r="W50" s="519" t="n"/>
      <c r="X50" s="196" t="n"/>
      <c r="Y50" s="196" t="n"/>
      <c r="Z50" s="92" t="n"/>
      <c r="AA50" s="206" t="n"/>
      <c r="AB50" s="206" t="n"/>
      <c r="AC50" s="206" t="n"/>
      <c r="AD50" s="206" t="n"/>
      <c r="AE50" s="94" t="n"/>
    </row>
    <row r="51">
      <c r="B51" s="265" t="inlineStr">
        <is>
          <t>(최종) 결합 할인금 (V-)</t>
        </is>
      </c>
      <c r="C51" s="506">
        <f>+C49*C7</f>
        <v/>
      </c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$C$57</f>
        <v/>
      </c>
      <c r="O51" s="516">
        <f>N51-P51-Q51</f>
        <v/>
      </c>
      <c r="P51" s="500">
        <f>$C$11/$C$7-$AI$5-$AI$10-$AI$15-$AI$20</f>
        <v/>
      </c>
      <c r="Q51" s="519">
        <f>$C$12/$C$7-$AI$6-$AI$11-$AI$16-$AI$21</f>
        <v/>
      </c>
      <c r="R51" s="515" t="n"/>
      <c r="S51" s="573" t="n"/>
      <c r="T51" s="573" t="n"/>
      <c r="U51" s="516" t="n"/>
      <c r="V51" s="500" t="n"/>
      <c r="W51" s="519" t="n"/>
      <c r="X51" s="196" t="n"/>
      <c r="Y51" s="196" t="n"/>
      <c r="Z51" s="92" t="n"/>
      <c r="AA51" s="206" t="n"/>
      <c r="AB51" s="206" t="n"/>
      <c r="AC51" s="206" t="n"/>
      <c r="AD51" s="206" t="n"/>
      <c r="AE51" s="94" t="n"/>
    </row>
    <row r="52" ht="17.25" customHeight="1" s="497" thickBot="1">
      <c r="B52" s="9" t="inlineStr">
        <is>
          <t>(최종) 결합 할인금 (V+)</t>
        </is>
      </c>
      <c r="C52" s="506">
        <f>+C50*C7</f>
        <v/>
      </c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$C$57</f>
        <v/>
      </c>
      <c r="O52" s="516">
        <f>N52-P52-Q52</f>
        <v/>
      </c>
      <c r="P52" s="500">
        <f>$C$11/$C$7-$AI$5-$AI$10-$AI$15-$AI$20</f>
        <v/>
      </c>
      <c r="Q52" s="519">
        <f>$C$12/$C$7-$AI$6-$AI$11-$AI$16-$AI$21</f>
        <v/>
      </c>
      <c r="R52" s="515" t="n"/>
      <c r="S52" s="573" t="n"/>
      <c r="T52" s="573" t="n"/>
      <c r="U52" s="516" t="n"/>
      <c r="V52" s="500" t="n"/>
      <c r="W52" s="519" t="n"/>
      <c r="X52" s="196" t="n"/>
      <c r="Y52" s="196" t="n"/>
      <c r="Z52" s="92" t="n"/>
      <c r="AA52" s="206" t="n"/>
      <c r="AB52" s="206" t="n"/>
      <c r="AC52" s="206" t="n"/>
      <c r="AD52" s="206" t="n"/>
      <c r="AE52" s="94" t="n"/>
    </row>
    <row r="53">
      <c r="B53" s="293" t="inlineStr">
        <is>
          <t>(최종) 결합 할인 반영 월 구독료 (V-)</t>
        </is>
      </c>
      <c r="C53" s="536">
        <f>+(C14-C51)/C7</f>
        <v/>
      </c>
      <c r="D53" s="343">
        <f>+C15-C49=C53</f>
        <v/>
      </c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$C$57</f>
        <v/>
      </c>
      <c r="O53" s="516">
        <f>N53-P53-Q53</f>
        <v/>
      </c>
      <c r="P53" s="500">
        <f>$C$11/$C$7-$AI$5-$AI$10-$AI$15-$AI$20</f>
        <v/>
      </c>
      <c r="Q53" s="519">
        <f>$C$12/$C$7-$AI$6-$AI$11-$AI$16-$AI$21</f>
        <v/>
      </c>
      <c r="R53" s="515" t="n"/>
      <c r="S53" s="573" t="n"/>
      <c r="T53" s="573" t="n"/>
      <c r="U53" s="516" t="n"/>
      <c r="V53" s="500" t="n"/>
      <c r="W53" s="519" t="n"/>
      <c r="X53" s="196" t="n"/>
      <c r="Y53" s="196" t="n"/>
      <c r="Z53" s="92" t="n"/>
      <c r="AA53" s="206" t="n"/>
      <c r="AB53" s="206" t="n"/>
      <c r="AC53" s="206" t="n"/>
      <c r="AD53" s="206" t="n"/>
      <c r="AE53" s="94" t="n"/>
    </row>
    <row r="54" ht="17.25" customHeight="1" s="497" thickBot="1">
      <c r="B54" s="294" t="inlineStr">
        <is>
          <t>(최종) 결합 할인 반영 총 구독료 (V-)</t>
        </is>
      </c>
      <c r="C54" s="537">
        <f>C53*C7</f>
        <v/>
      </c>
      <c r="D54" s="343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$C$57</f>
        <v/>
      </c>
      <c r="O54" s="516">
        <f>N54-P54-Q54</f>
        <v/>
      </c>
      <c r="P54" s="500">
        <f>$C$11/$C$7-$AI$5-$AI$10-$AI$15-$AI$20</f>
        <v/>
      </c>
      <c r="Q54" s="519">
        <f>$C$12/$C$7-$AI$6-$AI$11-$AI$16-$AI$21</f>
        <v/>
      </c>
      <c r="R54" s="515" t="n"/>
      <c r="S54" s="573" t="n"/>
      <c r="T54" s="573" t="n"/>
      <c r="U54" s="516" t="n"/>
      <c r="V54" s="500" t="n"/>
      <c r="W54" s="519" t="n"/>
      <c r="X54" s="196" t="n"/>
      <c r="Y54" s="196" t="n"/>
      <c r="Z54" s="92" t="n"/>
      <c r="AA54" s="206" t="n"/>
      <c r="AB54" s="206" t="n"/>
      <c r="AC54" s="206" t="n"/>
      <c r="AD54" s="206" t="n"/>
      <c r="AE54" s="94" t="n"/>
    </row>
    <row r="55">
      <c r="B55" s="295" t="inlineStr">
        <is>
          <t>(최종) 결합 할인 반영 월 구독료 (V+)</t>
        </is>
      </c>
      <c r="C55" s="538">
        <f>+C53*1.1</f>
        <v/>
      </c>
      <c r="D55" s="343">
        <f>+C15*1.1-C50=C55</f>
        <v/>
      </c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$C$57</f>
        <v/>
      </c>
      <c r="O55" s="516">
        <f>N55-P55-Q55</f>
        <v/>
      </c>
      <c r="P55" s="500">
        <f>$C$11/$C$7-$AI$5-$AI$10-$AI$15-$AI$20</f>
        <v/>
      </c>
      <c r="Q55" s="519">
        <f>$C$12/$C$7-$AI$6-$AI$11-$AI$16-$AI$21</f>
        <v/>
      </c>
      <c r="R55" s="515" t="n"/>
      <c r="S55" s="573" t="n"/>
      <c r="T55" s="573" t="n"/>
      <c r="U55" s="516" t="n"/>
      <c r="V55" s="500" t="n"/>
      <c r="W55" s="519" t="n"/>
      <c r="X55" s="196" t="n"/>
      <c r="Y55" s="196" t="n"/>
      <c r="Z55" s="92" t="n"/>
      <c r="AA55" s="206" t="n"/>
      <c r="AB55" s="206" t="n"/>
      <c r="AC55" s="206" t="n"/>
      <c r="AD55" s="206" t="n"/>
      <c r="AE55" s="94" t="n"/>
    </row>
    <row r="56" ht="17.25" customHeight="1" s="497" thickBot="1">
      <c r="B56" s="294" t="inlineStr">
        <is>
          <t>(최종) 결합 할인 반영 총 구독료 (V+)</t>
        </is>
      </c>
      <c r="C56" s="537">
        <f>+C55*C7</f>
        <v/>
      </c>
      <c r="D56" s="343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$C$57</f>
        <v/>
      </c>
      <c r="O56" s="516">
        <f>N56-P56-Q56</f>
        <v/>
      </c>
      <c r="P56" s="500">
        <f>$C$11/$C$7-$AI$5-$AI$10-$AI$15-$AI$20</f>
        <v/>
      </c>
      <c r="Q56" s="519">
        <f>$C$12/$C$7-$AI$6-$AI$11-$AI$16-$AI$21</f>
        <v/>
      </c>
      <c r="R56" s="515" t="n"/>
      <c r="S56" s="573" t="n"/>
      <c r="T56" s="573" t="n"/>
      <c r="U56" s="516" t="n"/>
      <c r="V56" s="500" t="n"/>
      <c r="W56" s="519" t="n"/>
      <c r="X56" s="196" t="n"/>
      <c r="Y56" s="196" t="n"/>
      <c r="Z56" s="92" t="n"/>
      <c r="AA56" s="206" t="n"/>
      <c r="AB56" s="206" t="n"/>
      <c r="AC56" s="206" t="n"/>
      <c r="AD56" s="206" t="n"/>
      <c r="AE56" s="94" t="n"/>
    </row>
    <row r="57">
      <c r="B57" s="320" t="inlineStr">
        <is>
          <t>(최종) 선납+단품+결합 할인 반영 월 구독료 (V-)</t>
        </is>
      </c>
      <c r="C57" s="542">
        <f>+(C14-C26/1.1-C41-C31-C51)/C7</f>
        <v/>
      </c>
      <c r="D57" s="543">
        <f>+C15-C39-C29-C26/1.1/C7-C49=C57</f>
        <v/>
      </c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$C$57</f>
        <v/>
      </c>
      <c r="O57" s="516">
        <f>N57-P57-Q57</f>
        <v/>
      </c>
      <c r="P57" s="500">
        <f>$C$11/$C$7-$AI$5-$AI$10-$AI$15-$AI$20</f>
        <v/>
      </c>
      <c r="Q57" s="519">
        <f>$C$12/$C$7-$AI$6-$AI$11-$AI$16-$AI$21</f>
        <v/>
      </c>
      <c r="R57" s="515" t="n"/>
      <c r="S57" s="573" t="n"/>
      <c r="T57" s="573" t="n"/>
      <c r="U57" s="516" t="n"/>
      <c r="V57" s="500" t="n"/>
      <c r="W57" s="519" t="n"/>
      <c r="X57" s="196" t="n"/>
      <c r="Y57" s="196" t="n"/>
      <c r="Z57" s="92" t="n"/>
      <c r="AA57" s="206" t="n"/>
      <c r="AB57" s="206" t="n"/>
      <c r="AC57" s="206" t="n"/>
      <c r="AD57" s="206" t="n"/>
      <c r="AE57" s="94" t="n"/>
    </row>
    <row r="58" ht="17.25" customHeight="1" s="497" thickBot="1">
      <c r="B58" s="322" t="inlineStr">
        <is>
          <t>(최종) 선납+단품+결합 할인 반영 총 구독료 (V-)</t>
        </is>
      </c>
      <c r="C58" s="544">
        <f>+C57*C7</f>
        <v/>
      </c>
      <c r="D58" s="343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$C$57</f>
        <v/>
      </c>
      <c r="O58" s="516">
        <f>N58-P58-Q58</f>
        <v/>
      </c>
      <c r="P58" s="500">
        <f>$C$11/$C$7-$AI$5-$AI$10-$AI$15-$AI$20</f>
        <v/>
      </c>
      <c r="Q58" s="519">
        <f>$C$12/$C$7-$AI$6-$AI$11-$AI$16-$AI$21</f>
        <v/>
      </c>
      <c r="R58" s="515" t="n"/>
      <c r="S58" s="573" t="n"/>
      <c r="T58" s="573" t="n"/>
      <c r="U58" s="516" t="n"/>
      <c r="V58" s="500" t="n"/>
      <c r="W58" s="519" t="n"/>
      <c r="X58" s="196" t="n"/>
      <c r="Y58" s="196" t="n"/>
      <c r="Z58" s="92" t="n"/>
      <c r="AA58" s="206" t="n"/>
      <c r="AB58" s="206" t="n"/>
      <c r="AC58" s="206" t="n"/>
      <c r="AD58" s="206" t="n"/>
      <c r="AE58" s="94" t="n"/>
    </row>
    <row r="59">
      <c r="B59" s="324" t="inlineStr">
        <is>
          <t>(최종) 선납+단품+결합 할인 반영 월 구독료 (V+)</t>
        </is>
      </c>
      <c r="C59" s="545">
        <f>+C57*1.1</f>
        <v/>
      </c>
      <c r="D59" s="343">
        <f>+C15*1.1-C30-C40-C26/C7-C50=C59</f>
        <v/>
      </c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$C$57</f>
        <v/>
      </c>
      <c r="O59" s="516">
        <f>N59-P59-Q59</f>
        <v/>
      </c>
      <c r="P59" s="500">
        <f>$C$11/$C$7-$AI$5-$AI$10-$AI$15-$AI$20</f>
        <v/>
      </c>
      <c r="Q59" s="519">
        <f>$C$12/$C$7-$AI$6-$AI$11-$AI$16-$AI$21</f>
        <v/>
      </c>
      <c r="R59" s="515" t="n"/>
      <c r="S59" s="573" t="n"/>
      <c r="T59" s="573" t="n"/>
      <c r="U59" s="516" t="n"/>
      <c r="V59" s="500" t="n"/>
      <c r="W59" s="519" t="n"/>
      <c r="X59" s="196" t="n"/>
      <c r="Y59" s="196" t="n"/>
      <c r="Z59" s="92" t="n"/>
      <c r="AA59" s="206" t="n"/>
      <c r="AB59" s="206" t="n"/>
      <c r="AC59" s="206" t="n"/>
      <c r="AD59" s="206" t="n"/>
      <c r="AE59" s="94" t="n"/>
    </row>
    <row r="60" ht="17.25" customHeight="1" s="497" thickBot="1">
      <c r="B60" s="322" t="inlineStr">
        <is>
          <t>(최종) 선납+단품+결합 할인 반영 총 구독료 (V+)</t>
        </is>
      </c>
      <c r="C60" s="544">
        <f>+C59*C7</f>
        <v/>
      </c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$C$57</f>
        <v/>
      </c>
      <c r="O60" s="516">
        <f>N60-P60-Q60</f>
        <v/>
      </c>
      <c r="P60" s="500">
        <f>$C$11/$C$7-$AI$5-$AI$10-$AI$15-$AI$20</f>
        <v/>
      </c>
      <c r="Q60" s="519">
        <f>$C$12/$C$7-$AI$6-$AI$11-$AI$16-$AI$21</f>
        <v/>
      </c>
      <c r="R60" s="515" t="n"/>
      <c r="S60" s="573" t="n"/>
      <c r="T60" s="573" t="n"/>
      <c r="U60" s="516" t="n"/>
      <c r="V60" s="500" t="n"/>
      <c r="W60" s="519" t="n"/>
      <c r="X60" s="196" t="n"/>
      <c r="Y60" s="196" t="n"/>
      <c r="Z60" s="92" t="n"/>
      <c r="AA60" s="206" t="n"/>
      <c r="AB60" s="206" t="n"/>
      <c r="AC60" s="206" t="n"/>
      <c r="AD60" s="206" t="n"/>
      <c r="AE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$C$57</f>
        <v/>
      </c>
      <c r="O61" s="516">
        <f>N61-P61-Q61</f>
        <v/>
      </c>
      <c r="P61" s="500">
        <f>$C$11/$C$7-$AI$5-$AI$10-$AI$15-$AI$20</f>
        <v/>
      </c>
      <c r="Q61" s="519">
        <f>$C$12/$C$7-$AI$6-$AI$11-$AI$16-$AI$21</f>
        <v/>
      </c>
      <c r="R61" s="515" t="n"/>
      <c r="S61" s="573" t="n"/>
      <c r="T61" s="573" t="n"/>
      <c r="U61" s="516" t="n"/>
      <c r="V61" s="500" t="n"/>
      <c r="W61" s="519" t="n"/>
      <c r="X61" s="196" t="n"/>
      <c r="Y61" s="196" t="n"/>
      <c r="Z61" s="92" t="n"/>
      <c r="AA61" s="206" t="n"/>
      <c r="AB61" s="206" t="n"/>
      <c r="AC61" s="206" t="n"/>
      <c r="AD61" s="206" t="n"/>
      <c r="AE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$C$57</f>
        <v/>
      </c>
      <c r="O62" s="516">
        <f>N62-P62-Q62</f>
        <v/>
      </c>
      <c r="P62" s="500">
        <f>$C$11/$C$7-$AI$5-$AI$10-$AI$15-$AI$20</f>
        <v/>
      </c>
      <c r="Q62" s="519">
        <f>$C$12/$C$7-$AI$6-$AI$11-$AI$16-$AI$21</f>
        <v/>
      </c>
      <c r="R62" s="515" t="n"/>
      <c r="S62" s="573" t="n"/>
      <c r="T62" s="573" t="n"/>
      <c r="U62" s="516" t="n"/>
      <c r="V62" s="500" t="n"/>
      <c r="W62" s="519" t="n"/>
      <c r="X62" s="196" t="n"/>
      <c r="Y62" s="196" t="n"/>
      <c r="Z62" s="92" t="n"/>
      <c r="AA62" s="206" t="n"/>
      <c r="AB62" s="206" t="n"/>
      <c r="AC62" s="206" t="n"/>
      <c r="AD62" s="206" t="n"/>
      <c r="AE62" s="94" t="n"/>
    </row>
    <row r="63">
      <c r="C63" s="505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$C$57</f>
        <v/>
      </c>
      <c r="O63" s="516">
        <f>N63-P63-Q63</f>
        <v/>
      </c>
      <c r="P63" s="500">
        <f>$C$11/$C$7-$AI$5-$AI$10-$AI$15-$AI$20</f>
        <v/>
      </c>
      <c r="Q63" s="519">
        <f>$C$12/$C$7-$AI$6-$AI$11-$AI$16-$AI$21</f>
        <v/>
      </c>
      <c r="R63" s="515" t="n"/>
      <c r="S63" s="573" t="n"/>
      <c r="T63" s="573" t="n"/>
      <c r="U63" s="516" t="n"/>
      <c r="V63" s="500" t="n"/>
      <c r="W63" s="519" t="n"/>
      <c r="X63" s="196" t="n"/>
      <c r="Y63" s="196" t="n"/>
      <c r="Z63" s="92" t="n"/>
      <c r="AA63" s="206" t="n"/>
      <c r="AB63" s="206" t="n"/>
      <c r="AC63" s="206" t="n"/>
      <c r="AD63" s="206" t="n"/>
      <c r="AE63" s="94" t="n"/>
    </row>
    <row r="64">
      <c r="B64" s="9" t="inlineStr">
        <is>
          <t>선납+단품+결합 할인 반영 순수 구독료 (V-)</t>
        </is>
      </c>
      <c r="C64" s="506">
        <f>C58-C11-C12+SUM(AI5:AI6,AI10:AI11,AI15:AI16,AI20:AI21)*C7</f>
        <v/>
      </c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$C$57</f>
        <v/>
      </c>
      <c r="O64" s="516">
        <f>N64-P64-Q64</f>
        <v/>
      </c>
      <c r="P64" s="500">
        <f>$C$11/$C$7-$AI$5-$AI$10-$AI$15-$AI$20</f>
        <v/>
      </c>
      <c r="Q64" s="519">
        <f>$C$12/$C$7-$AI$6-$AI$11-$AI$16-$AI$21</f>
        <v/>
      </c>
      <c r="R64" s="515" t="n"/>
      <c r="S64" s="573" t="n"/>
      <c r="T64" s="573" t="n"/>
      <c r="U64" s="516" t="n"/>
      <c r="V64" s="500" t="n"/>
      <c r="W64" s="519" t="n"/>
      <c r="X64" s="196" t="n"/>
      <c r="Y64" s="196" t="n"/>
      <c r="Z64" s="92" t="n"/>
      <c r="AA64" s="206" t="n"/>
      <c r="AB64" s="206" t="n"/>
      <c r="AC64" s="206" t="n"/>
      <c r="AD64" s="206" t="n"/>
      <c r="AE64" s="94" t="n"/>
    </row>
    <row r="65">
      <c r="B65" s="9" t="inlineStr">
        <is>
          <t>선납+단품+결합 할인 반영 순수 구독료 월할 (V-)</t>
        </is>
      </c>
      <c r="C65" s="506">
        <f>C64/C7</f>
        <v/>
      </c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$C$57</f>
        <v/>
      </c>
      <c r="O65" s="516">
        <f>N65-P65-Q65</f>
        <v/>
      </c>
      <c r="P65" s="500">
        <f>$C$11/$C$7-$AI$5-$AI$10-$AI$15-$AI$20</f>
        <v/>
      </c>
      <c r="Q65" s="519">
        <f>$C$12/$C$7-$AI$6-$AI$11-$AI$16-$AI$21</f>
        <v/>
      </c>
      <c r="R65" s="515" t="n"/>
      <c r="S65" s="573" t="n"/>
      <c r="T65" s="573" t="n"/>
      <c r="U65" s="516" t="n"/>
      <c r="V65" s="500" t="n"/>
      <c r="W65" s="519" t="n"/>
      <c r="X65" s="196" t="n"/>
      <c r="Y65" s="196" t="n"/>
      <c r="Z65" s="92" t="n"/>
      <c r="AA65" s="206" t="n"/>
      <c r="AB65" s="206" t="n"/>
      <c r="AC65" s="206" t="n"/>
      <c r="AD65" s="206" t="n"/>
      <c r="AE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$C$57</f>
        <v/>
      </c>
      <c r="O66" s="516">
        <f>N66-P66-Q66</f>
        <v/>
      </c>
      <c r="P66" s="500">
        <f>$C$11/$C$7-$AI$5-$AI$10-$AI$15-$AI$20</f>
        <v/>
      </c>
      <c r="Q66" s="519">
        <f>$C$12/$C$7-$AI$6-$AI$11-$AI$16-$AI$21</f>
        <v/>
      </c>
      <c r="R66" s="515" t="n"/>
      <c r="S66" s="573" t="n"/>
      <c r="T66" s="573" t="n"/>
      <c r="U66" s="516" t="n"/>
      <c r="V66" s="500" t="n"/>
      <c r="W66" s="519" t="n"/>
      <c r="X66" s="196" t="n"/>
      <c r="Y66" s="196" t="n"/>
      <c r="Z66" s="92" t="n"/>
      <c r="AA66" s="206" t="n"/>
      <c r="AB66" s="206" t="n"/>
      <c r="AC66" s="206" t="n"/>
      <c r="AD66" s="206" t="n"/>
      <c r="AE66" s="94" t="n"/>
    </row>
    <row r="67">
      <c r="C67" s="505">
        <f>(C15*1.1)*5%/1.1</f>
        <v/>
      </c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$C$57</f>
        <v/>
      </c>
      <c r="O67" s="516">
        <f>N67-P67-Q67</f>
        <v/>
      </c>
      <c r="P67" s="500">
        <f>$C$11/$C$7-$AI$5-$AI$10-$AI$15-$AI$20</f>
        <v/>
      </c>
      <c r="Q67" s="519">
        <f>$C$12/$C$7-$AI$6-$AI$11-$AI$16-$AI$21</f>
        <v/>
      </c>
      <c r="R67" s="515" t="n"/>
      <c r="S67" s="573" t="n"/>
      <c r="T67" s="573" t="n"/>
      <c r="U67" s="516" t="n"/>
      <c r="V67" s="500" t="n"/>
      <c r="W67" s="519" t="n"/>
      <c r="X67" s="196" t="n"/>
      <c r="Y67" s="196" t="n"/>
      <c r="Z67" s="92" t="n"/>
      <c r="AA67" s="206" t="n"/>
      <c r="AB67" s="206" t="n"/>
      <c r="AC67" s="206" t="n"/>
      <c r="AD67" s="206" t="n"/>
      <c r="AE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$C$57</f>
        <v/>
      </c>
      <c r="O68" s="516">
        <f>N68-P68-Q68</f>
        <v/>
      </c>
      <c r="P68" s="500">
        <f>$C$11/$C$7-$AI$5-$AI$10-$AI$15-$AI$20</f>
        <v/>
      </c>
      <c r="Q68" s="519">
        <f>$C$12/$C$7-$AI$6-$AI$11-$AI$16-$AI$21</f>
        <v/>
      </c>
      <c r="R68" s="515" t="n"/>
      <c r="S68" s="573" t="n"/>
      <c r="T68" s="573" t="n"/>
      <c r="U68" s="516" t="n"/>
      <c r="V68" s="500" t="n"/>
      <c r="W68" s="519" t="n"/>
      <c r="X68" s="196" t="n"/>
      <c r="Y68" s="196" t="n"/>
      <c r="Z68" s="92" t="n"/>
      <c r="AA68" s="206" t="n"/>
      <c r="AB68" s="206" t="n"/>
      <c r="AC68" s="206" t="n"/>
      <c r="AD68" s="206" t="n"/>
      <c r="AE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$C$57</f>
        <v/>
      </c>
      <c r="O69" s="516">
        <f>N69-P69-Q69</f>
        <v/>
      </c>
      <c r="P69" s="500">
        <f>$C$11/$C$7-$AI$5-$AI$10-$AI$15-$AI$20</f>
        <v/>
      </c>
      <c r="Q69" s="519">
        <f>$C$12/$C$7-$AI$6-$AI$11-$AI$16-$AI$21</f>
        <v/>
      </c>
      <c r="R69" s="515" t="n"/>
      <c r="S69" s="573" t="n"/>
      <c r="T69" s="573" t="n"/>
      <c r="U69" s="516" t="n"/>
      <c r="V69" s="500" t="n"/>
      <c r="W69" s="519" t="n"/>
      <c r="X69" s="196" t="n"/>
      <c r="Y69" s="196" t="n"/>
      <c r="Z69" s="92" t="n"/>
      <c r="AA69" s="206" t="n"/>
      <c r="AB69" s="206" t="n"/>
      <c r="AC69" s="206" t="n"/>
      <c r="AD69" s="206" t="n"/>
      <c r="AE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$C$57</f>
        <v/>
      </c>
      <c r="O70" s="516">
        <f>N70-P70-Q70</f>
        <v/>
      </c>
      <c r="P70" s="500">
        <f>$C$11/$C$7-$AI$5-$AI$10-$AI$15-$AI$20</f>
        <v/>
      </c>
      <c r="Q70" s="519">
        <f>$C$12/$C$7-$AI$6-$AI$11-$AI$16-$AI$21</f>
        <v/>
      </c>
      <c r="R70" s="515" t="n"/>
      <c r="S70" s="573" t="n"/>
      <c r="T70" s="573" t="n"/>
      <c r="U70" s="516" t="n"/>
      <c r="V70" s="500" t="n"/>
      <c r="W70" s="519" t="n"/>
      <c r="X70" s="196" t="n"/>
      <c r="Y70" s="196" t="n"/>
      <c r="Z70" s="92" t="n"/>
      <c r="AA70" s="206" t="n"/>
      <c r="AB70" s="206" t="n"/>
      <c r="AC70" s="206" t="n"/>
      <c r="AD70" s="206" t="n"/>
      <c r="AE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$C$57</f>
        <v/>
      </c>
      <c r="O71" s="516">
        <f>N71-P71-Q71</f>
        <v/>
      </c>
      <c r="P71" s="500">
        <f>$C$11/$C$7-$AI$5-$AI$10-$AI$15-$AI$20</f>
        <v/>
      </c>
      <c r="Q71" s="519">
        <f>$C$12/$C$7-$AI$6-$AI$11-$AI$16-$AI$21</f>
        <v/>
      </c>
      <c r="R71" s="515" t="n"/>
      <c r="S71" s="573" t="n"/>
      <c r="T71" s="573" t="n"/>
      <c r="U71" s="516" t="n"/>
      <c r="V71" s="500" t="n"/>
      <c r="W71" s="519" t="n"/>
      <c r="X71" s="196" t="n"/>
      <c r="Y71" s="196" t="n"/>
      <c r="Z71" s="92" t="n"/>
      <c r="AA71" s="206" t="n"/>
      <c r="AB71" s="206" t="n"/>
      <c r="AC71" s="206" t="n"/>
      <c r="AD71" s="206" t="n"/>
      <c r="AE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$C$57</f>
        <v/>
      </c>
      <c r="O72" s="516">
        <f>N72-P72-Q72</f>
        <v/>
      </c>
      <c r="P72" s="500">
        <f>$C$11/$C$7-$AI$5-$AI$10-$AI$15-$AI$20</f>
        <v/>
      </c>
      <c r="Q72" s="519">
        <f>$C$12/$C$7-$AI$6-$AI$11-$AI$16-$AI$21</f>
        <v/>
      </c>
      <c r="R72" s="515" t="n"/>
      <c r="S72" s="573" t="n"/>
      <c r="T72" s="573" t="n"/>
      <c r="U72" s="516" t="n"/>
      <c r="V72" s="500" t="n"/>
      <c r="W72" s="519" t="n"/>
      <c r="X72" s="196" t="n"/>
      <c r="Y72" s="196" t="n"/>
      <c r="Z72" s="92" t="n"/>
      <c r="AA72" s="206" t="n"/>
      <c r="AB72" s="206" t="n"/>
      <c r="AC72" s="206" t="n"/>
      <c r="AD72" s="206" t="n"/>
      <c r="AE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$C$57</f>
        <v/>
      </c>
      <c r="O73" s="516">
        <f>N73-P73-Q73</f>
        <v/>
      </c>
      <c r="P73" s="500">
        <f>$C$11/$C$7-$AI$5-$AI$10-$AI$15-$AI$20</f>
        <v/>
      </c>
      <c r="Q73" s="519">
        <f>$C$12/$C$7-$AI$6-$AI$11-$AI$16-$AI$21</f>
        <v/>
      </c>
      <c r="R73" s="515" t="n"/>
      <c r="S73" s="573" t="n"/>
      <c r="T73" s="573" t="n"/>
      <c r="U73" s="516" t="n"/>
      <c r="V73" s="500" t="n"/>
      <c r="W73" s="519" t="n"/>
      <c r="X73" s="196" t="n"/>
      <c r="Y73" s="196" t="n"/>
      <c r="Z73" s="92" t="n"/>
      <c r="AA73" s="206" t="n"/>
      <c r="AB73" s="206" t="n"/>
      <c r="AC73" s="206" t="n"/>
      <c r="AD73" s="206" t="n"/>
      <c r="AE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$C$57</f>
        <v/>
      </c>
      <c r="O74" s="516">
        <f>N74-P74-Q74</f>
        <v/>
      </c>
      <c r="P74" s="500">
        <f>$C$11/$C$7-$AI$5-$AI$10-$AI$15-$AI$20</f>
        <v/>
      </c>
      <c r="Q74" s="519">
        <f>$C$12/$C$7-$AI$6-$AI$11-$AI$16-$AI$21</f>
        <v/>
      </c>
      <c r="R74" s="515" t="n"/>
      <c r="S74" s="573" t="n"/>
      <c r="T74" s="573" t="n"/>
      <c r="U74" s="516" t="n"/>
      <c r="V74" s="500" t="n"/>
      <c r="W74" s="519" t="n"/>
      <c r="X74" s="196" t="n"/>
      <c r="Y74" s="196" t="n"/>
      <c r="Z74" s="92" t="n"/>
      <c r="AA74" s="206" t="n"/>
      <c r="AB74" s="206" t="n"/>
      <c r="AC74" s="206" t="n"/>
      <c r="AD74" s="206" t="n"/>
      <c r="AE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$C$57</f>
        <v/>
      </c>
      <c r="O75" s="516">
        <f>N75-P75-Q75</f>
        <v/>
      </c>
      <c r="P75" s="500">
        <f>$C$11/$C$7-$AI$5-$AI$10-$AI$15-$AI$20</f>
        <v/>
      </c>
      <c r="Q75" s="519">
        <f>$C$12/$C$7-$AI$6-$AI$11-$AI$16-$AI$21</f>
        <v/>
      </c>
      <c r="R75" s="515" t="n"/>
      <c r="S75" s="573" t="n"/>
      <c r="T75" s="573" t="n"/>
      <c r="U75" s="516" t="n"/>
      <c r="V75" s="500" t="n"/>
      <c r="W75" s="519" t="n"/>
      <c r="X75" s="196" t="n"/>
      <c r="Y75" s="196" t="n"/>
      <c r="Z75" s="92" t="n"/>
      <c r="AA75" s="206" t="n"/>
      <c r="AB75" s="206" t="n"/>
      <c r="AC75" s="206" t="n"/>
      <c r="AD75" s="206" t="n"/>
      <c r="AE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$C$57</f>
        <v/>
      </c>
      <c r="O76" s="516">
        <f>N76-P76-Q76</f>
        <v/>
      </c>
      <c r="P76" s="500">
        <f>$C$11/$C$7-$AI$5-$AI$10-$AI$15-$AI$20</f>
        <v/>
      </c>
      <c r="Q76" s="519">
        <f>$C$12/$C$7-$AI$6-$AI$11-$AI$16-$AI$21</f>
        <v/>
      </c>
      <c r="R76" s="515" t="n"/>
      <c r="S76" s="573" t="n"/>
      <c r="T76" s="573" t="n"/>
      <c r="U76" s="516" t="n"/>
      <c r="V76" s="500" t="n"/>
      <c r="W76" s="519" t="n"/>
      <c r="X76" s="196" t="n"/>
      <c r="Y76" s="196" t="n"/>
      <c r="Z76" s="92" t="n"/>
      <c r="AA76" s="206" t="n"/>
      <c r="AB76" s="206" t="n"/>
      <c r="AC76" s="206" t="n"/>
      <c r="AD76" s="206" t="n"/>
      <c r="AE76" s="94" t="n"/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46">
        <f>$C$57-N5</f>
        <v/>
      </c>
      <c r="O77" s="547">
        <f>N77-P77-Q77</f>
        <v/>
      </c>
      <c r="P77" s="550">
        <f>($C$11/$C$7-$AI$5-$AI$10-$AI$15-$AI$20)-P5</f>
        <v/>
      </c>
      <c r="Q77" s="551">
        <f>($C$12/$C$7-$AI$6-$AI$11-$AI$16-$AI$21)-Q5</f>
        <v/>
      </c>
      <c r="R77" s="581" t="n"/>
      <c r="S77" s="590" t="n"/>
      <c r="T77" s="590" t="n"/>
      <c r="U77" s="588" t="n"/>
      <c r="V77" s="589" t="n"/>
      <c r="W77" s="642" t="n"/>
      <c r="X77" s="12" t="n"/>
      <c r="Y77" s="12" t="n"/>
      <c r="Z77" s="59" t="n"/>
      <c r="AA77" s="95" t="n"/>
      <c r="AB77" s="95" t="n"/>
      <c r="AC77" s="95" t="n"/>
      <c r="AD77" s="95" t="n"/>
      <c r="AE77" s="97" t="n"/>
    </row>
    <row r="78">
      <c r="O78" s="500" t="n"/>
    </row>
  </sheetData>
  <mergeCells count="3">
    <mergeCell ref="D47:D50"/>
    <mergeCell ref="D27:D30"/>
    <mergeCell ref="D37:D40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7030A0"/>
    <outlinePr summaryBelow="1" summaryRight="1"/>
    <pageSetUpPr/>
  </sheetPr>
  <dimension ref="A1:AZ90"/>
  <sheetViews>
    <sheetView showGridLines="0" topLeftCell="X1" zoomScale="55" zoomScaleNormal="55" workbookViewId="0">
      <selection activeCell="AO31" sqref="AO31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0.875" bestFit="1" customWidth="1" style="497" min="4" max="4"/>
    <col width="26.5" bestFit="1" customWidth="1" style="497" min="5" max="5"/>
    <col width="9.1875" bestFit="1" customWidth="1" style="185" min="6" max="6"/>
    <col width="11.125" bestFit="1" customWidth="1" style="185" min="7" max="9"/>
    <col width="11.875" customWidth="1" style="497" min="10" max="19"/>
    <col width="12.1875" customWidth="1" style="497" min="20" max="21"/>
    <col width="11.875" customWidth="1" style="497" min="22" max="29"/>
    <col width="13" customWidth="1" style="497" min="30" max="30"/>
    <col width="7.1875" bestFit="1" customWidth="1" style="497" min="31" max="31"/>
    <col width="17.375" customWidth="1" style="497" min="32" max="32"/>
    <col width="26.875" customWidth="1" style="497" min="33" max="33"/>
    <col width="18.125" customWidth="1" style="497" min="34" max="34"/>
    <col width="7.375" customWidth="1" style="497" min="35" max="35"/>
    <col width="10.375" customWidth="1" style="497" min="36" max="36"/>
    <col width="12" customWidth="1" style="497" min="37" max="37"/>
    <col width="12.125" customWidth="1" style="497" min="38" max="38"/>
    <col width="14.125" customWidth="1" style="497" min="39" max="39"/>
    <col width="12.8125" customWidth="1" style="497" min="41" max="41"/>
    <col width="11.6875" bestFit="1" customWidth="1" style="497" min="42" max="42"/>
    <col width="20" bestFit="1" customWidth="1" style="497" min="43" max="43"/>
    <col width="31.6875" bestFit="1" customWidth="1" style="497" min="44" max="44"/>
    <col width="11.6875" bestFit="1" customWidth="1" style="497" min="45" max="45"/>
    <col width="11.6875" customWidth="1" style="497" min="46" max="46"/>
    <col width="14.375" bestFit="1" customWidth="1" style="497" min="47" max="47"/>
    <col width="35" bestFit="1" customWidth="1" style="497" min="48" max="48"/>
    <col width="31.1875" customWidth="1" style="497" min="50" max="50"/>
    <col width="11.6875" bestFit="1" customWidth="1" style="497" min="51" max="52"/>
  </cols>
  <sheetData>
    <row r="1">
      <c r="P1" s="500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  <c r="V2" s="500">
        <f>SUM(V5:V77)</f>
        <v/>
      </c>
      <c r="W2" s="500">
        <f>SUM(W5:W77)</f>
        <v/>
      </c>
      <c r="X2" s="500">
        <f>SUM(X5:X77)</f>
        <v/>
      </c>
      <c r="Y2" s="500">
        <f>SUM(Y5:Y77)</f>
        <v/>
      </c>
      <c r="Z2" s="500">
        <f>SUM(Z5:Z77)</f>
        <v/>
      </c>
      <c r="AA2" s="500">
        <f>SUM(AA5:AA77)</f>
        <v/>
      </c>
      <c r="AB2" s="500">
        <f>SUM(AB5:AB77)</f>
        <v/>
      </c>
      <c r="AC2" s="500">
        <f>SUM(AC5:AC77)</f>
        <v/>
      </c>
      <c r="AD2" s="500" t="n"/>
      <c r="AE2" s="500" t="n"/>
      <c r="AF2" s="500" t="n"/>
      <c r="AG2" s="500" t="n"/>
      <c r="AJ2" s="206" t="inlineStr">
        <is>
          <t>* 위약금은 비과세로 총구독료(v+)기준으로 계산</t>
        </is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502" t="n"/>
      <c r="O3" s="75" t="inlineStr">
        <is>
          <t>선납+선납할인</t>
        </is>
      </c>
      <c r="P3" s="76" t="n"/>
      <c r="Q3" s="76" t="n"/>
      <c r="R3" s="137" t="n"/>
      <c r="S3" s="502" t="n"/>
      <c r="T3" s="501" t="inlineStr">
        <is>
          <t>(기존) 선납+선납할인+다품목 할인</t>
        </is>
      </c>
      <c r="U3" s="502" t="n"/>
      <c r="V3" s="502" t="n"/>
      <c r="W3" s="503" t="n"/>
      <c r="X3" s="502" t="n"/>
      <c r="Y3" s="501" t="inlineStr">
        <is>
          <t>(변경) 선납+선납할인 (유지), 다품목 할인 원복</t>
        </is>
      </c>
      <c r="Z3" s="502" t="n"/>
      <c r="AA3" s="502" t="n"/>
      <c r="AB3" s="503" t="n"/>
      <c r="AC3" s="503" t="n"/>
      <c r="AD3" s="502" t="inlineStr">
        <is>
          <t>다품목 할인 원복 시(v-)</t>
        </is>
      </c>
      <c r="AE3" s="502" t="n"/>
      <c r="AF3" s="690" t="n"/>
      <c r="AG3" s="502" t="n"/>
      <c r="AH3" s="75" t="inlineStr">
        <is>
          <t>다품목 할인 원복 후 중도해지 시 (v-)</t>
        </is>
      </c>
      <c r="AI3" s="70" t="n"/>
      <c r="AJ3" s="70" t="n"/>
      <c r="AK3" s="70" t="n"/>
      <c r="AL3" s="70" t="n"/>
      <c r="AM3" s="71" t="n"/>
      <c r="AO3" s="273" t="inlineStr">
        <is>
          <t>사용분 청구 (v-)</t>
        </is>
      </c>
      <c r="AP3" s="274" t="n"/>
      <c r="AQ3" s="274" t="n"/>
      <c r="AR3" s="123" t="n"/>
      <c r="AS3" s="124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15" t="inlineStr">
        <is>
          <t>보증</t>
        </is>
      </c>
      <c r="N4" s="27" t="inlineStr">
        <is>
          <t>재설치</t>
        </is>
      </c>
      <c r="O4" s="9" t="inlineStr">
        <is>
          <t>구독료청구</t>
        </is>
      </c>
      <c r="P4" s="26" t="inlineStr">
        <is>
          <t>제품</t>
        </is>
      </c>
      <c r="Q4" s="15" t="inlineStr">
        <is>
          <t>케어</t>
        </is>
      </c>
      <c r="R4" s="15" t="inlineStr">
        <is>
          <t>보증</t>
        </is>
      </c>
      <c r="S4" s="27" t="inlineStr">
        <is>
          <t>재설치</t>
        </is>
      </c>
      <c r="T4" s="9" t="inlineStr">
        <is>
          <t>구독료청구</t>
        </is>
      </c>
      <c r="U4" s="26" t="inlineStr">
        <is>
          <t>제품</t>
        </is>
      </c>
      <c r="V4" s="15" t="inlineStr">
        <is>
          <t>케어</t>
        </is>
      </c>
      <c r="W4" s="15" t="inlineStr">
        <is>
          <t>보증</t>
        </is>
      </c>
      <c r="X4" s="27" t="inlineStr">
        <is>
          <t>재설치</t>
        </is>
      </c>
      <c r="Y4" s="9" t="inlineStr">
        <is>
          <t>구독료청구</t>
        </is>
      </c>
      <c r="Z4" s="26" t="inlineStr">
        <is>
          <t>제품</t>
        </is>
      </c>
      <c r="AA4" s="15" t="inlineStr">
        <is>
          <t>케어</t>
        </is>
      </c>
      <c r="AB4" s="15" t="inlineStr">
        <is>
          <t>보증</t>
        </is>
      </c>
      <c r="AC4" s="27" t="inlineStr">
        <is>
          <t>재설치</t>
        </is>
      </c>
      <c r="AD4" s="15" t="inlineStr">
        <is>
          <t>결합해지일</t>
        </is>
      </c>
      <c r="AE4" s="26" t="inlineStr">
        <is>
          <t>경과일</t>
        </is>
      </c>
      <c r="AF4" s="26" t="inlineStr">
        <is>
          <t>사용분 청구</t>
        </is>
      </c>
      <c r="AG4" s="27" t="inlineStr">
        <is>
          <t>할인금 회수</t>
        </is>
      </c>
      <c r="AH4" s="26" t="inlineStr">
        <is>
          <t>제품판정일</t>
        </is>
      </c>
      <c r="AI4" s="9" t="inlineStr">
        <is>
          <t>경과일</t>
        </is>
      </c>
      <c r="AJ4" s="26" t="inlineStr">
        <is>
          <t>위약금</t>
        </is>
      </c>
      <c r="AK4" s="15" t="inlineStr">
        <is>
          <t>사용분 청구</t>
        </is>
      </c>
      <c r="AL4" s="15" t="inlineStr">
        <is>
          <t>할인금 회수</t>
        </is>
      </c>
      <c r="AM4" s="27" t="inlineStr">
        <is>
          <t>선납잔액 환불</t>
        </is>
      </c>
      <c r="AO4" s="125" t="n"/>
      <c r="AP4" s="9" t="inlineStr">
        <is>
          <t>제품</t>
        </is>
      </c>
      <c r="AQ4" s="9" t="inlineStr">
        <is>
          <t>케어</t>
        </is>
      </c>
      <c r="AR4" s="9" t="inlineStr">
        <is>
          <t>보증</t>
        </is>
      </c>
      <c r="AS4" s="9" t="inlineStr">
        <is>
          <t>재설치</t>
        </is>
      </c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>
        <f>EOMONTH(G5,0)</f>
        <v/>
      </c>
      <c r="I5" s="103">
        <f>EOMONTH(G5,0)+15</f>
        <v/>
      </c>
      <c r="J5" s="515">
        <f>ROUNDDOWN($C$16*(H5-G5+1)/DAY(H5),-2)</f>
        <v/>
      </c>
      <c r="K5" s="516">
        <f>J5-L5-M5-N5</f>
        <v/>
      </c>
      <c r="L5" s="627">
        <f>ROUNDDOWN(($C$11/$C$7)*(H5-G5+1)/DAY(H5),-2)</f>
        <v/>
      </c>
      <c r="M5" s="627">
        <f>ROUNDDOWN(($C$12/$C$7)*(H5-G5+1)/DAY(H5),-2)</f>
        <v/>
      </c>
      <c r="N5" s="504">
        <f>ROUNDDOWN(($C$13/$C$7)*($H5-$G5+1)/DAY($H5),-2)</f>
        <v/>
      </c>
      <c r="O5" s="515">
        <f>ROUNDDOWN($C$32*(H5-G5+1)/DAY(H5),-2)</f>
        <v/>
      </c>
      <c r="P5" s="516">
        <f>O5-Q5-R5-S5</f>
        <v/>
      </c>
      <c r="Q5" s="500">
        <f>ROUNDDOWN(($C$11/$C$7-$AQ$10-$AQ$16)*(H5-G5+1)/DAY(H5),-2)</f>
        <v/>
      </c>
      <c r="R5" s="627">
        <f>ROUNDDOWN(($C$12/$C$7-$AQ$11-$AQ$17)*(H5-G5+1)/DAY(H5),-2)</f>
        <v/>
      </c>
      <c r="S5" s="504">
        <f>ROUNDDOWN(($C$13/$C$7-AQ12-AQ18)*($H5-$G5+1)/DAY($H5),-2)</f>
        <v/>
      </c>
      <c r="T5" s="515">
        <f>ROUNDDOWN($C$43*(H5-G5+1)/DAY(H5),-2)</f>
        <v/>
      </c>
      <c r="U5" s="691">
        <f>T5-V5-W5-X5</f>
        <v/>
      </c>
      <c r="V5" s="627">
        <f>ROUNDDOWN(($C$11/$C$7-$AQ$10-$AQ$16-$AQ$22)*(H5-G5+1)/DAY(H5),-2)</f>
        <v/>
      </c>
      <c r="W5" s="627">
        <f>ROUNDDOWN(($C$12/$C$7-$AQ$11-$AQ$17-$AQ$23)*(H5-G5+1)/DAY(H5),-2)</f>
        <v/>
      </c>
      <c r="X5" s="504">
        <f>ROUNDDOWN(($C$13/$C$7-$AQ$12-$AQ$18-$AQ$24)*($H5-$G5+1)/DAY($H5),-2)</f>
        <v/>
      </c>
      <c r="Y5" s="562" t="n"/>
      <c r="Z5" s="563" t="n"/>
      <c r="AA5" s="564" t="n"/>
      <c r="AB5" s="564" t="n"/>
      <c r="AC5" s="565" t="n"/>
      <c r="AD5" s="517" t="n"/>
      <c r="AE5" s="646">
        <f>H5-G5+1</f>
        <v/>
      </c>
      <c r="AF5" s="646" t="n"/>
      <c r="AG5" s="518" t="n"/>
      <c r="AH5" s="55" t="n"/>
      <c r="AI5" s="54">
        <f>H5-G5+1</f>
        <v/>
      </c>
      <c r="AJ5" s="55" t="n"/>
      <c r="AK5" s="626" t="n"/>
      <c r="AL5" s="627" t="n"/>
      <c r="AM5" s="91" t="n"/>
      <c r="AO5" s="527">
        <f>AF24</f>
        <v/>
      </c>
      <c r="AP5" s="527">
        <f>AO5-AQ5-AR5</f>
        <v/>
      </c>
      <c r="AQ5" s="527">
        <f>V24</f>
        <v/>
      </c>
      <c r="AR5" s="527">
        <f>W24</f>
        <v/>
      </c>
      <c r="AS5" s="527">
        <f>X24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$C$16</f>
        <v/>
      </c>
      <c r="K6" s="516">
        <f>J6-L6-M6-N6</f>
        <v/>
      </c>
      <c r="L6" s="517">
        <f>$C$11/$C$7</f>
        <v/>
      </c>
      <c r="M6" s="517">
        <f>$C$12/$C$7</f>
        <v/>
      </c>
      <c r="N6" s="518">
        <f>$C$13/$C$7</f>
        <v/>
      </c>
      <c r="O6" s="515">
        <f>$C$32</f>
        <v/>
      </c>
      <c r="P6" s="516">
        <f>O6-Q6-R6-S6</f>
        <v/>
      </c>
      <c r="Q6" s="500">
        <f>$C$11/$C$7-$AQ$10-$AQ$16</f>
        <v/>
      </c>
      <c r="R6" s="517">
        <f>$C$12/$C$7-$AQ$11-$AQ$17</f>
        <v/>
      </c>
      <c r="S6" s="518">
        <f>$C$13/$C$7-$AQ$12-$AQ$18</f>
        <v/>
      </c>
      <c r="T6" s="515">
        <f>$C$43</f>
        <v/>
      </c>
      <c r="U6" s="516">
        <f>T6-V6-W6-X6</f>
        <v/>
      </c>
      <c r="V6" s="517">
        <f>$C$11/$C$7-$AQ$10-$AQ$16-$AQ$22</f>
        <v/>
      </c>
      <c r="W6" s="517">
        <f>$C$12/$C$7-$AQ$11-$AQ$17-$AQ$23</f>
        <v/>
      </c>
      <c r="X6" s="518">
        <f>$C$13/$C$7-$AQ$12-$AQ$18-$AQ$24</f>
        <v/>
      </c>
      <c r="Y6" s="562" t="n"/>
      <c r="Z6" s="571" t="n"/>
      <c r="AA6" s="572" t="n"/>
      <c r="AB6" s="572" t="n"/>
      <c r="AC6" s="566" t="n"/>
      <c r="AD6" s="517" t="n"/>
      <c r="AE6" s="646">
        <f>H6-G6+1</f>
        <v/>
      </c>
      <c r="AF6" s="646" t="n"/>
      <c r="AG6" s="518" t="n"/>
      <c r="AH6" s="92" t="n"/>
      <c r="AI6" s="196">
        <f>H6-G6+1</f>
        <v/>
      </c>
      <c r="AJ6" s="92" t="n"/>
      <c r="AK6" s="206" t="n"/>
      <c r="AL6" s="206" t="n"/>
      <c r="AM6" s="94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$C$16</f>
        <v/>
      </c>
      <c r="K7" s="516">
        <f>J7-L7-M7-N7</f>
        <v/>
      </c>
      <c r="L7" s="517">
        <f>$C$11/$C$7</f>
        <v/>
      </c>
      <c r="M7" s="517">
        <f>$C$12/$C$7</f>
        <v/>
      </c>
      <c r="N7" s="518">
        <f>$C$13/$C$7</f>
        <v/>
      </c>
      <c r="O7" s="515">
        <f>$C$32</f>
        <v/>
      </c>
      <c r="P7" s="516">
        <f>O7-Q7-R7-S7</f>
        <v/>
      </c>
      <c r="Q7" s="500">
        <f>$C$11/$C$7-$AQ$10-$AQ$16</f>
        <v/>
      </c>
      <c r="R7" s="517">
        <f>$C$12/$C$7-$AQ$11-$AQ$17</f>
        <v/>
      </c>
      <c r="S7" s="518">
        <f>$C$13/$C$7-$AQ$12-$AQ$18</f>
        <v/>
      </c>
      <c r="T7" s="515">
        <f>$C$43</f>
        <v/>
      </c>
      <c r="U7" s="516">
        <f>T7-V7-W7-X7</f>
        <v/>
      </c>
      <c r="V7" s="517">
        <f>$C$11/$C$7-$AQ$10-$AQ$16-$AQ$22</f>
        <v/>
      </c>
      <c r="W7" s="517">
        <f>$C$12/$C$7-$AQ$11-$AQ$17-$AQ$23</f>
        <v/>
      </c>
      <c r="X7" s="518">
        <f>$C$13/$C$7-$AQ$12-$AQ$18-$AQ$24</f>
        <v/>
      </c>
      <c r="Y7" s="562" t="n"/>
      <c r="Z7" s="571" t="n"/>
      <c r="AA7" s="572" t="n"/>
      <c r="AB7" s="572" t="n"/>
      <c r="AC7" s="566" t="n"/>
      <c r="AD7" s="517" t="n"/>
      <c r="AE7" s="646">
        <f>H7-G7+1</f>
        <v/>
      </c>
      <c r="AF7" s="646" t="n"/>
      <c r="AG7" s="518" t="n"/>
      <c r="AH7" s="92" t="n"/>
      <c r="AI7" s="196">
        <f>H7-G7+1</f>
        <v/>
      </c>
      <c r="AJ7" s="92" t="n"/>
      <c r="AK7" s="206" t="n"/>
      <c r="AL7" s="206" t="n"/>
      <c r="AM7" s="94" t="n"/>
      <c r="AO7" s="206" t="inlineStr">
        <is>
          <t>v- 100단위 조정</t>
        </is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$C$16</f>
        <v/>
      </c>
      <c r="K8" s="516">
        <f>J8-L8-M8-N8</f>
        <v/>
      </c>
      <c r="L8" s="517">
        <f>$C$11/$C$7</f>
        <v/>
      </c>
      <c r="M8" s="517">
        <f>$C$12/$C$7</f>
        <v/>
      </c>
      <c r="N8" s="518">
        <f>$C$13/$C$7</f>
        <v/>
      </c>
      <c r="O8" s="515">
        <f>$C$32</f>
        <v/>
      </c>
      <c r="P8" s="516">
        <f>O8-Q8-R8-S8</f>
        <v/>
      </c>
      <c r="Q8" s="500">
        <f>$C$11/$C$7-$AQ$10-$AQ$16</f>
        <v/>
      </c>
      <c r="R8" s="517">
        <f>$C$12/$C$7-$AQ$11-$AQ$17</f>
        <v/>
      </c>
      <c r="S8" s="518">
        <f>$C$13/$C$7-$AQ$12-$AQ$18</f>
        <v/>
      </c>
      <c r="T8" s="515">
        <f>$C$43</f>
        <v/>
      </c>
      <c r="U8" s="516">
        <f>T8-V8-W8-X8</f>
        <v/>
      </c>
      <c r="V8" s="517">
        <f>$C$11/$C$7-$AQ$10-$AQ$16-$AQ$22</f>
        <v/>
      </c>
      <c r="W8" s="517">
        <f>$C$12/$C$7-$AQ$11-$AQ$17-$AQ$23</f>
        <v/>
      </c>
      <c r="X8" s="518">
        <f>$C$13/$C$7-$AQ$12-$AQ$18-$AQ$24</f>
        <v/>
      </c>
      <c r="Y8" s="562" t="n"/>
      <c r="Z8" s="571" t="n"/>
      <c r="AA8" s="572" t="n"/>
      <c r="AB8" s="572" t="n"/>
      <c r="AC8" s="566" t="n"/>
      <c r="AD8" s="517" t="n"/>
      <c r="AE8" s="646">
        <f>H8-G8+1</f>
        <v/>
      </c>
      <c r="AF8" s="646" t="n"/>
      <c r="AG8" s="518" t="n"/>
      <c r="AH8" s="92" t="n"/>
      <c r="AI8" s="196">
        <f>H8-G8+1</f>
        <v/>
      </c>
      <c r="AJ8" s="92" t="n"/>
      <c r="AK8" s="206" t="n"/>
      <c r="AL8" s="206" t="n"/>
      <c r="AM8" s="94" t="n"/>
      <c r="AO8" s="378" t="inlineStr">
        <is>
          <t>월 선납금(v-)</t>
        </is>
      </c>
      <c r="AP8" s="251" t="n"/>
      <c r="AQ8" s="525">
        <f>C27/C7</f>
        <v/>
      </c>
    </row>
    <row r="9">
      <c r="B9" s="9" t="inlineStr">
        <is>
          <t>서비스 주기</t>
        </is>
      </c>
      <c r="C9" s="711" t="n">
        <v>12</v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$C$16</f>
        <v/>
      </c>
      <c r="K9" s="516">
        <f>J9-L9-M9-N9</f>
        <v/>
      </c>
      <c r="L9" s="517">
        <f>$C$11/$C$7</f>
        <v/>
      </c>
      <c r="M9" s="517">
        <f>$C$12/$C$7</f>
        <v/>
      </c>
      <c r="N9" s="518">
        <f>$C$13/$C$7</f>
        <v/>
      </c>
      <c r="O9" s="515">
        <f>$C$32</f>
        <v/>
      </c>
      <c r="P9" s="516">
        <f>O9-Q9-R9-S9</f>
        <v/>
      </c>
      <c r="Q9" s="500">
        <f>$C$11/$C$7-$AQ$10-$AQ$16</f>
        <v/>
      </c>
      <c r="R9" s="517">
        <f>$C$12/$C$7-$AQ$11-$AQ$17</f>
        <v/>
      </c>
      <c r="S9" s="518">
        <f>$C$13/$C$7-$AQ$12-$AQ$18</f>
        <v/>
      </c>
      <c r="T9" s="515">
        <f>$C$43</f>
        <v/>
      </c>
      <c r="U9" s="516">
        <f>T9-V9-W9-X9</f>
        <v/>
      </c>
      <c r="V9" s="517">
        <f>$C$11/$C$7-$AQ$10-$AQ$16-$AQ$22</f>
        <v/>
      </c>
      <c r="W9" s="517">
        <f>$C$12/$C$7-$AQ$11-$AQ$17-$AQ$23</f>
        <v/>
      </c>
      <c r="X9" s="518">
        <f>$C$13/$C$7-$AQ$12-$AQ$18-$AQ$24</f>
        <v/>
      </c>
      <c r="Y9" s="562" t="n"/>
      <c r="Z9" s="571" t="n"/>
      <c r="AA9" s="572" t="n"/>
      <c r="AB9" s="572" t="n"/>
      <c r="AC9" s="566" t="n"/>
      <c r="AD9" s="517" t="n"/>
      <c r="AE9" s="646">
        <f>H9-G9+1</f>
        <v/>
      </c>
      <c r="AF9" s="646" t="n"/>
      <c r="AG9" s="518" t="n"/>
      <c r="AH9" s="92" t="n"/>
      <c r="AI9" s="196">
        <f>H9-G9+1</f>
        <v/>
      </c>
      <c r="AJ9" s="92" t="n"/>
      <c r="AK9" s="206" t="n"/>
      <c r="AL9" s="206" t="n"/>
      <c r="AM9" s="94" t="n"/>
      <c r="AO9" s="375" t="n"/>
      <c r="AP9" s="506" t="inlineStr">
        <is>
          <t>제품</t>
        </is>
      </c>
      <c r="AQ9" s="507">
        <f>AQ8-AQ10-AQ11-AQ12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$C$16</f>
        <v/>
      </c>
      <c r="K10" s="516">
        <f>J10-L10-M10-N10</f>
        <v/>
      </c>
      <c r="L10" s="517">
        <f>$C$11/$C$7</f>
        <v/>
      </c>
      <c r="M10" s="517">
        <f>$C$12/$C$7</f>
        <v/>
      </c>
      <c r="N10" s="518">
        <f>$C$13/$C$7</f>
        <v/>
      </c>
      <c r="O10" s="515">
        <f>$C$32</f>
        <v/>
      </c>
      <c r="P10" s="516">
        <f>O10-Q10-R10-S10</f>
        <v/>
      </c>
      <c r="Q10" s="500">
        <f>$C$11/$C$7-$AQ$10-$AQ$16</f>
        <v/>
      </c>
      <c r="R10" s="517">
        <f>$C$12/$C$7-$AQ$11-$AQ$17</f>
        <v/>
      </c>
      <c r="S10" s="518">
        <f>$C$13/$C$7-$AQ$12-$AQ$18</f>
        <v/>
      </c>
      <c r="T10" s="515">
        <f>$C$43</f>
        <v/>
      </c>
      <c r="U10" s="516">
        <f>T10-V10-W10-X10</f>
        <v/>
      </c>
      <c r="V10" s="517">
        <f>$C$11/$C$7-$AQ$10-$AQ$16-$AQ$22</f>
        <v/>
      </c>
      <c r="W10" s="517">
        <f>$C$12/$C$7-$AQ$11-$AQ$17-$AQ$23</f>
        <v/>
      </c>
      <c r="X10" s="518">
        <f>$C$13/$C$7-$AQ$12-$AQ$18-$AQ$24</f>
        <v/>
      </c>
      <c r="Y10" s="562" t="n"/>
      <c r="Z10" s="571" t="n"/>
      <c r="AA10" s="572" t="n"/>
      <c r="AB10" s="572" t="n"/>
      <c r="AC10" s="566" t="n"/>
      <c r="AD10" s="517" t="n"/>
      <c r="AE10" s="646">
        <f>H10-G10+1</f>
        <v/>
      </c>
      <c r="AF10" s="646" t="n"/>
      <c r="AG10" s="518" t="n"/>
      <c r="AH10" s="92" t="n"/>
      <c r="AI10" s="196">
        <f>H10-G10+1</f>
        <v/>
      </c>
      <c r="AJ10" s="92" t="n"/>
      <c r="AK10" s="206" t="n"/>
      <c r="AL10" s="206" t="n"/>
      <c r="AM10" s="94" t="n"/>
      <c r="AO10" s="375" t="n"/>
      <c r="AP10" s="506" t="inlineStr">
        <is>
          <t>케어</t>
        </is>
      </c>
      <c r="AQ10" s="507">
        <f>ROUND(AQ8*C11/$C$15,-2)</f>
        <v/>
      </c>
    </row>
    <row r="11">
      <c r="B11" s="9" t="inlineStr">
        <is>
          <t>케어서비스(v-)</t>
        </is>
      </c>
      <c r="C11" s="526" t="n">
        <v>424800</v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$C$16</f>
        <v/>
      </c>
      <c r="K11" s="516">
        <f>J11-L11-M11-N11</f>
        <v/>
      </c>
      <c r="L11" s="517">
        <f>$C$11/$C$7</f>
        <v/>
      </c>
      <c r="M11" s="517">
        <f>$C$12/$C$7</f>
        <v/>
      </c>
      <c r="N11" s="518">
        <f>$C$13/$C$7</f>
        <v/>
      </c>
      <c r="O11" s="515">
        <f>$C$32</f>
        <v/>
      </c>
      <c r="P11" s="516">
        <f>O11-Q11-R11-S11</f>
        <v/>
      </c>
      <c r="Q11" s="500">
        <f>$C$11/$C$7-$AQ$10-$AQ$16</f>
        <v/>
      </c>
      <c r="R11" s="517">
        <f>$C$12/$C$7-$AQ$11-$AQ$17</f>
        <v/>
      </c>
      <c r="S11" s="518">
        <f>$C$13/$C$7-$AQ$12-$AQ$18</f>
        <v/>
      </c>
      <c r="T11" s="515">
        <f>$C$43</f>
        <v/>
      </c>
      <c r="U11" s="516">
        <f>T11-V11-W11-X11</f>
        <v/>
      </c>
      <c r="V11" s="517">
        <f>$C$11/$C$7-$AQ$10-$AQ$16-$AQ$22</f>
        <v/>
      </c>
      <c r="W11" s="517">
        <f>$C$12/$C$7-$AQ$11-$AQ$17-$AQ$23</f>
        <v/>
      </c>
      <c r="X11" s="518">
        <f>$C$13/$C$7-$AQ$12-$AQ$18-$AQ$24</f>
        <v/>
      </c>
      <c r="Y11" s="562" t="n"/>
      <c r="Z11" s="571" t="n"/>
      <c r="AA11" s="572" t="n"/>
      <c r="AB11" s="572" t="n"/>
      <c r="AC11" s="566" t="n"/>
      <c r="AD11" s="517" t="n"/>
      <c r="AE11" s="646">
        <f>H11-G11+1</f>
        <v/>
      </c>
      <c r="AF11" s="646" t="n"/>
      <c r="AG11" s="518" t="n"/>
      <c r="AH11" s="92" t="n"/>
      <c r="AI11" s="196">
        <f>H11-G11+1</f>
        <v/>
      </c>
      <c r="AJ11" s="92" t="n"/>
      <c r="AK11" s="206" t="n"/>
      <c r="AL11" s="206" t="n"/>
      <c r="AM11" s="94" t="n"/>
      <c r="AO11" s="375" t="n"/>
      <c r="AP11" s="524" t="inlineStr">
        <is>
          <t>보증</t>
        </is>
      </c>
      <c r="AQ11" s="507">
        <f>ROUND(AQ8*C12/$C$15,-2)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$C$16</f>
        <v/>
      </c>
      <c r="K12" s="516">
        <f>J12-L12-M12-N12</f>
        <v/>
      </c>
      <c r="L12" s="517">
        <f>$C$11/$C$7</f>
        <v/>
      </c>
      <c r="M12" s="517">
        <f>$C$12/$C$7</f>
        <v/>
      </c>
      <c r="N12" s="518">
        <f>$C$13/$C$7</f>
        <v/>
      </c>
      <c r="O12" s="515">
        <f>$C$32</f>
        <v/>
      </c>
      <c r="P12" s="516">
        <f>O12-Q12-R12-S12</f>
        <v/>
      </c>
      <c r="Q12" s="500">
        <f>$C$11/$C$7-$AQ$10-$AQ$16</f>
        <v/>
      </c>
      <c r="R12" s="517">
        <f>$C$12/$C$7-$AQ$11-$AQ$17</f>
        <v/>
      </c>
      <c r="S12" s="518">
        <f>$C$13/$C$7-$AQ$12-$AQ$18</f>
        <v/>
      </c>
      <c r="T12" s="515">
        <f>$C$43</f>
        <v/>
      </c>
      <c r="U12" s="516">
        <f>T12-V12-W12-X12</f>
        <v/>
      </c>
      <c r="V12" s="517">
        <f>$C$11/$C$7-$AQ$10-$AQ$16-$AQ$22</f>
        <v/>
      </c>
      <c r="W12" s="517">
        <f>$C$12/$C$7-$AQ$11-$AQ$17-$AQ$23</f>
        <v/>
      </c>
      <c r="X12" s="518">
        <f>$C$13/$C$7-$AQ$12-$AQ$18-$AQ$24</f>
        <v/>
      </c>
      <c r="Y12" s="562" t="n"/>
      <c r="Z12" s="571" t="n"/>
      <c r="AA12" s="572" t="n"/>
      <c r="AB12" s="572" t="n"/>
      <c r="AC12" s="566" t="n"/>
      <c r="AD12" s="517" t="n"/>
      <c r="AE12" s="646">
        <f>H12-G12+1</f>
        <v/>
      </c>
      <c r="AF12" s="646" t="n"/>
      <c r="AG12" s="518" t="n"/>
      <c r="AH12" s="92" t="n"/>
      <c r="AI12" s="196">
        <f>H12-G12+1</f>
        <v/>
      </c>
      <c r="AJ12" s="92" t="n"/>
      <c r="AK12" s="206" t="n"/>
      <c r="AL12" s="206" t="n"/>
      <c r="AM12" s="94" t="n"/>
      <c r="AO12" s="376" t="n"/>
      <c r="AP12" s="524" t="inlineStr">
        <is>
          <t>재설치</t>
        </is>
      </c>
      <c r="AQ12" s="507">
        <f>ROUND(AQ8*C13/$C$15,-2)</f>
        <v/>
      </c>
    </row>
    <row r="13">
      <c r="B13" s="9" t="inlineStr">
        <is>
          <t>재설치(v-)</t>
        </is>
      </c>
      <c r="C13" s="526" t="n">
        <v>165600</v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$C$16</f>
        <v/>
      </c>
      <c r="K13" s="516">
        <f>J13-L13-M13-N13</f>
        <v/>
      </c>
      <c r="L13" s="517">
        <f>$C$11/$C$7</f>
        <v/>
      </c>
      <c r="M13" s="517">
        <f>$C$12/$C$7</f>
        <v/>
      </c>
      <c r="N13" s="518">
        <f>$C$13/$C$7</f>
        <v/>
      </c>
      <c r="O13" s="515">
        <f>$C$32</f>
        <v/>
      </c>
      <c r="P13" s="516">
        <f>O13-Q13-R13-S13</f>
        <v/>
      </c>
      <c r="Q13" s="500">
        <f>$C$11/$C$7-$AQ$10-$AQ$16</f>
        <v/>
      </c>
      <c r="R13" s="517">
        <f>$C$12/$C$7-$AQ$11-$AQ$17</f>
        <v/>
      </c>
      <c r="S13" s="518">
        <f>$C$13/$C$7-$AQ$12-$AQ$18</f>
        <v/>
      </c>
      <c r="T13" s="515">
        <f>$C$43</f>
        <v/>
      </c>
      <c r="U13" s="516">
        <f>T13-V13-W13-X13</f>
        <v/>
      </c>
      <c r="V13" s="517">
        <f>$C$11/$C$7-$AQ$10-$AQ$16-$AQ$22</f>
        <v/>
      </c>
      <c r="W13" s="517">
        <f>$C$12/$C$7-$AQ$11-$AQ$17-$AQ$23</f>
        <v/>
      </c>
      <c r="X13" s="518">
        <f>$C$13/$C$7-$AQ$12-$AQ$18-$AQ$24</f>
        <v/>
      </c>
      <c r="Y13" s="562" t="n"/>
      <c r="Z13" s="571" t="n"/>
      <c r="AA13" s="572" t="n"/>
      <c r="AB13" s="572" t="n"/>
      <c r="AC13" s="566" t="n"/>
      <c r="AD13" s="517" t="n"/>
      <c r="AE13" s="646">
        <f>H13-G13+1</f>
        <v/>
      </c>
      <c r="AF13" s="646" t="n"/>
      <c r="AG13" s="518" t="n"/>
      <c r="AH13" s="92" t="n"/>
      <c r="AI13" s="196">
        <f>H13-G13+1</f>
        <v/>
      </c>
      <c r="AJ13" s="92" t="n"/>
      <c r="AK13" s="206" t="n"/>
      <c r="AL13" s="206" t="n"/>
      <c r="AM13" s="94" t="n"/>
      <c r="AO13" s="399" t="n"/>
      <c r="AP13" s="500" t="n"/>
      <c r="AQ13" s="206" t="n"/>
    </row>
    <row r="14">
      <c r="B14" s="9" t="inlineStr">
        <is>
          <t>매출인식 기준 구독료(v-)</t>
        </is>
      </c>
      <c r="C14" s="527">
        <f>C15-C12-C11-C13</f>
        <v/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$C$16</f>
        <v/>
      </c>
      <c r="K14" s="516">
        <f>J14-L14-M14-N14</f>
        <v/>
      </c>
      <c r="L14" s="517">
        <f>$C$11/$C$7</f>
        <v/>
      </c>
      <c r="M14" s="517">
        <f>$C$12/$C$7</f>
        <v/>
      </c>
      <c r="N14" s="518">
        <f>$C$13/$C$7</f>
        <v/>
      </c>
      <c r="O14" s="515">
        <f>$C$32</f>
        <v/>
      </c>
      <c r="P14" s="516">
        <f>O14-Q14-R14-S14</f>
        <v/>
      </c>
      <c r="Q14" s="500">
        <f>$C$11/$C$7-$AQ$10-$AQ$16</f>
        <v/>
      </c>
      <c r="R14" s="517">
        <f>$C$12/$C$7-$AQ$11-$AQ$17</f>
        <v/>
      </c>
      <c r="S14" s="518">
        <f>$C$13/$C$7-$AQ$12-$AQ$18</f>
        <v/>
      </c>
      <c r="T14" s="515">
        <f>$C$43</f>
        <v/>
      </c>
      <c r="U14" s="516">
        <f>T14-V14-W14-X14</f>
        <v/>
      </c>
      <c r="V14" s="517">
        <f>$C$11/$C$7-$AQ$10-$AQ$16-$AQ$22</f>
        <v/>
      </c>
      <c r="W14" s="517">
        <f>$C$12/$C$7-$AQ$11-$AQ$17-$AQ$23</f>
        <v/>
      </c>
      <c r="X14" s="518">
        <f>$C$13/$C$7-$AQ$12-$AQ$18-$AQ$24</f>
        <v/>
      </c>
      <c r="Y14" s="562" t="n"/>
      <c r="Z14" s="571" t="n"/>
      <c r="AA14" s="572" t="n"/>
      <c r="AB14" s="572" t="n"/>
      <c r="AC14" s="566" t="n"/>
      <c r="AD14" s="517" t="n"/>
      <c r="AE14" s="646">
        <f>H14-G14+1</f>
        <v/>
      </c>
      <c r="AF14" s="646" t="n"/>
      <c r="AG14" s="518" t="n"/>
      <c r="AH14" s="92" t="n"/>
      <c r="AI14" s="196">
        <f>H14-G14+1</f>
        <v/>
      </c>
      <c r="AJ14" s="92" t="n"/>
      <c r="AK14" s="206" t="n"/>
      <c r="AL14" s="206" t="n"/>
      <c r="AM14" s="94" t="n"/>
      <c r="AO14" s="378" t="inlineStr">
        <is>
          <t>월 선납할인(V-)</t>
        </is>
      </c>
      <c r="AP14" s="251" t="n"/>
      <c r="AQ14" s="525">
        <f>C31/C7</f>
        <v/>
      </c>
    </row>
    <row r="15">
      <c r="B15" s="9" t="inlineStr">
        <is>
          <t>총구독료(v-)</t>
        </is>
      </c>
      <c r="C15" s="526" t="n">
        <v>11311200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$C$16</f>
        <v/>
      </c>
      <c r="K15" s="516">
        <f>J15-L15-M15-N15</f>
        <v/>
      </c>
      <c r="L15" s="517">
        <f>$C$11/$C$7</f>
        <v/>
      </c>
      <c r="M15" s="517">
        <f>$C$12/$C$7</f>
        <v/>
      </c>
      <c r="N15" s="518">
        <f>$C$13/$C$7</f>
        <v/>
      </c>
      <c r="O15" s="515">
        <f>$C$32</f>
        <v/>
      </c>
      <c r="P15" s="516">
        <f>O15-Q15-R15-S15</f>
        <v/>
      </c>
      <c r="Q15" s="500">
        <f>$C$11/$C$7-$AQ$10-$AQ$16</f>
        <v/>
      </c>
      <c r="R15" s="517">
        <f>$C$12/$C$7-$AQ$11-$AQ$17</f>
        <v/>
      </c>
      <c r="S15" s="518">
        <f>$C$13/$C$7-$AQ$12-$AQ$18</f>
        <v/>
      </c>
      <c r="T15" s="515">
        <f>$C$43</f>
        <v/>
      </c>
      <c r="U15" s="516">
        <f>T15-V15-W15-X15</f>
        <v/>
      </c>
      <c r="V15" s="517">
        <f>$C$11/$C$7-$AQ$10-$AQ$16-$AQ$22</f>
        <v/>
      </c>
      <c r="W15" s="517">
        <f>$C$12/$C$7-$AQ$11-$AQ$17-$AQ$23</f>
        <v/>
      </c>
      <c r="X15" s="518">
        <f>$C$13/$C$7-$AQ$12-$AQ$18-$AQ$24</f>
        <v/>
      </c>
      <c r="Y15" s="562" t="n"/>
      <c r="Z15" s="571" t="n"/>
      <c r="AA15" s="572" t="n"/>
      <c r="AB15" s="572" t="n"/>
      <c r="AC15" s="566" t="n"/>
      <c r="AD15" s="517" t="n"/>
      <c r="AE15" s="646">
        <f>H15-G15+1</f>
        <v/>
      </c>
      <c r="AF15" s="646" t="n"/>
      <c r="AG15" s="518" t="n"/>
      <c r="AH15" s="92" t="n"/>
      <c r="AI15" s="196">
        <f>H15-G15+1</f>
        <v/>
      </c>
      <c r="AJ15" s="92" t="n"/>
      <c r="AK15" s="206" t="n"/>
      <c r="AL15" s="206" t="n"/>
      <c r="AM15" s="94" t="n"/>
      <c r="AO15" s="375" t="n"/>
      <c r="AP15" s="506" t="inlineStr">
        <is>
          <t>제품</t>
        </is>
      </c>
      <c r="AQ15" s="507">
        <f>AQ14-AQ16-AQ17-AQ18</f>
        <v/>
      </c>
    </row>
    <row r="16">
      <c r="B16" s="9" t="inlineStr">
        <is>
          <t>월구독료(v-)</t>
        </is>
      </c>
      <c r="C16" s="526">
        <f>C15/C7</f>
        <v/>
      </c>
      <c r="E16" s="8" t="inlineStr">
        <is>
          <t>케어수행 1회차</t>
        </is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$C$16</f>
        <v/>
      </c>
      <c r="K16" s="516">
        <f>J16-L16-M16-N16</f>
        <v/>
      </c>
      <c r="L16" s="517">
        <f>$C$11/$C$7</f>
        <v/>
      </c>
      <c r="M16" s="517">
        <f>$C$12/$C$7</f>
        <v/>
      </c>
      <c r="N16" s="518">
        <f>$C$13/$C$7</f>
        <v/>
      </c>
      <c r="O16" s="515">
        <f>$C$32</f>
        <v/>
      </c>
      <c r="P16" s="516">
        <f>O16-Q16-R16-S16</f>
        <v/>
      </c>
      <c r="Q16" s="500">
        <f>$C$11/$C$7-$AQ$10-$AQ$16</f>
        <v/>
      </c>
      <c r="R16" s="517">
        <f>$C$12/$C$7-$AQ$11-$AQ$17</f>
        <v/>
      </c>
      <c r="S16" s="518">
        <f>$C$13/$C$7-$AQ$12-$AQ$18</f>
        <v/>
      </c>
      <c r="T16" s="515">
        <f>$C$43</f>
        <v/>
      </c>
      <c r="U16" s="516">
        <f>T16-V16-W16-X16</f>
        <v/>
      </c>
      <c r="V16" s="517">
        <f>$C$11/$C$7-$AQ$10-$AQ$16-$AQ$22</f>
        <v/>
      </c>
      <c r="W16" s="517">
        <f>$C$12/$C$7-$AQ$11-$AQ$17-$AQ$23</f>
        <v/>
      </c>
      <c r="X16" s="518">
        <f>$C$13/$C$7-$AQ$12-$AQ$18-$AQ$24</f>
        <v/>
      </c>
      <c r="Y16" s="562" t="n"/>
      <c r="Z16" s="571" t="n"/>
      <c r="AA16" s="572" t="n"/>
      <c r="AB16" s="572" t="n"/>
      <c r="AC16" s="566" t="n"/>
      <c r="AD16" s="517" t="n"/>
      <c r="AE16" s="646">
        <f>H16-G16+1</f>
        <v/>
      </c>
      <c r="AF16" s="646" t="n"/>
      <c r="AG16" s="518" t="n"/>
      <c r="AH16" s="92" t="n"/>
      <c r="AI16" s="196">
        <f>H16-G16+1</f>
        <v/>
      </c>
      <c r="AJ16" s="92" t="n"/>
      <c r="AK16" s="206" t="n"/>
      <c r="AL16" s="206" t="n"/>
      <c r="AM16" s="94" t="n"/>
      <c r="AO16" s="375" t="n"/>
      <c r="AP16" s="506" t="inlineStr">
        <is>
          <t>케어</t>
        </is>
      </c>
      <c r="AQ16" s="507">
        <f>ROUND(AQ14*$C$11/$C$15,-2)</f>
        <v/>
      </c>
    </row>
    <row r="17">
      <c r="B17" s="9" t="inlineStr">
        <is>
          <t>총구독료(v+)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$C$16</f>
        <v/>
      </c>
      <c r="K17" s="516">
        <f>J17-L17-M17-N17</f>
        <v/>
      </c>
      <c r="L17" s="517">
        <f>$C$11/$C$7</f>
        <v/>
      </c>
      <c r="M17" s="517">
        <f>$C$12/$C$7</f>
        <v/>
      </c>
      <c r="N17" s="518">
        <f>$C$13/$C$7</f>
        <v/>
      </c>
      <c r="O17" s="515">
        <f>$C$32</f>
        <v/>
      </c>
      <c r="P17" s="516">
        <f>O17-Q17-R17-S17</f>
        <v/>
      </c>
      <c r="Q17" s="500">
        <f>$C$11/$C$7-$AQ$10-$AQ$16</f>
        <v/>
      </c>
      <c r="R17" s="517">
        <f>$C$12/$C$7-$AQ$11-$AQ$17</f>
        <v/>
      </c>
      <c r="S17" s="518">
        <f>$C$13/$C$7-$AQ$12-$AQ$18</f>
        <v/>
      </c>
      <c r="T17" s="515">
        <f>$C$43</f>
        <v/>
      </c>
      <c r="U17" s="516">
        <f>T17-V17-W17-X17</f>
        <v/>
      </c>
      <c r="V17" s="517">
        <f>$C$11/$C$7-$AQ$10-$AQ$16-$AQ$22</f>
        <v/>
      </c>
      <c r="W17" s="517">
        <f>$C$12/$C$7-$AQ$11-$AQ$17-$AQ$23</f>
        <v/>
      </c>
      <c r="X17" s="518">
        <f>$C$13/$C$7-$AQ$12-$AQ$18-$AQ$24</f>
        <v/>
      </c>
      <c r="Y17" s="562" t="n"/>
      <c r="Z17" s="571" t="n"/>
      <c r="AA17" s="572" t="n"/>
      <c r="AB17" s="572" t="n"/>
      <c r="AC17" s="566" t="n"/>
      <c r="AD17" s="517" t="n"/>
      <c r="AE17" s="646">
        <f>H17-G17+1</f>
        <v/>
      </c>
      <c r="AF17" s="646" t="n"/>
      <c r="AG17" s="518" t="n"/>
      <c r="AH17" s="92" t="n"/>
      <c r="AI17" s="196">
        <f>H17-G17+1</f>
        <v/>
      </c>
      <c r="AJ17" s="92" t="n"/>
      <c r="AK17" s="206" t="n"/>
      <c r="AL17" s="206" t="n"/>
      <c r="AM17" s="94" t="n"/>
      <c r="AO17" s="375" t="n"/>
      <c r="AP17" s="524" t="inlineStr">
        <is>
          <t>보증</t>
        </is>
      </c>
      <c r="AQ17" s="507">
        <f>ROUND(AQ14*$C$12/$C$15,-2)</f>
        <v/>
      </c>
    </row>
    <row r="18">
      <c r="B18" s="9" t="inlineStr">
        <is>
          <t>월구독료(v+)</t>
        </is>
      </c>
      <c r="C18" s="526">
        <f>C17/C7</f>
        <v/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$C$16</f>
        <v/>
      </c>
      <c r="K18" s="516">
        <f>J18-L18-M18-N18</f>
        <v/>
      </c>
      <c r="L18" s="517">
        <f>$C$11/$C$7</f>
        <v/>
      </c>
      <c r="M18" s="517">
        <f>$C$12/$C$7</f>
        <v/>
      </c>
      <c r="N18" s="518">
        <f>$C$13/$C$7</f>
        <v/>
      </c>
      <c r="O18" s="515">
        <f>$C$32</f>
        <v/>
      </c>
      <c r="P18" s="516">
        <f>O18-Q18-R18-S18</f>
        <v/>
      </c>
      <c r="Q18" s="500">
        <f>$C$11/$C$7-$AQ$10-$AQ$16</f>
        <v/>
      </c>
      <c r="R18" s="517">
        <f>$C$12/$C$7-$AQ$11-$AQ$17</f>
        <v/>
      </c>
      <c r="S18" s="518">
        <f>$C$13/$C$7-$AQ$12-$AQ$18</f>
        <v/>
      </c>
      <c r="T18" s="515">
        <f>$C$43</f>
        <v/>
      </c>
      <c r="U18" s="516">
        <f>T18-V18-W18-X18</f>
        <v/>
      </c>
      <c r="V18" s="517">
        <f>$C$11/$C$7-$AQ$10-$AQ$16-$AQ$22</f>
        <v/>
      </c>
      <c r="W18" s="517">
        <f>$C$12/$C$7-$AQ$11-$AQ$17-$AQ$23</f>
        <v/>
      </c>
      <c r="X18" s="518">
        <f>$C$13/$C$7-$AQ$12-$AQ$18-$AQ$24</f>
        <v/>
      </c>
      <c r="Y18" s="562" t="n"/>
      <c r="Z18" s="571" t="n"/>
      <c r="AA18" s="572" t="n"/>
      <c r="AB18" s="572" t="n"/>
      <c r="AC18" s="566" t="n"/>
      <c r="AD18" s="517" t="n"/>
      <c r="AE18" s="646">
        <f>H18-G18+1</f>
        <v/>
      </c>
      <c r="AF18" s="646" t="n"/>
      <c r="AG18" s="518" t="n"/>
      <c r="AH18" s="92" t="n"/>
      <c r="AI18" s="196">
        <f>H18-G18+1</f>
        <v/>
      </c>
      <c r="AJ18" s="92" t="n"/>
      <c r="AK18" s="206" t="n"/>
      <c r="AL18" s="206" t="n"/>
      <c r="AM18" s="94" t="n"/>
      <c r="AO18" s="376" t="n"/>
      <c r="AP18" s="524" t="inlineStr">
        <is>
          <t>재설치</t>
        </is>
      </c>
      <c r="AQ18" s="507">
        <f>ROUND(AQ14*$C$13/$C$15,-2)</f>
        <v/>
      </c>
    </row>
    <row r="19">
      <c r="B19" s="495" t="n"/>
      <c r="C19" s="697" t="n"/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$C$16</f>
        <v/>
      </c>
      <c r="K19" s="516">
        <f>J19-L19-M19-N19</f>
        <v/>
      </c>
      <c r="L19" s="517">
        <f>$C$11/$C$7</f>
        <v/>
      </c>
      <c r="M19" s="517">
        <f>$C$12/$C$7</f>
        <v/>
      </c>
      <c r="N19" s="518">
        <f>$C$13/$C$7</f>
        <v/>
      </c>
      <c r="O19" s="515">
        <f>$C$32</f>
        <v/>
      </c>
      <c r="P19" s="516">
        <f>O19-Q19-R19-S19</f>
        <v/>
      </c>
      <c r="Q19" s="500">
        <f>$C$11/$C$7-$AQ$10-$AQ$16</f>
        <v/>
      </c>
      <c r="R19" s="517">
        <f>$C$12/$C$7-$AQ$11-$AQ$17</f>
        <v/>
      </c>
      <c r="S19" s="518">
        <f>$C$13/$C$7-$AQ$12-$AQ$18</f>
        <v/>
      </c>
      <c r="T19" s="515">
        <f>$C$43</f>
        <v/>
      </c>
      <c r="U19" s="516">
        <f>T19-V19-W19-X19</f>
        <v/>
      </c>
      <c r="V19" s="517">
        <f>$C$11/$C$7-$AQ$10-$AQ$16-$AQ$22</f>
        <v/>
      </c>
      <c r="W19" s="517">
        <f>$C$12/$C$7-$AQ$11-$AQ$17-$AQ$23</f>
        <v/>
      </c>
      <c r="X19" s="518">
        <f>$C$13/$C$7-$AQ$12-$AQ$18-$AQ$24</f>
        <v/>
      </c>
      <c r="Y19" s="562" t="n"/>
      <c r="Z19" s="571" t="n"/>
      <c r="AA19" s="572" t="n"/>
      <c r="AB19" s="572" t="n"/>
      <c r="AC19" s="566" t="n"/>
      <c r="AD19" s="517" t="n"/>
      <c r="AE19" s="646">
        <f>H19-G19+1</f>
        <v/>
      </c>
      <c r="AF19" s="646" t="n"/>
      <c r="AG19" s="518" t="n"/>
      <c r="AH19" s="92" t="n"/>
      <c r="AI19" s="196">
        <f>H19-G19+1</f>
        <v/>
      </c>
      <c r="AJ19" s="92" t="n"/>
      <c r="AK19" s="206" t="n"/>
      <c r="AL19" s="206" t="n"/>
      <c r="AM19" s="94" t="n"/>
    </row>
    <row r="20"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$C$16</f>
        <v/>
      </c>
      <c r="K20" s="516">
        <f>J20-L20-M20-N20</f>
        <v/>
      </c>
      <c r="L20" s="517">
        <f>$C$11/$C$7</f>
        <v/>
      </c>
      <c r="M20" s="517">
        <f>$C$12/$C$7</f>
        <v/>
      </c>
      <c r="N20" s="518">
        <f>$C$13/$C$7</f>
        <v/>
      </c>
      <c r="O20" s="515">
        <f>$C$32</f>
        <v/>
      </c>
      <c r="P20" s="516">
        <f>O20-Q20-R20-S20</f>
        <v/>
      </c>
      <c r="Q20" s="500">
        <f>$C$11/$C$7-$AQ$10-$AQ$16</f>
        <v/>
      </c>
      <c r="R20" s="517">
        <f>$C$12/$C$7-$AQ$11-$AQ$17</f>
        <v/>
      </c>
      <c r="S20" s="518">
        <f>$C$13/$C$7-$AQ$12-$AQ$18</f>
        <v/>
      </c>
      <c r="T20" s="515">
        <f>$C$43</f>
        <v/>
      </c>
      <c r="U20" s="516">
        <f>T20-V20-W20-X20</f>
        <v/>
      </c>
      <c r="V20" s="517">
        <f>$C$11/$C$7-$AQ$10-$AQ$16-$AQ$22</f>
        <v/>
      </c>
      <c r="W20" s="517">
        <f>$C$12/$C$7-$AQ$11-$AQ$17-$AQ$23</f>
        <v/>
      </c>
      <c r="X20" s="518">
        <f>$C$13/$C$7-$AQ$12-$AQ$18-$AQ$24</f>
        <v/>
      </c>
      <c r="Y20" s="562" t="n"/>
      <c r="Z20" s="571" t="n"/>
      <c r="AA20" s="572" t="n"/>
      <c r="AB20" s="572" t="n"/>
      <c r="AC20" s="566" t="n"/>
      <c r="AD20" s="517" t="n"/>
      <c r="AE20" s="646">
        <f>H20-G20+1</f>
        <v/>
      </c>
      <c r="AF20" s="646" t="n"/>
      <c r="AG20" s="518" t="n"/>
      <c r="AH20" s="92" t="n"/>
      <c r="AI20" s="196">
        <f>H20-G20+1</f>
        <v/>
      </c>
      <c r="AJ20" s="92" t="n"/>
      <c r="AK20" s="206" t="n"/>
      <c r="AL20" s="206" t="n"/>
      <c r="AM20" s="94" t="n"/>
      <c r="AO20" s="378" t="inlineStr">
        <is>
          <t>월 다품목 할인(V-)</t>
        </is>
      </c>
      <c r="AP20" s="251" t="n"/>
      <c r="AQ20" s="525">
        <f>C42/C7</f>
        <v/>
      </c>
    </row>
    <row r="21">
      <c r="A21" s="176" t="n"/>
      <c r="B21" s="9" t="inlineStr">
        <is>
          <t>선납금 %</t>
        </is>
      </c>
      <c r="C21" s="288" t="n">
        <v>0.3</v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$C$16</f>
        <v/>
      </c>
      <c r="K21" s="516">
        <f>J21-L21-M21-N21</f>
        <v/>
      </c>
      <c r="L21" s="517">
        <f>$C$11/$C$7</f>
        <v/>
      </c>
      <c r="M21" s="517">
        <f>$C$12/$C$7</f>
        <v/>
      </c>
      <c r="N21" s="518">
        <f>$C$13/$C$7</f>
        <v/>
      </c>
      <c r="O21" s="515">
        <f>$C$32</f>
        <v/>
      </c>
      <c r="P21" s="516">
        <f>O21-Q21-R21-S21</f>
        <v/>
      </c>
      <c r="Q21" s="500">
        <f>$C$11/$C$7-$AQ$10-$AQ$16</f>
        <v/>
      </c>
      <c r="R21" s="517">
        <f>$C$12/$C$7-$AQ$11-$AQ$17</f>
        <v/>
      </c>
      <c r="S21" s="518">
        <f>$C$13/$C$7-$AQ$12-$AQ$18</f>
        <v/>
      </c>
      <c r="T21" s="515">
        <f>$C$43</f>
        <v/>
      </c>
      <c r="U21" s="516">
        <f>T21-V21-W21-X21</f>
        <v/>
      </c>
      <c r="V21" s="517">
        <f>$C$11/$C$7-$AQ$10-$AQ$16-$AQ$22</f>
        <v/>
      </c>
      <c r="W21" s="517">
        <f>$C$12/$C$7-$AQ$11-$AQ$17-$AQ$23</f>
        <v/>
      </c>
      <c r="X21" s="518">
        <f>$C$13/$C$7-$AQ$12-$AQ$18-$AQ$24</f>
        <v/>
      </c>
      <c r="Y21" s="562" t="n"/>
      <c r="Z21" s="571" t="n"/>
      <c r="AA21" s="572" t="n"/>
      <c r="AB21" s="572" t="n"/>
      <c r="AC21" s="566" t="n"/>
      <c r="AD21" s="517" t="n"/>
      <c r="AE21" s="646">
        <f>H21-G21+1</f>
        <v/>
      </c>
      <c r="AF21" s="646" t="n"/>
      <c r="AG21" s="518" t="n"/>
      <c r="AH21" s="92" t="n"/>
      <c r="AI21" s="196">
        <f>H21-G21+1</f>
        <v/>
      </c>
      <c r="AJ21" s="92" t="n"/>
      <c r="AK21" s="206" t="n"/>
      <c r="AL21" s="206" t="n"/>
      <c r="AM21" s="94" t="n"/>
      <c r="AO21" s="375" t="n"/>
      <c r="AP21" s="506" t="inlineStr">
        <is>
          <t>제품</t>
        </is>
      </c>
      <c r="AQ21" s="507">
        <f>AQ20-AQ22-AQ23-AQ24</f>
        <v/>
      </c>
    </row>
    <row r="22">
      <c r="A22" s="176" t="n"/>
      <c r="B22" s="9" t="inlineStr">
        <is>
          <t>(계산용) 선납금(v-) (총구독료 v+ 기준)</t>
        </is>
      </c>
      <c r="C22" s="506">
        <f>C17*C21/1.1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$C$16</f>
        <v/>
      </c>
      <c r="K22" s="516">
        <f>J22-L22-M22-N22</f>
        <v/>
      </c>
      <c r="L22" s="517">
        <f>$C$11/$C$7</f>
        <v/>
      </c>
      <c r="M22" s="517">
        <f>$C$12/$C$7</f>
        <v/>
      </c>
      <c r="N22" s="518">
        <f>$C$13/$C$7</f>
        <v/>
      </c>
      <c r="O22" s="515">
        <f>$C$32</f>
        <v/>
      </c>
      <c r="P22" s="516">
        <f>O22-Q22-R22-S22</f>
        <v/>
      </c>
      <c r="Q22" s="500">
        <f>$C$11/$C$7-$AQ$10-$AQ$16</f>
        <v/>
      </c>
      <c r="R22" s="517">
        <f>$C$12/$C$7-$AQ$11-$AQ$17</f>
        <v/>
      </c>
      <c r="S22" s="518">
        <f>$C$13/$C$7-$AQ$12-$AQ$18</f>
        <v/>
      </c>
      <c r="T22" s="515">
        <f>$C$43</f>
        <v/>
      </c>
      <c r="U22" s="516">
        <f>T22-V22-W22-X22</f>
        <v/>
      </c>
      <c r="V22" s="517">
        <f>$C$11/$C$7-$AQ$10-$AQ$16-$AQ$22</f>
        <v/>
      </c>
      <c r="W22" s="517">
        <f>$C$12/$C$7-$AQ$11-$AQ$17-$AQ$23</f>
        <v/>
      </c>
      <c r="X22" s="518">
        <f>$C$13/$C$7-$AQ$12-$AQ$18-$AQ$24</f>
        <v/>
      </c>
      <c r="Y22" s="562" t="n"/>
      <c r="Z22" s="571" t="n"/>
      <c r="AA22" s="572" t="n"/>
      <c r="AB22" s="572" t="n"/>
      <c r="AC22" s="566" t="n"/>
      <c r="AD22" s="517" t="n"/>
      <c r="AE22" s="646">
        <f>H22-G22+1</f>
        <v/>
      </c>
      <c r="AF22" s="646" t="n"/>
      <c r="AG22" s="518" t="n"/>
      <c r="AH22" s="92" t="n"/>
      <c r="AI22" s="196">
        <f>H22-G22+1</f>
        <v/>
      </c>
      <c r="AJ22" s="92" t="n"/>
      <c r="AK22" s="206" t="n"/>
      <c r="AL22" s="206" t="n"/>
      <c r="AM22" s="94" t="n"/>
      <c r="AO22" s="375" t="n"/>
      <c r="AP22" s="506" t="inlineStr">
        <is>
          <t>케어</t>
        </is>
      </c>
      <c r="AQ22" s="507">
        <f>ROUND(AQ20*$C$11/$C$15,-2)</f>
        <v/>
      </c>
    </row>
    <row r="23">
      <c r="A23" s="176" t="n"/>
      <c r="B23" s="9" t="inlineStr">
        <is>
          <t>(계산용) 월 선납금(V-)</t>
        </is>
      </c>
      <c r="C23" s="506">
        <f>ROUND(C22/C7,-2)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$C$16</f>
        <v/>
      </c>
      <c r="K23" s="516">
        <f>J23-L23-M23-N23</f>
        <v/>
      </c>
      <c r="L23" s="517">
        <f>$C$11/$C$7</f>
        <v/>
      </c>
      <c r="M23" s="517">
        <f>$C$12/$C$7</f>
        <v/>
      </c>
      <c r="N23" s="518">
        <f>$C$13/$C$7</f>
        <v/>
      </c>
      <c r="O23" s="515">
        <f>$C$32</f>
        <v/>
      </c>
      <c r="P23" s="516">
        <f>O23-Q23-R23-S23</f>
        <v/>
      </c>
      <c r="Q23" s="500">
        <f>$C$11/$C$7-$AQ$10-$AQ$16</f>
        <v/>
      </c>
      <c r="R23" s="517">
        <f>$C$12/$C$7-$AQ$11-$AQ$17</f>
        <v/>
      </c>
      <c r="S23" s="518">
        <f>$C$13/$C$7-$AQ$12-$AQ$18</f>
        <v/>
      </c>
      <c r="T23" s="515">
        <f>$C$43</f>
        <v/>
      </c>
      <c r="U23" s="516">
        <f>T23-V23-W23-X23</f>
        <v/>
      </c>
      <c r="V23" s="517">
        <f>$C$11/$C$7-$AQ$10-$AQ$16-$AQ$22</f>
        <v/>
      </c>
      <c r="W23" s="517">
        <f>$C$12/$C$7-$AQ$11-$AQ$17-$AQ$23</f>
        <v/>
      </c>
      <c r="X23" s="518">
        <f>$C$13/$C$7-$AQ$12-$AQ$18-$AQ$24</f>
        <v/>
      </c>
      <c r="Y23" s="712" t="n"/>
      <c r="Z23" s="571" t="n"/>
      <c r="AA23" s="572" t="n"/>
      <c r="AB23" s="572" t="n"/>
      <c r="AC23" s="566" t="n"/>
      <c r="AD23" s="517" t="n"/>
      <c r="AE23" s="646">
        <f>H23-G23+1</f>
        <v/>
      </c>
      <c r="AF23" s="646" t="n"/>
      <c r="AG23" s="518" t="n"/>
      <c r="AH23" s="92" t="n"/>
      <c r="AI23" s="196">
        <f>H23-G23+1</f>
        <v/>
      </c>
      <c r="AK23" s="206" t="n"/>
      <c r="AL23" s="206" t="n"/>
      <c r="AM23" s="94" t="n"/>
      <c r="AO23" s="375" t="n"/>
      <c r="AP23" s="524" t="inlineStr">
        <is>
          <t>보증</t>
        </is>
      </c>
      <c r="AQ23" s="507">
        <f>ROUND(AQ20*$C$12/$C$15,-2)</f>
        <v/>
      </c>
    </row>
    <row r="24">
      <c r="A24" s="176" t="n"/>
      <c r="B24" s="9" t="inlineStr">
        <is>
          <t>(계산용) 월 선납금(V+)</t>
        </is>
      </c>
      <c r="C24" s="506">
        <f>C23*1.1</f>
        <v/>
      </c>
      <c r="E24" s="202" t="inlineStr">
        <is>
          <t>* 할인 원복상황 발생</t>
        </is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$C$16</f>
        <v/>
      </c>
      <c r="K24" s="631">
        <f>J24-L24-M24-N24</f>
        <v/>
      </c>
      <c r="L24" s="632">
        <f>$C$11/$C$7</f>
        <v/>
      </c>
      <c r="M24" s="632">
        <f>$C$12/$C$7</f>
        <v/>
      </c>
      <c r="N24" s="633">
        <f>$C$13/$C$7</f>
        <v/>
      </c>
      <c r="O24" s="630">
        <f>$C$32</f>
        <v/>
      </c>
      <c r="P24" s="631">
        <f>O24-Q24-R24-S24</f>
        <v/>
      </c>
      <c r="Q24" s="634">
        <f>$C$11/$C$7-$AQ$10-$AQ$16</f>
        <v/>
      </c>
      <c r="R24" s="632">
        <f>$C$12/$C$7-$AQ$11-$AQ$17</f>
        <v/>
      </c>
      <c r="S24" s="633">
        <f>$C$13/$C$7-$AQ$12-$AQ$18</f>
        <v/>
      </c>
      <c r="T24" s="630">
        <f>$C$43</f>
        <v/>
      </c>
      <c r="U24" s="631">
        <f>T24-V24-W24-X24</f>
        <v/>
      </c>
      <c r="V24" s="632">
        <f>$C$11/$C$7-$AQ$10-$AQ$16-$AQ$22</f>
        <v/>
      </c>
      <c r="W24" s="632">
        <f>$C$12/$C$7-$AQ$11-$AQ$17-$AQ$23</f>
        <v/>
      </c>
      <c r="X24" s="632">
        <f>$C$13/$C$7-$AQ$12-$AQ$18-$AQ$24</f>
        <v/>
      </c>
      <c r="Y24" s="713" t="inlineStr">
        <is>
          <t>* 구독료 원복은 21회차 구독료 금액부터 적용</t>
        </is>
      </c>
      <c r="Z24" s="631" t="n"/>
      <c r="AA24" s="632" t="n"/>
      <c r="AB24" s="632" t="n"/>
      <c r="AC24" s="633" t="n"/>
      <c r="AD24" s="99" t="n">
        <v>46494</v>
      </c>
      <c r="AE24" s="714" t="n">
        <v>17</v>
      </c>
      <c r="AF24" s="647">
        <f>T24</f>
        <v/>
      </c>
      <c r="AG24" s="715" t="n">
        <v>0</v>
      </c>
      <c r="AH24" s="195" t="n"/>
      <c r="AI24" s="196">
        <f>H24-G24+1</f>
        <v/>
      </c>
      <c r="AJ24" s="646" t="n"/>
      <c r="AK24" s="517" t="n"/>
      <c r="AL24" s="517" t="n"/>
      <c r="AM24" s="699" t="n"/>
      <c r="AO24" s="376" t="n"/>
      <c r="AP24" s="524" t="inlineStr">
        <is>
          <t>재설치</t>
        </is>
      </c>
      <c r="AQ24" s="507">
        <f>ROUND(AQ20*$C$13/$C$15,-2)</f>
        <v/>
      </c>
    </row>
    <row r="25">
      <c r="A25" s="176" t="n"/>
      <c r="B25" s="9" t="inlineStr">
        <is>
          <t>(최종) 선납금 반영 월 구독료 (V-)</t>
        </is>
      </c>
      <c r="C25" s="506">
        <f>C16-C23</f>
        <v/>
      </c>
      <c r="E25" s="202" t="n"/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$C$16</f>
        <v/>
      </c>
      <c r="K25" s="516">
        <f>J25-L25-M25-N25</f>
        <v/>
      </c>
      <c r="L25" s="517">
        <f>$C$11/$C$7</f>
        <v/>
      </c>
      <c r="M25" s="517">
        <f>$C$12/$C$7</f>
        <v/>
      </c>
      <c r="N25" s="518">
        <f>$C$13/$C$7</f>
        <v/>
      </c>
      <c r="O25" s="515">
        <f>$C$32</f>
        <v/>
      </c>
      <c r="P25" s="516">
        <f>O25-Q25-R25-S25</f>
        <v/>
      </c>
      <c r="Q25" s="500">
        <f>$C$11/$C$7-$AQ$10-$AQ$16</f>
        <v/>
      </c>
      <c r="R25" s="517">
        <f>$C$12/$C$7-$AQ$11-$AQ$17</f>
        <v/>
      </c>
      <c r="S25" s="518">
        <f>$C$13/$C$7-$AQ$12-$AQ$18</f>
        <v/>
      </c>
      <c r="T25" s="693">
        <f>$C$43</f>
        <v/>
      </c>
      <c r="U25" s="694">
        <f>T25-V25-W25-X25</f>
        <v/>
      </c>
      <c r="V25" s="695">
        <f>$C$11/$C$7-$AQ$10-$AQ$16-$AQ$22</f>
        <v/>
      </c>
      <c r="W25" s="695">
        <f>$C$12/$C$7-$AQ$11-$AQ$17-$AQ$23</f>
        <v/>
      </c>
      <c r="X25" s="695">
        <f>$C$13/$C$7-$AQ$12-$AQ$18-$AQ$24</f>
        <v/>
      </c>
      <c r="Y25" s="515">
        <f>O25</f>
        <v/>
      </c>
      <c r="Z25" s="516">
        <f>P25</f>
        <v/>
      </c>
      <c r="AA25" s="517">
        <f>Q25</f>
        <v/>
      </c>
      <c r="AB25" s="517">
        <f>R25</f>
        <v/>
      </c>
      <c r="AC25" s="518">
        <f>S25</f>
        <v/>
      </c>
      <c r="AD25" s="517" t="n"/>
      <c r="AE25" s="646" t="n"/>
      <c r="AF25" s="646" t="n"/>
      <c r="AG25" s="716" t="inlineStr">
        <is>
          <t>* 결합할인 풀리는 시점에 결합할인 혜택 회수</t>
        </is>
      </c>
      <c r="AH25" s="92" t="n"/>
      <c r="AI25" s="196">
        <f>H25-G25+1</f>
        <v/>
      </c>
      <c r="AJ25" s="92" t="n"/>
      <c r="AK25" s="539" t="n"/>
      <c r="AL25" s="206" t="n"/>
      <c r="AM25" s="94" t="n"/>
    </row>
    <row r="26">
      <c r="A26" s="176" t="n"/>
      <c r="B26" s="9" t="inlineStr">
        <is>
          <t>(최종) 선납금 반영 총 구독료 (V-)</t>
        </is>
      </c>
      <c r="C26" s="506">
        <f>C15-C23*C7</f>
        <v/>
      </c>
      <c r="D26" s="206">
        <f>C25*C7=C26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$C$16</f>
        <v/>
      </c>
      <c r="K26" s="516">
        <f>J26-L26-M26-N26</f>
        <v/>
      </c>
      <c r="L26" s="517">
        <f>$C$11/$C$7</f>
        <v/>
      </c>
      <c r="M26" s="517">
        <f>$C$12/$C$7</f>
        <v/>
      </c>
      <c r="N26" s="518">
        <f>$C$13/$C$7</f>
        <v/>
      </c>
      <c r="O26" s="515">
        <f>$C$32</f>
        <v/>
      </c>
      <c r="P26" s="516">
        <f>O26-Q26-R26-S26</f>
        <v/>
      </c>
      <c r="Q26" s="500">
        <f>$C$11/$C$7-$AQ$10-$AQ$16</f>
        <v/>
      </c>
      <c r="R26" s="517">
        <f>$C$12/$C$7-$AQ$11-$AQ$17</f>
        <v/>
      </c>
      <c r="S26" s="518">
        <f>$C$13/$C$7-$AQ$12-$AQ$18</f>
        <v/>
      </c>
      <c r="T26" s="693">
        <f>$C$43</f>
        <v/>
      </c>
      <c r="U26" s="694">
        <f>T26-V26-W26-X26</f>
        <v/>
      </c>
      <c r="V26" s="695">
        <f>$C$11/$C$7-$AQ$10-$AQ$16-$AQ$22</f>
        <v/>
      </c>
      <c r="W26" s="695">
        <f>$C$12/$C$7-$AQ$11-$AQ$17-$AQ$23</f>
        <v/>
      </c>
      <c r="X26" s="695">
        <f>$C$13/$C$7-$AQ$12-$AQ$18-$AQ$24</f>
        <v/>
      </c>
      <c r="Y26" s="515">
        <f>O26</f>
        <v/>
      </c>
      <c r="Z26" s="516">
        <f>P26</f>
        <v/>
      </c>
      <c r="AA26" s="517">
        <f>Q26</f>
        <v/>
      </c>
      <c r="AB26" s="517">
        <f>R26</f>
        <v/>
      </c>
      <c r="AC26" s="518">
        <f>S26</f>
        <v/>
      </c>
      <c r="AD26" s="517" t="n"/>
      <c r="AE26" s="646" t="n"/>
      <c r="AF26" s="646" t="n"/>
      <c r="AG26" s="701" t="n"/>
      <c r="AH26" s="92" t="n"/>
      <c r="AI26" s="196">
        <f>H26-G26+1</f>
        <v/>
      </c>
      <c r="AJ26" s="92" t="n"/>
      <c r="AK26" s="206" t="n"/>
      <c r="AL26" s="206" t="n"/>
      <c r="AM26" s="94" t="n"/>
    </row>
    <row r="27">
      <c r="A27" s="176" t="n"/>
      <c r="B27" s="63" t="inlineStr">
        <is>
          <t>(최종) 선납금 (V-)</t>
        </is>
      </c>
      <c r="C27" s="506">
        <f>C23*C7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$C$16</f>
        <v/>
      </c>
      <c r="K27" s="516">
        <f>J27-L27-M27-N27</f>
        <v/>
      </c>
      <c r="L27" s="517">
        <f>$C$11/$C$7</f>
        <v/>
      </c>
      <c r="M27" s="517">
        <f>$C$12/$C$7</f>
        <v/>
      </c>
      <c r="N27" s="518">
        <f>$C$13/$C$7</f>
        <v/>
      </c>
      <c r="O27" s="515">
        <f>$C$32</f>
        <v/>
      </c>
      <c r="P27" s="516">
        <f>O27-Q27-R27-S27</f>
        <v/>
      </c>
      <c r="Q27" s="500">
        <f>$C$11/$C$7-$AQ$10-$AQ$16</f>
        <v/>
      </c>
      <c r="R27" s="517">
        <f>$C$12/$C$7-$AQ$11-$AQ$17</f>
        <v/>
      </c>
      <c r="S27" s="518">
        <f>$C$13/$C$7-$AQ$12-$AQ$18</f>
        <v/>
      </c>
      <c r="T27" s="693">
        <f>$C$43</f>
        <v/>
      </c>
      <c r="U27" s="694">
        <f>T27-V27-W27-X27</f>
        <v/>
      </c>
      <c r="V27" s="695">
        <f>$C$11/$C$7-$AQ$10-$AQ$16-$AQ$22</f>
        <v/>
      </c>
      <c r="W27" s="695">
        <f>$C$12/$C$7-$AQ$11-$AQ$17-$AQ$23</f>
        <v/>
      </c>
      <c r="X27" s="695">
        <f>$C$13/$C$7-$AQ$12-$AQ$18-$AQ$24</f>
        <v/>
      </c>
      <c r="Y27" s="515">
        <f>O27</f>
        <v/>
      </c>
      <c r="Z27" s="516">
        <f>P27</f>
        <v/>
      </c>
      <c r="AA27" s="517">
        <f>Q27</f>
        <v/>
      </c>
      <c r="AB27" s="517">
        <f>R27</f>
        <v/>
      </c>
      <c r="AC27" s="518">
        <f>S27</f>
        <v/>
      </c>
      <c r="AD27" s="517" t="n"/>
      <c r="AE27" s="646" t="n"/>
      <c r="AF27" s="646" t="n"/>
      <c r="AG27" s="518" t="n"/>
      <c r="AH27" s="92" t="n"/>
      <c r="AI27" s="196">
        <f>H27-G27+1</f>
        <v/>
      </c>
      <c r="AJ27" s="92" t="n"/>
      <c r="AK27" s="206" t="n"/>
      <c r="AL27" s="206" t="n"/>
      <c r="AM27" s="94" t="n"/>
    </row>
    <row r="28">
      <c r="B28" s="9" t="inlineStr">
        <is>
          <t>(계산용) 선납 할인금 (4%) (V-)</t>
        </is>
      </c>
      <c r="C28" s="506">
        <f>C17*4%/1.1</f>
        <v/>
      </c>
      <c r="E28" s="8" t="inlineStr">
        <is>
          <t>케어수행 2회차</t>
        </is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$C$16</f>
        <v/>
      </c>
      <c r="K28" s="516">
        <f>J28-L28-M28-N28</f>
        <v/>
      </c>
      <c r="L28" s="517">
        <f>$C$11/$C$7</f>
        <v/>
      </c>
      <c r="M28" s="517">
        <f>$C$12/$C$7</f>
        <v/>
      </c>
      <c r="N28" s="518">
        <f>$C$13/$C$7</f>
        <v/>
      </c>
      <c r="O28" s="515">
        <f>$C$32</f>
        <v/>
      </c>
      <c r="P28" s="516">
        <f>O28-Q28-R28-S28</f>
        <v/>
      </c>
      <c r="Q28" s="500">
        <f>$C$11/$C$7-$AQ$10-$AQ$16</f>
        <v/>
      </c>
      <c r="R28" s="517">
        <f>$C$12/$C$7-$AQ$11-$AQ$17</f>
        <v/>
      </c>
      <c r="S28" s="518">
        <f>$C$13/$C$7-$AQ$12-$AQ$18</f>
        <v/>
      </c>
      <c r="T28" s="693">
        <f>$C$43</f>
        <v/>
      </c>
      <c r="U28" s="694">
        <f>T28-V28-W28-X28</f>
        <v/>
      </c>
      <c r="V28" s="695">
        <f>$C$11/$C$7-$AQ$10-$AQ$16-$AQ$22</f>
        <v/>
      </c>
      <c r="W28" s="695">
        <f>$C$12/$C$7-$AQ$11-$AQ$17-$AQ$23</f>
        <v/>
      </c>
      <c r="X28" s="695">
        <f>$C$13/$C$7-$AQ$12-$AQ$18-$AQ$24</f>
        <v/>
      </c>
      <c r="Y28" s="515">
        <f>O28</f>
        <v/>
      </c>
      <c r="Z28" s="516">
        <f>P28</f>
        <v/>
      </c>
      <c r="AA28" s="517">
        <f>Q28</f>
        <v/>
      </c>
      <c r="AB28" s="517">
        <f>R28</f>
        <v/>
      </c>
      <c r="AC28" s="518">
        <f>S28</f>
        <v/>
      </c>
      <c r="AD28" s="517" t="n"/>
      <c r="AE28" s="646" t="n"/>
      <c r="AF28" s="646" t="n"/>
      <c r="AG28" s="518" t="n"/>
      <c r="AH28" s="92" t="n"/>
      <c r="AI28" s="196">
        <f>H28-G28+1</f>
        <v/>
      </c>
      <c r="AJ28" s="92" t="n"/>
      <c r="AK28" s="206" t="n"/>
      <c r="AL28" s="206" t="n"/>
      <c r="AM28" s="94" t="n"/>
    </row>
    <row r="29">
      <c r="B29" s="9" t="inlineStr">
        <is>
          <t>(계산용) 선납 할인금 월할 (V-)</t>
        </is>
      </c>
      <c r="C29" s="506">
        <f>C28/C7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$C$16</f>
        <v/>
      </c>
      <c r="K29" s="516">
        <f>J29-L29-M29-N29</f>
        <v/>
      </c>
      <c r="L29" s="517">
        <f>$C$11/$C$7</f>
        <v/>
      </c>
      <c r="M29" s="517">
        <f>$C$12/$C$7</f>
        <v/>
      </c>
      <c r="N29" s="518">
        <f>$C$13/$C$7</f>
        <v/>
      </c>
      <c r="O29" s="515">
        <f>$C$32</f>
        <v/>
      </c>
      <c r="P29" s="516">
        <f>O29-Q29-R29-S29</f>
        <v/>
      </c>
      <c r="Q29" s="500">
        <f>$C$11/$C$7-$AQ$10-$AQ$16</f>
        <v/>
      </c>
      <c r="R29" s="517">
        <f>$C$12/$C$7-$AQ$11-$AQ$17</f>
        <v/>
      </c>
      <c r="S29" s="518">
        <f>$C$13/$C$7-$AQ$12-$AQ$18</f>
        <v/>
      </c>
      <c r="T29" s="693">
        <f>$C$43</f>
        <v/>
      </c>
      <c r="U29" s="694">
        <f>T29-V29-W29-X29</f>
        <v/>
      </c>
      <c r="V29" s="695">
        <f>$C$11/$C$7-$AQ$10-$AQ$16-$AQ$22</f>
        <v/>
      </c>
      <c r="W29" s="695">
        <f>$C$12/$C$7-$AQ$11-$AQ$17-$AQ$23</f>
        <v/>
      </c>
      <c r="X29" s="695">
        <f>$C$13/$C$7-$AQ$12-$AQ$18-$AQ$24</f>
        <v/>
      </c>
      <c r="Y29" s="515">
        <f>O29</f>
        <v/>
      </c>
      <c r="Z29" s="516">
        <f>P29</f>
        <v/>
      </c>
      <c r="AA29" s="517">
        <f>Q29</f>
        <v/>
      </c>
      <c r="AB29" s="517">
        <f>R29</f>
        <v/>
      </c>
      <c r="AC29" s="518">
        <f>S29</f>
        <v/>
      </c>
      <c r="AD29" s="517" t="n"/>
      <c r="AE29" s="646" t="n"/>
      <c r="AF29" s="646" t="n"/>
      <c r="AG29" s="518" t="n"/>
      <c r="AH29" s="92" t="n"/>
      <c r="AI29" s="196">
        <f>H29-G29+1</f>
        <v/>
      </c>
      <c r="AJ29" s="92" t="n"/>
      <c r="AK29" s="206" t="n"/>
      <c r="AL29" s="206" t="n"/>
      <c r="AM29" s="94" t="n"/>
      <c r="AO29" s="206" t="inlineStr">
        <is>
          <t>케어서비스 수행 매출</t>
        </is>
      </c>
      <c r="AQ29" s="206" t="inlineStr">
        <is>
          <t>이븐하게</t>
        </is>
      </c>
      <c r="AR29" s="206" t="inlineStr">
        <is>
          <t>이븐하게</t>
        </is>
      </c>
      <c r="AU29" s="206" t="inlineStr">
        <is>
          <t>비율대로</t>
        </is>
      </c>
      <c r="AV29" s="206" t="inlineStr">
        <is>
          <t>비율대로</t>
        </is>
      </c>
      <c r="AX29" s="206" t="inlineStr">
        <is>
          <t>수취금 무관 원래 인식했어야하는 금액으로 이븐하게</t>
        </is>
      </c>
    </row>
    <row r="30">
      <c r="B30" s="9" t="inlineStr">
        <is>
          <t>(계산용) 선납 할인금 월할 보정 (V-)</t>
        </is>
      </c>
      <c r="C30" s="506">
        <f>ROUNDUP(C29,-2)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$C$16</f>
        <v/>
      </c>
      <c r="K30" s="516">
        <f>J30-L30-M30-N30</f>
        <v/>
      </c>
      <c r="L30" s="517">
        <f>$C$11/$C$7</f>
        <v/>
      </c>
      <c r="M30" s="517">
        <f>$C$12/$C$7</f>
        <v/>
      </c>
      <c r="N30" s="518">
        <f>$C$13/$C$7</f>
        <v/>
      </c>
      <c r="O30" s="515">
        <f>$C$32</f>
        <v/>
      </c>
      <c r="P30" s="516">
        <f>O30-Q30-R30-S30</f>
        <v/>
      </c>
      <c r="Q30" s="500">
        <f>$C$11/$C$7-$AQ$10-$AQ$16</f>
        <v/>
      </c>
      <c r="R30" s="517">
        <f>$C$12/$C$7-$AQ$11-$AQ$17</f>
        <v/>
      </c>
      <c r="S30" s="518">
        <f>$C$13/$C$7-$AQ$12-$AQ$18</f>
        <v/>
      </c>
      <c r="T30" s="693">
        <f>$C$43</f>
        <v/>
      </c>
      <c r="U30" s="694">
        <f>T30-V30-W30-X30</f>
        <v/>
      </c>
      <c r="V30" s="695">
        <f>$C$11/$C$7-$AQ$10-$AQ$16-$AQ$22</f>
        <v/>
      </c>
      <c r="W30" s="695">
        <f>$C$12/$C$7-$AQ$11-$AQ$17-$AQ$23</f>
        <v/>
      </c>
      <c r="X30" s="695">
        <f>$C$13/$C$7-$AQ$12-$AQ$18-$AQ$24</f>
        <v/>
      </c>
      <c r="Y30" s="515">
        <f>O30</f>
        <v/>
      </c>
      <c r="Z30" s="516">
        <f>P30</f>
        <v/>
      </c>
      <c r="AA30" s="517">
        <f>Q30</f>
        <v/>
      </c>
      <c r="AB30" s="517">
        <f>R30</f>
        <v/>
      </c>
      <c r="AC30" s="518">
        <f>S30</f>
        <v/>
      </c>
      <c r="AD30" s="517" t="n"/>
      <c r="AE30" s="646" t="n"/>
      <c r="AF30" s="646" t="n"/>
      <c r="AG30" s="518" t="n"/>
      <c r="AH30" s="92" t="n"/>
      <c r="AI30" s="196">
        <f>H30-G30+1</f>
        <v/>
      </c>
      <c r="AJ30" s="92" t="n"/>
      <c r="AK30" s="206" t="n"/>
      <c r="AL30" s="206" t="n"/>
      <c r="AM30" s="94" t="n"/>
      <c r="AO30" s="2" t="n"/>
      <c r="AP30" s="2" t="inlineStr">
        <is>
          <t>기존</t>
        </is>
      </c>
      <c r="AQ30" s="2" t="inlineStr">
        <is>
          <t>선납+결합할인</t>
        </is>
      </c>
      <c r="AR30" s="2" t="inlineStr">
        <is>
          <t>선납+결합할인 ('27.04 결합 원복 시)</t>
        </is>
      </c>
      <c r="AU30" s="2" t="inlineStr">
        <is>
          <t>선납+결합할인</t>
        </is>
      </c>
      <c r="AV30" s="2" t="inlineStr">
        <is>
          <t>선납+결합할인 ('27.04 결합 원복 시)</t>
        </is>
      </c>
      <c r="AX30" s="2" t="inlineStr">
        <is>
          <t>선납+결합할인 ('27.04 결합 원복 시)</t>
        </is>
      </c>
    </row>
    <row r="31">
      <c r="B31" s="63" t="inlineStr">
        <is>
          <t>(최종) 선납 할인금 (V-)</t>
        </is>
      </c>
      <c r="C31" s="506">
        <f>C30*C7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$C$16</f>
        <v/>
      </c>
      <c r="K31" s="516">
        <f>J31-L31-M31-N31</f>
        <v/>
      </c>
      <c r="L31" s="517">
        <f>$C$11/$C$7</f>
        <v/>
      </c>
      <c r="M31" s="517">
        <f>$C$12/$C$7</f>
        <v/>
      </c>
      <c r="N31" s="518">
        <f>$C$13/$C$7</f>
        <v/>
      </c>
      <c r="O31" s="515">
        <f>$C$32</f>
        <v/>
      </c>
      <c r="P31" s="516">
        <f>O31-Q31-R31-S31</f>
        <v/>
      </c>
      <c r="Q31" s="500">
        <f>$C$11/$C$7-$AQ$10-$AQ$16</f>
        <v/>
      </c>
      <c r="R31" s="517">
        <f>$C$12/$C$7-$AQ$11-$AQ$17</f>
        <v/>
      </c>
      <c r="S31" s="518">
        <f>$C$13/$C$7-$AQ$12-$AQ$18</f>
        <v/>
      </c>
      <c r="T31" s="693">
        <f>$C$43</f>
        <v/>
      </c>
      <c r="U31" s="694">
        <f>T31-V31-W31-X31</f>
        <v/>
      </c>
      <c r="V31" s="695">
        <f>$C$11/$C$7-$AQ$10-$AQ$16-$AQ$22</f>
        <v/>
      </c>
      <c r="W31" s="695">
        <f>$C$12/$C$7-$AQ$11-$AQ$17-$AQ$23</f>
        <v/>
      </c>
      <c r="X31" s="695">
        <f>$C$13/$C$7-$AQ$12-$AQ$18-$AQ$24</f>
        <v/>
      </c>
      <c r="Y31" s="515">
        <f>O31</f>
        <v/>
      </c>
      <c r="Z31" s="516">
        <f>P31</f>
        <v/>
      </c>
      <c r="AA31" s="517">
        <f>Q31</f>
        <v/>
      </c>
      <c r="AB31" s="517">
        <f>R31</f>
        <v/>
      </c>
      <c r="AC31" s="518">
        <f>S31</f>
        <v/>
      </c>
      <c r="AD31" s="517" t="n"/>
      <c r="AE31" s="646" t="n"/>
      <c r="AF31" s="646" t="n"/>
      <c r="AG31" s="518" t="n"/>
      <c r="AH31" s="92" t="n"/>
      <c r="AI31" s="196">
        <f>H31-G31+1</f>
        <v/>
      </c>
      <c r="AJ31" s="92" t="n"/>
      <c r="AK31" s="206" t="n"/>
      <c r="AL31" s="206" t="n"/>
      <c r="AM31" s="94" t="n"/>
      <c r="AO31" s="527" t="inlineStr">
        <is>
          <t>1회차</t>
        </is>
      </c>
      <c r="AP31" s="506" t="n">
        <v>59600</v>
      </c>
      <c r="AQ31" s="507">
        <f>AP31-($AQ$10+$AQ$16+$AQ$22)*12</f>
        <v/>
      </c>
      <c r="AR31" s="507">
        <f>AQ31</f>
        <v/>
      </c>
      <c r="AT31" s="539" t="n"/>
      <c r="AU31" s="527">
        <f>($C$11-($AQ$10+$AQ$16+$AQ$22)*$C$7)*AP31/SUM($AP$31:$AP$36)</f>
        <v/>
      </c>
      <c r="AV31" s="527">
        <f>AU31</f>
        <v/>
      </c>
      <c r="AX31" s="507">
        <f>AR31</f>
        <v/>
      </c>
      <c r="AY31" s="539" t="n"/>
      <c r="AZ31" s="539" t="n"/>
    </row>
    <row r="32">
      <c r="B32" s="9" t="inlineStr">
        <is>
          <t>(최종) 선납금+선납 할인 반영 월 구독료 (V-)</t>
        </is>
      </c>
      <c r="C32" s="506">
        <f>(C15-C27-C31)/C7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$C$16</f>
        <v/>
      </c>
      <c r="K32" s="516">
        <f>J32-L32-M32-N32</f>
        <v/>
      </c>
      <c r="L32" s="517">
        <f>$C$11/$C$7</f>
        <v/>
      </c>
      <c r="M32" s="517">
        <f>$C$12/$C$7</f>
        <v/>
      </c>
      <c r="N32" s="518">
        <f>$C$13/$C$7</f>
        <v/>
      </c>
      <c r="O32" s="515">
        <f>$C$32</f>
        <v/>
      </c>
      <c r="P32" s="516">
        <f>O32-Q32-R32-S32</f>
        <v/>
      </c>
      <c r="Q32" s="500">
        <f>$C$11/$C$7-$AQ$10-$AQ$16</f>
        <v/>
      </c>
      <c r="R32" s="517">
        <f>$C$12/$C$7-$AQ$11-$AQ$17</f>
        <v/>
      </c>
      <c r="S32" s="518">
        <f>$C$13/$C$7-$AQ$12-$AQ$18</f>
        <v/>
      </c>
      <c r="T32" s="693">
        <f>$C$43</f>
        <v/>
      </c>
      <c r="U32" s="694">
        <f>T32-V32-W32-X32</f>
        <v/>
      </c>
      <c r="V32" s="695">
        <f>$C$11/$C$7-$AQ$10-$AQ$16-$AQ$22</f>
        <v/>
      </c>
      <c r="W32" s="695">
        <f>$C$12/$C$7-$AQ$11-$AQ$17-$AQ$23</f>
        <v/>
      </c>
      <c r="X32" s="695">
        <f>$C$13/$C$7-$AQ$12-$AQ$18-$AQ$24</f>
        <v/>
      </c>
      <c r="Y32" s="515">
        <f>O32</f>
        <v/>
      </c>
      <c r="Z32" s="516">
        <f>P32</f>
        <v/>
      </c>
      <c r="AA32" s="517">
        <f>Q32</f>
        <v/>
      </c>
      <c r="AB32" s="517">
        <f>R32</f>
        <v/>
      </c>
      <c r="AC32" s="518">
        <f>S32</f>
        <v/>
      </c>
      <c r="AD32" s="517" t="n"/>
      <c r="AE32" s="646" t="n"/>
      <c r="AF32" s="646" t="n"/>
      <c r="AG32" s="518" t="n"/>
      <c r="AH32" s="92" t="n"/>
      <c r="AI32" s="196">
        <f>H32-G32+1</f>
        <v/>
      </c>
      <c r="AJ32" s="92" t="n"/>
      <c r="AK32" s="206" t="n"/>
      <c r="AL32" s="206" t="n"/>
      <c r="AM32" s="94" t="n"/>
      <c r="AO32" s="527" t="inlineStr">
        <is>
          <t>2회차</t>
        </is>
      </c>
      <c r="AP32" s="506" t="n">
        <v>59600</v>
      </c>
      <c r="AQ32" s="507">
        <f>AP32-($AQ$10+$AQ$16+$AQ$22)*12</f>
        <v/>
      </c>
      <c r="AR32" s="507">
        <f>AP32-(SUM($AP$32:$AP$36)-(SUM($V$5:$V$24,$AA$25:$AA$77)-$AR$31))/COUNTA($AO$32:$AO$36)</f>
        <v/>
      </c>
      <c r="AT32" s="539" t="n"/>
      <c r="AU32" s="527">
        <f>($C$11-($AQ$10+$AQ$16+$AQ$22)*$C$7)*AP32/SUM($AP$31:$AP$36)</f>
        <v/>
      </c>
      <c r="AV32" s="527">
        <f>(SUM($V$5:$V$24,$AA$25:$AA$77)-$AV$31)*AP32/SUM($AP$32:$AP$36)</f>
        <v/>
      </c>
      <c r="AX32" s="507">
        <f>AQ32+$AQ$22*$C$9</f>
        <v/>
      </c>
      <c r="AY32" s="539" t="n"/>
      <c r="AZ32" s="539" t="n"/>
    </row>
    <row r="33">
      <c r="B33" s="9" t="inlineStr">
        <is>
          <t>(최종) 선납금+선납 할인 반영 총 구독료 (V-)</t>
        </is>
      </c>
      <c r="C33" s="506">
        <f>C32*C7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$C$16</f>
        <v/>
      </c>
      <c r="K33" s="516">
        <f>J33-L33-M33-N33</f>
        <v/>
      </c>
      <c r="L33" s="517">
        <f>$C$11/$C$7</f>
        <v/>
      </c>
      <c r="M33" s="517">
        <f>$C$12/$C$7</f>
        <v/>
      </c>
      <c r="N33" s="518">
        <f>$C$13/$C$7</f>
        <v/>
      </c>
      <c r="O33" s="515">
        <f>$C$32</f>
        <v/>
      </c>
      <c r="P33" s="516">
        <f>O33-Q33-R33-S33</f>
        <v/>
      </c>
      <c r="Q33" s="500">
        <f>$C$11/$C$7-$AQ$10-$AQ$16</f>
        <v/>
      </c>
      <c r="R33" s="517">
        <f>$C$12/$C$7-$AQ$11-$AQ$17</f>
        <v/>
      </c>
      <c r="S33" s="518">
        <f>$C$13/$C$7-$AQ$12-$AQ$18</f>
        <v/>
      </c>
      <c r="T33" s="693">
        <f>$C$43</f>
        <v/>
      </c>
      <c r="U33" s="694">
        <f>T33-V33-W33-X33</f>
        <v/>
      </c>
      <c r="V33" s="695">
        <f>$C$11/$C$7-$AQ$10-$AQ$16-$AQ$22</f>
        <v/>
      </c>
      <c r="W33" s="695">
        <f>$C$12/$C$7-$AQ$11-$AQ$17-$AQ$23</f>
        <v/>
      </c>
      <c r="X33" s="695">
        <f>$C$13/$C$7-$AQ$12-$AQ$18-$AQ$24</f>
        <v/>
      </c>
      <c r="Y33" s="515">
        <f>O33</f>
        <v/>
      </c>
      <c r="Z33" s="516">
        <f>P33</f>
        <v/>
      </c>
      <c r="AA33" s="517">
        <f>Q33</f>
        <v/>
      </c>
      <c r="AB33" s="517">
        <f>R33</f>
        <v/>
      </c>
      <c r="AC33" s="518">
        <f>S33</f>
        <v/>
      </c>
      <c r="AD33" s="517" t="n"/>
      <c r="AE33" s="646" t="n"/>
      <c r="AF33" s="646" t="n"/>
      <c r="AG33" s="518" t="n"/>
      <c r="AH33" s="92" t="n"/>
      <c r="AI33" s="196">
        <f>H33-G33+1</f>
        <v/>
      </c>
      <c r="AJ33" s="92" t="n"/>
      <c r="AK33" s="206" t="n"/>
      <c r="AL33" s="206" t="n"/>
      <c r="AM33" s="94" t="n"/>
      <c r="AO33" s="527" t="inlineStr">
        <is>
          <t>3회차</t>
        </is>
      </c>
      <c r="AP33" s="506" t="n">
        <v>93200</v>
      </c>
      <c r="AQ33" s="507">
        <f>AP33-($AQ$10+$AQ$16+$AQ$22)*12</f>
        <v/>
      </c>
      <c r="AR33" s="507">
        <f>AP33-(SUM($AP$32:$AP$36)-(SUM($V$5:$V$24,$AA$25:$AA$77)-$AR$31))/COUNTA($AO$32:$AO$36)</f>
        <v/>
      </c>
      <c r="AT33" s="539" t="n"/>
      <c r="AU33" s="527">
        <f>($C$11-($AQ$10+$AQ$16+$AQ$22)*$C$7)*AP33/SUM($AP$31:$AP$36)</f>
        <v/>
      </c>
      <c r="AV33" s="527">
        <f>(SUM($V$5:$V$24,$AA$25:$AA$77)-$AV$31)*AP33/SUM($AP$32:$AP$36)</f>
        <v/>
      </c>
      <c r="AX33" s="507">
        <f>AQ33+$AQ$22*$C$9</f>
        <v/>
      </c>
      <c r="AY33" s="539" t="n"/>
      <c r="AZ33" s="539" t="n"/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$C$16</f>
        <v/>
      </c>
      <c r="K34" s="516">
        <f>J34-L34-M34-N34</f>
        <v/>
      </c>
      <c r="L34" s="517">
        <f>$C$11/$C$7</f>
        <v/>
      </c>
      <c r="M34" s="517">
        <f>$C$12/$C$7</f>
        <v/>
      </c>
      <c r="N34" s="518">
        <f>$C$13/$C$7</f>
        <v/>
      </c>
      <c r="O34" s="515">
        <f>$C$32</f>
        <v/>
      </c>
      <c r="P34" s="516">
        <f>O34-Q34-R34-S34</f>
        <v/>
      </c>
      <c r="Q34" s="500">
        <f>$C$11/$C$7-$AQ$10-$AQ$16</f>
        <v/>
      </c>
      <c r="R34" s="517">
        <f>$C$12/$C$7-$AQ$11-$AQ$17</f>
        <v/>
      </c>
      <c r="S34" s="518">
        <f>$C$13/$C$7-$AQ$12-$AQ$18</f>
        <v/>
      </c>
      <c r="T34" s="693">
        <f>$C$43</f>
        <v/>
      </c>
      <c r="U34" s="694">
        <f>T34-V34-W34-X34</f>
        <v/>
      </c>
      <c r="V34" s="695">
        <f>$C$11/$C$7-$AQ$10-$AQ$16-$AQ$22</f>
        <v/>
      </c>
      <c r="W34" s="695">
        <f>$C$12/$C$7-$AQ$11-$AQ$17-$AQ$23</f>
        <v/>
      </c>
      <c r="X34" s="695">
        <f>$C$13/$C$7-$AQ$12-$AQ$18-$AQ$24</f>
        <v/>
      </c>
      <c r="Y34" s="515">
        <f>O34</f>
        <v/>
      </c>
      <c r="Z34" s="516">
        <f>P34</f>
        <v/>
      </c>
      <c r="AA34" s="517">
        <f>Q34</f>
        <v/>
      </c>
      <c r="AB34" s="517">
        <f>R34</f>
        <v/>
      </c>
      <c r="AC34" s="518">
        <f>S34</f>
        <v/>
      </c>
      <c r="AD34" s="517" t="n"/>
      <c r="AE34" s="646" t="n"/>
      <c r="AF34" s="646" t="n"/>
      <c r="AG34" s="518" t="n"/>
      <c r="AH34" s="92" t="n"/>
      <c r="AI34" s="196">
        <f>H34-G34+1</f>
        <v/>
      </c>
      <c r="AJ34" s="92" t="n"/>
      <c r="AK34" s="206" t="n"/>
      <c r="AL34" s="206" t="n"/>
      <c r="AM34" s="94" t="n"/>
      <c r="AO34" s="527" t="inlineStr">
        <is>
          <t>4회차</t>
        </is>
      </c>
      <c r="AP34" s="506" t="n">
        <v>59600</v>
      </c>
      <c r="AQ34" s="507">
        <f>AP34-($AQ$10+$AQ$16+$AQ$22)*12</f>
        <v/>
      </c>
      <c r="AR34" s="507">
        <f>AP34-(SUM($AP$32:$AP$36)-(SUM($V$5:$V$24,$AA$25:$AA$77)-$AR$31))/COUNTA($AO$32:$AO$36)</f>
        <v/>
      </c>
      <c r="AT34" s="539" t="n"/>
      <c r="AU34" s="527">
        <f>($C$11-($AQ$10+$AQ$16+$AQ$22)*$C$7)*AP34/SUM($AP$31:$AP$36)</f>
        <v/>
      </c>
      <c r="AV34" s="527">
        <f>(SUM($V$5:$V$24,$AA$25:$AA$77)-$AV$31)*AP34/SUM($AP$32:$AP$36)</f>
        <v/>
      </c>
      <c r="AX34" s="507">
        <f>AQ34+$AQ$22*$C$9</f>
        <v/>
      </c>
      <c r="AY34" s="539" t="n"/>
      <c r="AZ34" s="539" t="n"/>
    </row>
    <row r="35" ht="17.45" customHeight="1" s="497">
      <c r="B35" s="9" t="inlineStr">
        <is>
          <t>선납금+선납 할인 반영 순수 구독료 (V-)</t>
        </is>
      </c>
      <c r="C35" s="506">
        <f>C33-C11-C12-C13+SUM(AQ10:AQ12,AQ16:AQ18)*C7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$C$16</f>
        <v/>
      </c>
      <c r="K35" s="516">
        <f>J35-L35-M35-N35</f>
        <v/>
      </c>
      <c r="L35" s="517">
        <f>$C$11/$C$7</f>
        <v/>
      </c>
      <c r="M35" s="517">
        <f>$C$12/$C$7</f>
        <v/>
      </c>
      <c r="N35" s="518">
        <f>$C$13/$C$7</f>
        <v/>
      </c>
      <c r="O35" s="515">
        <f>$C$32</f>
        <v/>
      </c>
      <c r="P35" s="516">
        <f>O35-Q35-R35-S35</f>
        <v/>
      </c>
      <c r="Q35" s="500">
        <f>$C$11/$C$7-$AQ$10-$AQ$16</f>
        <v/>
      </c>
      <c r="R35" s="517">
        <f>$C$12/$C$7-$AQ$11-$AQ$17</f>
        <v/>
      </c>
      <c r="S35" s="518">
        <f>$C$13/$C$7-$AQ$12-$AQ$18</f>
        <v/>
      </c>
      <c r="T35" s="693">
        <f>$C$43</f>
        <v/>
      </c>
      <c r="U35" s="694">
        <f>T35-V35-W35-X35</f>
        <v/>
      </c>
      <c r="V35" s="695">
        <f>$C$11/$C$7-$AQ$10-$AQ$16-$AQ$22</f>
        <v/>
      </c>
      <c r="W35" s="695">
        <f>$C$12/$C$7-$AQ$11-$AQ$17-$AQ$23</f>
        <v/>
      </c>
      <c r="X35" s="695">
        <f>$C$13/$C$7-$AQ$12-$AQ$18-$AQ$24</f>
        <v/>
      </c>
      <c r="Y35" s="515">
        <f>O35</f>
        <v/>
      </c>
      <c r="Z35" s="516">
        <f>P35</f>
        <v/>
      </c>
      <c r="AA35" s="517">
        <f>Q35</f>
        <v/>
      </c>
      <c r="AB35" s="517">
        <f>R35</f>
        <v/>
      </c>
      <c r="AC35" s="518">
        <f>S35</f>
        <v/>
      </c>
      <c r="AD35" s="517" t="n"/>
      <c r="AE35" s="646" t="n"/>
      <c r="AF35" s="646" t="n"/>
      <c r="AG35" s="518" t="n"/>
      <c r="AH35" s="92" t="n"/>
      <c r="AI35" s="196">
        <f>H35-G35+1</f>
        <v/>
      </c>
      <c r="AJ35" s="92" t="n"/>
      <c r="AK35" s="206" t="n"/>
      <c r="AL35" s="206" t="n"/>
      <c r="AM35" s="94" t="n"/>
      <c r="AO35" s="527" t="inlineStr">
        <is>
          <t>5회차</t>
        </is>
      </c>
      <c r="AP35" s="506" t="n">
        <v>59600</v>
      </c>
      <c r="AQ35" s="507">
        <f>AP35-($AQ$10+$AQ$16+$AQ$22)*12</f>
        <v/>
      </c>
      <c r="AR35" s="507">
        <f>AP35-(SUM($AP$32:$AP$36)-(SUM($V$5:$V$24,$AA$25:$AA$77)-$AR$31))/COUNTA($AO$32:$AO$36)</f>
        <v/>
      </c>
      <c r="AT35" s="539" t="n"/>
      <c r="AU35" s="527">
        <f>($C$11-($AQ$10+$AQ$16+$AQ$22)*$C$7)*AP35/SUM($AP$31:$AP$36)</f>
        <v/>
      </c>
      <c r="AV35" s="527">
        <f>(SUM($V$5:$V$24,$AA$25:$AA$77)-$AV$31)*AP35/SUM($AP$32:$AP$36)</f>
        <v/>
      </c>
      <c r="AX35" s="507">
        <f>AQ35+$AQ$22*$C$9</f>
        <v/>
      </c>
      <c r="AY35" s="539" t="n"/>
      <c r="AZ35" s="539" t="n"/>
    </row>
    <row r="36">
      <c r="B36" s="9" t="inlineStr">
        <is>
          <t>선납금+선납 할인 반영 순수 구독료 월할 (V-)</t>
        </is>
      </c>
      <c r="C36" s="506">
        <f>C35/C7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$C$16</f>
        <v/>
      </c>
      <c r="K36" s="516">
        <f>J36-L36-M36-N36</f>
        <v/>
      </c>
      <c r="L36" s="517">
        <f>$C$11/$C$7</f>
        <v/>
      </c>
      <c r="M36" s="517">
        <f>$C$12/$C$7</f>
        <v/>
      </c>
      <c r="N36" s="518">
        <f>$C$13/$C$7</f>
        <v/>
      </c>
      <c r="O36" s="515">
        <f>$C$32</f>
        <v/>
      </c>
      <c r="P36" s="516">
        <f>O36-Q36-R36-S36</f>
        <v/>
      </c>
      <c r="Q36" s="500">
        <f>$C$11/$C$7-$AQ$10-$AQ$16</f>
        <v/>
      </c>
      <c r="R36" s="517">
        <f>$C$12/$C$7-$AQ$11-$AQ$17</f>
        <v/>
      </c>
      <c r="S36" s="518">
        <f>$C$13/$C$7-$AQ$12-$AQ$18</f>
        <v/>
      </c>
      <c r="T36" s="693">
        <f>$C$43</f>
        <v/>
      </c>
      <c r="U36" s="694">
        <f>T36-V36-W36-X36</f>
        <v/>
      </c>
      <c r="V36" s="695">
        <f>$C$11/$C$7-$AQ$10-$AQ$16-$AQ$22</f>
        <v/>
      </c>
      <c r="W36" s="695">
        <f>$C$12/$C$7-$AQ$11-$AQ$17-$AQ$23</f>
        <v/>
      </c>
      <c r="X36" s="695">
        <f>$C$13/$C$7-$AQ$12-$AQ$18-$AQ$24</f>
        <v/>
      </c>
      <c r="Y36" s="515">
        <f>O36</f>
        <v/>
      </c>
      <c r="Z36" s="516">
        <f>P36</f>
        <v/>
      </c>
      <c r="AA36" s="517">
        <f>Q36</f>
        <v/>
      </c>
      <c r="AB36" s="517">
        <f>R36</f>
        <v/>
      </c>
      <c r="AC36" s="518">
        <f>S36</f>
        <v/>
      </c>
      <c r="AD36" s="517" t="n"/>
      <c r="AE36" s="646" t="n"/>
      <c r="AF36" s="646" t="n"/>
      <c r="AG36" s="518" t="n"/>
      <c r="AH36" s="92" t="n"/>
      <c r="AI36" s="196">
        <f>H36-G36+1</f>
        <v/>
      </c>
      <c r="AJ36" s="92" t="n"/>
      <c r="AK36" s="206" t="n"/>
      <c r="AL36" s="206" t="n"/>
      <c r="AM36" s="94" t="n"/>
      <c r="AO36" s="527" t="inlineStr">
        <is>
          <t>6회차</t>
        </is>
      </c>
      <c r="AP36" s="506" t="n">
        <v>93200</v>
      </c>
      <c r="AQ36" s="507">
        <f>AP36-($AQ$10+$AQ$16+$AQ$22)*12</f>
        <v/>
      </c>
      <c r="AR36" s="507">
        <f>AP36-(SUM($AP$32:$AP$36)-(SUM($V$5:$V$24,$AA$25:$AA$77)-$AR$31))/COUNTA($AO$32:$AO$36)</f>
        <v/>
      </c>
      <c r="AT36" s="539" t="n"/>
      <c r="AU36" s="527">
        <f>($C$11-($AQ$10+$AQ$16+$AQ$22)*$C$7)*AP36/SUM($AP$31:$AP$36)</f>
        <v/>
      </c>
      <c r="AV36" s="527">
        <f>(SUM($V$5:$V$24,$AA$25:$AA$77)-$AV$31)*AP36/SUM($AP$32:$AP$36)</f>
        <v/>
      </c>
      <c r="AX36" s="507">
        <f>AQ36+$AQ$22*$C$9</f>
        <v/>
      </c>
      <c r="AY36" s="539" t="n"/>
      <c r="AZ36" s="539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$C$16</f>
        <v/>
      </c>
      <c r="K37" s="516">
        <f>J37-L37-M37-N37</f>
        <v/>
      </c>
      <c r="L37" s="517">
        <f>$C$11/$C$7</f>
        <v/>
      </c>
      <c r="M37" s="517">
        <f>$C$12/$C$7</f>
        <v/>
      </c>
      <c r="N37" s="518">
        <f>$C$13/$C$7</f>
        <v/>
      </c>
      <c r="O37" s="515">
        <f>$C$32</f>
        <v/>
      </c>
      <c r="P37" s="516">
        <f>O37-Q37-R37-S37</f>
        <v/>
      </c>
      <c r="Q37" s="500">
        <f>$C$11/$C$7-$AQ$10-$AQ$16</f>
        <v/>
      </c>
      <c r="R37" s="517">
        <f>$C$12/$C$7-$AQ$11-$AQ$17</f>
        <v/>
      </c>
      <c r="S37" s="518">
        <f>$C$13/$C$7-$AQ$12-$AQ$18</f>
        <v/>
      </c>
      <c r="T37" s="693">
        <f>$C$43</f>
        <v/>
      </c>
      <c r="U37" s="694">
        <f>T37-V37-W37-X37</f>
        <v/>
      </c>
      <c r="V37" s="695">
        <f>$C$11/$C$7-$AQ$10-$AQ$16-$AQ$22</f>
        <v/>
      </c>
      <c r="W37" s="695">
        <f>$C$12/$C$7-$AQ$11-$AQ$17-$AQ$23</f>
        <v/>
      </c>
      <c r="X37" s="695">
        <f>$C$13/$C$7-$AQ$12-$AQ$18-$AQ$24</f>
        <v/>
      </c>
      <c r="Y37" s="515">
        <f>O37</f>
        <v/>
      </c>
      <c r="Z37" s="516">
        <f>P37</f>
        <v/>
      </c>
      <c r="AA37" s="517">
        <f>Q37</f>
        <v/>
      </c>
      <c r="AB37" s="517">
        <f>R37</f>
        <v/>
      </c>
      <c r="AC37" s="518">
        <f>S37</f>
        <v/>
      </c>
      <c r="AD37" s="517" t="n"/>
      <c r="AE37" s="646" t="n"/>
      <c r="AF37" s="646" t="n"/>
      <c r="AG37" s="518" t="n"/>
      <c r="AH37" s="92" t="n"/>
      <c r="AI37" s="196">
        <f>H37-G37+1</f>
        <v/>
      </c>
      <c r="AJ37" s="92" t="n"/>
      <c r="AK37" s="206" t="n"/>
      <c r="AL37" s="206" t="n"/>
      <c r="AM37" s="94" t="n"/>
      <c r="AP37" s="500">
        <f>SUM(AP31:AP36)</f>
        <v/>
      </c>
      <c r="AQ37" s="500">
        <f>SUM(AQ31:AQ36)</f>
        <v/>
      </c>
      <c r="AR37" s="500">
        <f>SUM(AR31:AR36)</f>
        <v/>
      </c>
      <c r="AU37" s="500">
        <f>SUM(AU31:AU36)</f>
        <v/>
      </c>
      <c r="AV37" s="500">
        <f>SUM(AV31:AV36)</f>
        <v/>
      </c>
      <c r="AX37" s="539">
        <f>SUM(AX31:AX36)</f>
        <v/>
      </c>
    </row>
    <row r="38">
      <c r="A38" s="176" t="n"/>
      <c r="B38" s="9" t="inlineStr">
        <is>
          <t>다품목 할인율 %</t>
        </is>
      </c>
      <c r="C38" s="288" t="n">
        <v>0.05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$C$16</f>
        <v/>
      </c>
      <c r="K38" s="516">
        <f>J38-L38-M38-N38</f>
        <v/>
      </c>
      <c r="L38" s="517">
        <f>$C$11/$C$7</f>
        <v/>
      </c>
      <c r="M38" s="517">
        <f>$C$12/$C$7</f>
        <v/>
      </c>
      <c r="N38" s="518">
        <f>$C$13/$C$7</f>
        <v/>
      </c>
      <c r="O38" s="515">
        <f>$C$32</f>
        <v/>
      </c>
      <c r="P38" s="516">
        <f>O38-Q38-R38-S38</f>
        <v/>
      </c>
      <c r="Q38" s="500">
        <f>$C$11/$C$7-$AQ$10-$AQ$16</f>
        <v/>
      </c>
      <c r="R38" s="517">
        <f>$C$12/$C$7-$AQ$11-$AQ$17</f>
        <v/>
      </c>
      <c r="S38" s="518">
        <f>$C$13/$C$7-$AQ$12-$AQ$18</f>
        <v/>
      </c>
      <c r="T38" s="693">
        <f>$C$43</f>
        <v/>
      </c>
      <c r="U38" s="694">
        <f>T38-V38-W38-X38</f>
        <v/>
      </c>
      <c r="V38" s="695">
        <f>$C$11/$C$7-$AQ$10-$AQ$16-$AQ$22</f>
        <v/>
      </c>
      <c r="W38" s="695">
        <f>$C$12/$C$7-$AQ$11-$AQ$17-$AQ$23</f>
        <v/>
      </c>
      <c r="X38" s="695">
        <f>$C$13/$C$7-$AQ$12-$AQ$18-$AQ$24</f>
        <v/>
      </c>
      <c r="Y38" s="515">
        <f>O38</f>
        <v/>
      </c>
      <c r="Z38" s="516">
        <f>P38</f>
        <v/>
      </c>
      <c r="AA38" s="517">
        <f>Q38</f>
        <v/>
      </c>
      <c r="AB38" s="517">
        <f>R38</f>
        <v/>
      </c>
      <c r="AC38" s="518">
        <f>S38</f>
        <v/>
      </c>
      <c r="AD38" s="517" t="n"/>
      <c r="AE38" s="646" t="n"/>
      <c r="AF38" s="646" t="n"/>
      <c r="AG38" s="518" t="n"/>
      <c r="AH38" s="92" t="n"/>
      <c r="AI38" s="196">
        <f>H38-G38+1</f>
        <v/>
      </c>
      <c r="AJ38" s="92" t="n"/>
      <c r="AK38" s="206" t="n"/>
      <c r="AL38" s="206" t="n"/>
      <c r="AM38" s="94" t="n"/>
      <c r="AQ38" s="500">
        <f>V6*72</f>
        <v/>
      </c>
      <c r="AR38" s="500">
        <f>SUM(V5:V24,AA25:AA77)</f>
        <v/>
      </c>
    </row>
    <row r="39">
      <c r="A39" s="176" t="n"/>
      <c r="B39" s="9" t="inlineStr">
        <is>
          <t>(계산용) 할인금(v-) (총구독료 v+ 기준)</t>
        </is>
      </c>
      <c r="C39" s="506">
        <f>C17*C38/1.1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$C$16</f>
        <v/>
      </c>
      <c r="K39" s="516">
        <f>J39-L39-M39-N39</f>
        <v/>
      </c>
      <c r="L39" s="517">
        <f>$C$11/$C$7</f>
        <v/>
      </c>
      <c r="M39" s="517">
        <f>$C$12/$C$7</f>
        <v/>
      </c>
      <c r="N39" s="518">
        <f>$C$13/$C$7</f>
        <v/>
      </c>
      <c r="O39" s="515">
        <f>$C$32</f>
        <v/>
      </c>
      <c r="P39" s="516">
        <f>O39-Q39-R39-S39</f>
        <v/>
      </c>
      <c r="Q39" s="500">
        <f>$C$11/$C$7-$AQ$10-$AQ$16</f>
        <v/>
      </c>
      <c r="R39" s="517">
        <f>$C$12/$C$7-$AQ$11-$AQ$17</f>
        <v/>
      </c>
      <c r="S39" s="518">
        <f>$C$13/$C$7-$AQ$12-$AQ$18</f>
        <v/>
      </c>
      <c r="T39" s="693">
        <f>$C$43</f>
        <v/>
      </c>
      <c r="U39" s="694">
        <f>T39-V39-W39-X39</f>
        <v/>
      </c>
      <c r="V39" s="695">
        <f>$C$11/$C$7-$AQ$10-$AQ$16-$AQ$22</f>
        <v/>
      </c>
      <c r="W39" s="695">
        <f>$C$12/$C$7-$AQ$11-$AQ$17-$AQ$23</f>
        <v/>
      </c>
      <c r="X39" s="695">
        <f>$C$13/$C$7-$AQ$12-$AQ$18-$AQ$24</f>
        <v/>
      </c>
      <c r="Y39" s="515">
        <f>O39</f>
        <v/>
      </c>
      <c r="Z39" s="516">
        <f>P39</f>
        <v/>
      </c>
      <c r="AA39" s="517">
        <f>Q39</f>
        <v/>
      </c>
      <c r="AB39" s="517">
        <f>R39</f>
        <v/>
      </c>
      <c r="AC39" s="518">
        <f>S39</f>
        <v/>
      </c>
      <c r="AD39" s="517" t="n"/>
      <c r="AE39" s="646" t="n"/>
      <c r="AF39" s="646" t="n"/>
      <c r="AG39" s="518" t="n"/>
      <c r="AH39" s="92" t="n"/>
      <c r="AI39" s="196">
        <f>H39-G39+1</f>
        <v/>
      </c>
      <c r="AJ39" s="92" t="n"/>
      <c r="AK39" s="206" t="n"/>
      <c r="AL39" s="206" t="n"/>
      <c r="AM39" s="94" t="n"/>
    </row>
    <row r="40">
      <c r="A40" s="176" t="n"/>
      <c r="B40" s="9" t="inlineStr">
        <is>
          <t>(계산용) 할인금 월할 (V-)</t>
        </is>
      </c>
      <c r="C40" s="506">
        <f>C39/C7</f>
        <v/>
      </c>
      <c r="E40" s="8" t="inlineStr">
        <is>
          <t>케어수행 3회차</t>
        </is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$C$16</f>
        <v/>
      </c>
      <c r="K40" s="516">
        <f>J40-L40-M40-N40</f>
        <v/>
      </c>
      <c r="L40" s="517">
        <f>$C$11/$C$7</f>
        <v/>
      </c>
      <c r="M40" s="517">
        <f>$C$12/$C$7</f>
        <v/>
      </c>
      <c r="N40" s="518">
        <f>$C$13/$C$7</f>
        <v/>
      </c>
      <c r="O40" s="515">
        <f>$C$32</f>
        <v/>
      </c>
      <c r="P40" s="516">
        <f>O40-Q40-R40-S40</f>
        <v/>
      </c>
      <c r="Q40" s="500">
        <f>$C$11/$C$7-$AQ$10-$AQ$16</f>
        <v/>
      </c>
      <c r="R40" s="517">
        <f>$C$12/$C$7-$AQ$11-$AQ$17</f>
        <v/>
      </c>
      <c r="S40" s="518">
        <f>$C$13/$C$7-$AQ$12-$AQ$18</f>
        <v/>
      </c>
      <c r="T40" s="693">
        <f>$C$43</f>
        <v/>
      </c>
      <c r="U40" s="694">
        <f>T40-V40-W40-X40</f>
        <v/>
      </c>
      <c r="V40" s="695">
        <f>$C$11/$C$7-$AQ$10-$AQ$16-$AQ$22</f>
        <v/>
      </c>
      <c r="W40" s="695">
        <f>$C$12/$C$7-$AQ$11-$AQ$17-$AQ$23</f>
        <v/>
      </c>
      <c r="X40" s="695">
        <f>$C$13/$C$7-$AQ$12-$AQ$18-$AQ$24</f>
        <v/>
      </c>
      <c r="Y40" s="515">
        <f>O40</f>
        <v/>
      </c>
      <c r="Z40" s="516">
        <f>P40</f>
        <v/>
      </c>
      <c r="AA40" s="517">
        <f>Q40</f>
        <v/>
      </c>
      <c r="AB40" s="517">
        <f>R40</f>
        <v/>
      </c>
      <c r="AC40" s="518">
        <f>S40</f>
        <v/>
      </c>
      <c r="AD40" s="517" t="n"/>
      <c r="AE40" s="646" t="n"/>
      <c r="AF40" s="646" t="n"/>
      <c r="AG40" s="518" t="n"/>
      <c r="AH40" s="92" t="n"/>
      <c r="AI40" s="196">
        <f>H40-G40+1</f>
        <v/>
      </c>
      <c r="AJ40" s="92" t="n"/>
      <c r="AK40" s="206" t="n"/>
      <c r="AL40" s="206" t="n"/>
      <c r="AM40" s="94" t="n"/>
      <c r="AO40" s="500" t="inlineStr">
        <is>
          <t>보증연장 매출</t>
        </is>
      </c>
      <c r="AT40" s="206" t="inlineStr">
        <is>
          <t>수취금 무관 원래 인식했어야하는 금액으로</t>
        </is>
      </c>
    </row>
    <row r="41">
      <c r="A41" s="176" t="n"/>
      <c r="B41" s="9" t="inlineStr">
        <is>
          <t>(계산용) 할인금 월할 보정 (V-)</t>
        </is>
      </c>
      <c r="C41" s="506">
        <f>ROUNDUP(C40,-2)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$C$16</f>
        <v/>
      </c>
      <c r="K41" s="516">
        <f>J41-L41-M41-N41</f>
        <v/>
      </c>
      <c r="L41" s="517">
        <f>$C$11/$C$7</f>
        <v/>
      </c>
      <c r="M41" s="517">
        <f>$C$12/$C$7</f>
        <v/>
      </c>
      <c r="N41" s="518">
        <f>$C$13/$C$7</f>
        <v/>
      </c>
      <c r="O41" s="515">
        <f>$C$32</f>
        <v/>
      </c>
      <c r="P41" s="516">
        <f>O41-Q41-R41-S41</f>
        <v/>
      </c>
      <c r="Q41" s="500">
        <f>$C$11/$C$7-$AQ$10-$AQ$16</f>
        <v/>
      </c>
      <c r="R41" s="517">
        <f>$C$12/$C$7-$AQ$11-$AQ$17</f>
        <v/>
      </c>
      <c r="S41" s="518">
        <f>$C$13/$C$7-$AQ$12-$AQ$18</f>
        <v/>
      </c>
      <c r="T41" s="693">
        <f>$C$43</f>
        <v/>
      </c>
      <c r="U41" s="694">
        <f>T41-V41-W41-X41</f>
        <v/>
      </c>
      <c r="V41" s="695">
        <f>$C$11/$C$7-$AQ$10-$AQ$16-$AQ$22</f>
        <v/>
      </c>
      <c r="W41" s="695">
        <f>$C$12/$C$7-$AQ$11-$AQ$17-$AQ$23</f>
        <v/>
      </c>
      <c r="X41" s="695">
        <f>$C$13/$C$7-$AQ$12-$AQ$18-$AQ$24</f>
        <v/>
      </c>
      <c r="Y41" s="515">
        <f>O41</f>
        <v/>
      </c>
      <c r="Z41" s="516">
        <f>P41</f>
        <v/>
      </c>
      <c r="AA41" s="517">
        <f>Q41</f>
        <v/>
      </c>
      <c r="AB41" s="517">
        <f>R41</f>
        <v/>
      </c>
      <c r="AC41" s="518">
        <f>S41</f>
        <v/>
      </c>
      <c r="AD41" s="517" t="n"/>
      <c r="AE41" s="646" t="n"/>
      <c r="AF41" s="646" t="n"/>
      <c r="AG41" s="518" t="n"/>
      <c r="AH41" s="92" t="n"/>
      <c r="AI41" s="196">
        <f>H41-G41+1</f>
        <v/>
      </c>
      <c r="AJ41" s="92" t="n"/>
      <c r="AK41" s="206" t="n"/>
      <c r="AL41" s="206" t="n"/>
      <c r="AM41" s="94" t="n"/>
      <c r="AO41" s="2" t="n"/>
      <c r="AP41" s="2" t="inlineStr">
        <is>
          <t>기존</t>
        </is>
      </c>
      <c r="AQ41" s="2" t="inlineStr">
        <is>
          <t>선납+결합할인</t>
        </is>
      </c>
      <c r="AR41" s="2" t="inlineStr">
        <is>
          <t>선납+결합할인 ('27.04 결합 원복 시)</t>
        </is>
      </c>
      <c r="AT41" s="2" t="inlineStr">
        <is>
          <t>선납+결합할인 ('27.04 결합 원복 시)</t>
        </is>
      </c>
    </row>
    <row r="42">
      <c r="A42" s="176" t="n"/>
      <c r="B42" s="63" t="inlineStr">
        <is>
          <t>(최종) 할인금 (V-)</t>
        </is>
      </c>
      <c r="C42" s="506">
        <f>C41*C7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$C$16</f>
        <v/>
      </c>
      <c r="K42" s="516">
        <f>J42-L42-M42-N42</f>
        <v/>
      </c>
      <c r="L42" s="517">
        <f>$C$11/$C$7</f>
        <v/>
      </c>
      <c r="M42" s="517">
        <f>$C$12/$C$7</f>
        <v/>
      </c>
      <c r="N42" s="518">
        <f>$C$13/$C$7</f>
        <v/>
      </c>
      <c r="O42" s="515">
        <f>$C$32</f>
        <v/>
      </c>
      <c r="P42" s="516">
        <f>O42-Q42-R42-S42</f>
        <v/>
      </c>
      <c r="Q42" s="500">
        <f>$C$11/$C$7-$AQ$10-$AQ$16</f>
        <v/>
      </c>
      <c r="R42" s="517">
        <f>$C$12/$C$7-$AQ$11-$AQ$17</f>
        <v/>
      </c>
      <c r="S42" s="518">
        <f>$C$13/$C$7-$AQ$12-$AQ$18</f>
        <v/>
      </c>
      <c r="T42" s="693">
        <f>$C$43</f>
        <v/>
      </c>
      <c r="U42" s="694">
        <f>T42-V42-W42-X42</f>
        <v/>
      </c>
      <c r="V42" s="695">
        <f>$C$11/$C$7-$AQ$10-$AQ$16-$AQ$22</f>
        <v/>
      </c>
      <c r="W42" s="695">
        <f>$C$12/$C$7-$AQ$11-$AQ$17-$AQ$23</f>
        <v/>
      </c>
      <c r="X42" s="695">
        <f>$C$13/$C$7-$AQ$12-$AQ$18-$AQ$24</f>
        <v/>
      </c>
      <c r="Y42" s="515">
        <f>O42</f>
        <v/>
      </c>
      <c r="Z42" s="516">
        <f>P42</f>
        <v/>
      </c>
      <c r="AA42" s="517">
        <f>Q42</f>
        <v/>
      </c>
      <c r="AB42" s="517">
        <f>R42</f>
        <v/>
      </c>
      <c r="AC42" s="518">
        <f>S42</f>
        <v/>
      </c>
      <c r="AD42" s="517" t="n"/>
      <c r="AE42" s="646" t="n"/>
      <c r="AF42" s="646" t="n"/>
      <c r="AG42" s="518" t="n"/>
      <c r="AH42" s="92" t="n"/>
      <c r="AI42" s="196">
        <f>H42-G42+1</f>
        <v/>
      </c>
      <c r="AJ42" s="92" t="n"/>
      <c r="AK42" s="206" t="n"/>
      <c r="AL42" s="206" t="n"/>
      <c r="AM42" s="94" t="n"/>
      <c r="AO42" s="527" t="inlineStr">
        <is>
          <t>13개월~</t>
        </is>
      </c>
      <c r="AP42" s="506">
        <f>C12/(C7-12)</f>
        <v/>
      </c>
      <c r="AQ42" s="527">
        <f>AP42-SUM(AQ11,AQ17,AQ23)*C7/(C7-12)</f>
        <v/>
      </c>
      <c r="AR42" s="527">
        <f>AQ42</f>
        <v/>
      </c>
      <c r="AT42" s="527">
        <f>AQ42</f>
        <v/>
      </c>
    </row>
    <row r="43">
      <c r="A43" s="176" t="n"/>
      <c r="B43" s="184" t="inlineStr">
        <is>
          <t>(최종) 선납금+선납 할인+다품목 할인 반영 월 구독료 (V-)</t>
        </is>
      </c>
      <c r="C43" s="506">
        <f>(C15-C27-C31-C42)/C7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$C$16</f>
        <v/>
      </c>
      <c r="K43" s="516">
        <f>J43-L43-M43-N43</f>
        <v/>
      </c>
      <c r="L43" s="517">
        <f>$C$11/$C$7</f>
        <v/>
      </c>
      <c r="M43" s="517">
        <f>$C$12/$C$7</f>
        <v/>
      </c>
      <c r="N43" s="518">
        <f>$C$13/$C$7</f>
        <v/>
      </c>
      <c r="O43" s="515">
        <f>$C$32</f>
        <v/>
      </c>
      <c r="P43" s="516">
        <f>O43-Q43-R43-S43</f>
        <v/>
      </c>
      <c r="Q43" s="500">
        <f>$C$11/$C$7-$AQ$10-$AQ$16</f>
        <v/>
      </c>
      <c r="R43" s="517">
        <f>$C$12/$C$7-$AQ$11-$AQ$17</f>
        <v/>
      </c>
      <c r="S43" s="518">
        <f>$C$13/$C$7-$AQ$12-$AQ$18</f>
        <v/>
      </c>
      <c r="T43" s="693">
        <f>$C$43</f>
        <v/>
      </c>
      <c r="U43" s="694">
        <f>T43-V43-W43-X43</f>
        <v/>
      </c>
      <c r="V43" s="695">
        <f>$C$11/$C$7-$AQ$10-$AQ$16-$AQ$22</f>
        <v/>
      </c>
      <c r="W43" s="695">
        <f>$C$12/$C$7-$AQ$11-$AQ$17-$AQ$23</f>
        <v/>
      </c>
      <c r="X43" s="695">
        <f>$C$13/$C$7-$AQ$12-$AQ$18-$AQ$24</f>
        <v/>
      </c>
      <c r="Y43" s="515">
        <f>O43</f>
        <v/>
      </c>
      <c r="Z43" s="516">
        <f>P43</f>
        <v/>
      </c>
      <c r="AA43" s="517">
        <f>Q43</f>
        <v/>
      </c>
      <c r="AB43" s="517">
        <f>R43</f>
        <v/>
      </c>
      <c r="AC43" s="518">
        <f>S43</f>
        <v/>
      </c>
      <c r="AD43" s="517" t="n"/>
      <c r="AE43" s="646" t="n"/>
      <c r="AF43" s="646" t="n"/>
      <c r="AG43" s="518" t="n"/>
      <c r="AH43" s="92" t="n"/>
      <c r="AI43" s="196">
        <f>H43-G43+1</f>
        <v/>
      </c>
      <c r="AJ43" s="92" t="n"/>
      <c r="AK43" s="206" t="n"/>
      <c r="AL43" s="206" t="n"/>
      <c r="AM43" s="94" t="n"/>
      <c r="AO43" s="2" t="inlineStr">
        <is>
          <t>21회차~</t>
        </is>
      </c>
      <c r="AP43" s="527">
        <f>AP42</f>
        <v/>
      </c>
      <c r="AQ43" s="2">
        <f>SUM(W5:W77)/(C7-12)</f>
        <v/>
      </c>
      <c r="AR43" s="507">
        <f>(SUM(W5:W24,AB25:AB77)-AR42*(21-13))/(C7-21+1)</f>
        <v/>
      </c>
      <c r="AT43" s="507">
        <f>AQ42+AQ23</f>
        <v/>
      </c>
    </row>
    <row r="44">
      <c r="A44" s="176" t="n"/>
      <c r="B44" s="184" t="inlineStr">
        <is>
          <t>(최종) 선납금+선납 할인+다품목 할인 반영 총 구독료 (V-)</t>
        </is>
      </c>
      <c r="C44" s="506">
        <f>C43*C7</f>
        <v/>
      </c>
      <c r="D44" s="505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$C$16</f>
        <v/>
      </c>
      <c r="K44" s="516">
        <f>J44-L44-M44-N44</f>
        <v/>
      </c>
      <c r="L44" s="517">
        <f>$C$11/$C$7</f>
        <v/>
      </c>
      <c r="M44" s="517">
        <f>$C$12/$C$7</f>
        <v/>
      </c>
      <c r="N44" s="518">
        <f>$C$13/$C$7</f>
        <v/>
      </c>
      <c r="O44" s="515">
        <f>$C$32</f>
        <v/>
      </c>
      <c r="P44" s="516">
        <f>O44-Q44-R44-S44</f>
        <v/>
      </c>
      <c r="Q44" s="500">
        <f>$C$11/$C$7-$AQ$10-$AQ$16</f>
        <v/>
      </c>
      <c r="R44" s="517">
        <f>$C$12/$C$7-$AQ$11-$AQ$17</f>
        <v/>
      </c>
      <c r="S44" s="518">
        <f>$C$13/$C$7-$AQ$12-$AQ$18</f>
        <v/>
      </c>
      <c r="T44" s="693">
        <f>$C$43</f>
        <v/>
      </c>
      <c r="U44" s="694">
        <f>T44-V44-W44-X44</f>
        <v/>
      </c>
      <c r="V44" s="695">
        <f>$C$11/$C$7-$AQ$10-$AQ$16-$AQ$22</f>
        <v/>
      </c>
      <c r="W44" s="695">
        <f>$C$12/$C$7-$AQ$11-$AQ$17-$AQ$23</f>
        <v/>
      </c>
      <c r="X44" s="695">
        <f>$C$13/$C$7-$AQ$12-$AQ$18-$AQ$24</f>
        <v/>
      </c>
      <c r="Y44" s="515">
        <f>O44</f>
        <v/>
      </c>
      <c r="Z44" s="516">
        <f>P44</f>
        <v/>
      </c>
      <c r="AA44" s="517">
        <f>Q44</f>
        <v/>
      </c>
      <c r="AB44" s="517">
        <f>R44</f>
        <v/>
      </c>
      <c r="AC44" s="518">
        <f>S44</f>
        <v/>
      </c>
      <c r="AD44" s="517" t="n"/>
      <c r="AE44" s="646" t="n"/>
      <c r="AF44" s="646" t="n"/>
      <c r="AG44" s="518" t="n"/>
      <c r="AH44" s="92" t="n"/>
      <c r="AI44" s="196">
        <f>H44-G44+1</f>
        <v/>
      </c>
      <c r="AJ44" s="92" t="n"/>
      <c r="AK44" s="206" t="n"/>
      <c r="AL44" s="206" t="n"/>
      <c r="AM44" s="94" t="n"/>
    </row>
    <row r="45">
      <c r="B45" s="199" t="n"/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$C$16</f>
        <v/>
      </c>
      <c r="K45" s="516">
        <f>J45-L45-M45-N45</f>
        <v/>
      </c>
      <c r="L45" s="517">
        <f>$C$11/$C$7</f>
        <v/>
      </c>
      <c r="M45" s="517">
        <f>$C$12/$C$7</f>
        <v/>
      </c>
      <c r="N45" s="518">
        <f>$C$13/$C$7</f>
        <v/>
      </c>
      <c r="O45" s="515">
        <f>$C$32</f>
        <v/>
      </c>
      <c r="P45" s="516">
        <f>O45-Q45-R45-S45</f>
        <v/>
      </c>
      <c r="Q45" s="500">
        <f>$C$11/$C$7-$AQ$10-$AQ$16</f>
        <v/>
      </c>
      <c r="R45" s="517">
        <f>$C$12/$C$7-$AQ$11-$AQ$17</f>
        <v/>
      </c>
      <c r="S45" s="518">
        <f>$C$13/$C$7-$AQ$12-$AQ$18</f>
        <v/>
      </c>
      <c r="T45" s="693">
        <f>$C$43</f>
        <v/>
      </c>
      <c r="U45" s="694">
        <f>T45-V45-W45-X45</f>
        <v/>
      </c>
      <c r="V45" s="695">
        <f>$C$11/$C$7-$AQ$10-$AQ$16-$AQ$22</f>
        <v/>
      </c>
      <c r="W45" s="695">
        <f>$C$12/$C$7-$AQ$11-$AQ$17-$AQ$23</f>
        <v/>
      </c>
      <c r="X45" s="695">
        <f>$C$13/$C$7-$AQ$12-$AQ$18-$AQ$24</f>
        <v/>
      </c>
      <c r="Y45" s="515">
        <f>O45</f>
        <v/>
      </c>
      <c r="Z45" s="516">
        <f>P45</f>
        <v/>
      </c>
      <c r="AA45" s="517">
        <f>Q45</f>
        <v/>
      </c>
      <c r="AB45" s="517">
        <f>R45</f>
        <v/>
      </c>
      <c r="AC45" s="518">
        <f>S45</f>
        <v/>
      </c>
      <c r="AD45" s="517" t="n"/>
      <c r="AE45" s="646" t="n"/>
      <c r="AF45" s="646" t="n"/>
      <c r="AG45" s="518" t="n"/>
      <c r="AH45" s="92" t="n"/>
      <c r="AI45" s="196">
        <f>H45-G45+1</f>
        <v/>
      </c>
      <c r="AJ45" s="92" t="n"/>
      <c r="AK45" s="206" t="n"/>
      <c r="AL45" s="206" t="n"/>
      <c r="AM45" s="94" t="n"/>
    </row>
    <row r="46">
      <c r="B46" s="199" t="n"/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$C$16</f>
        <v/>
      </c>
      <c r="K46" s="516">
        <f>J46-L46-M46-N46</f>
        <v/>
      </c>
      <c r="L46" s="517">
        <f>$C$11/$C$7</f>
        <v/>
      </c>
      <c r="M46" s="517">
        <f>$C$12/$C$7</f>
        <v/>
      </c>
      <c r="N46" s="518">
        <f>$C$13/$C$7</f>
        <v/>
      </c>
      <c r="O46" s="515">
        <f>$C$32</f>
        <v/>
      </c>
      <c r="P46" s="516">
        <f>O46-Q46-R46-S46</f>
        <v/>
      </c>
      <c r="Q46" s="500">
        <f>$C$11/$C$7-$AQ$10-$AQ$16</f>
        <v/>
      </c>
      <c r="R46" s="517">
        <f>$C$12/$C$7-$AQ$11-$AQ$17</f>
        <v/>
      </c>
      <c r="S46" s="518">
        <f>$C$13/$C$7-$AQ$12-$AQ$18</f>
        <v/>
      </c>
      <c r="T46" s="693">
        <f>$C$43</f>
        <v/>
      </c>
      <c r="U46" s="694">
        <f>T46-V46-W46-X46</f>
        <v/>
      </c>
      <c r="V46" s="695">
        <f>$C$11/$C$7-$AQ$10-$AQ$16-$AQ$22</f>
        <v/>
      </c>
      <c r="W46" s="695">
        <f>$C$12/$C$7-$AQ$11-$AQ$17-$AQ$23</f>
        <v/>
      </c>
      <c r="X46" s="695">
        <f>$C$13/$C$7-$AQ$12-$AQ$18-$AQ$24</f>
        <v/>
      </c>
      <c r="Y46" s="515">
        <f>O46</f>
        <v/>
      </c>
      <c r="Z46" s="516">
        <f>P46</f>
        <v/>
      </c>
      <c r="AA46" s="517">
        <f>Q46</f>
        <v/>
      </c>
      <c r="AB46" s="517">
        <f>R46</f>
        <v/>
      </c>
      <c r="AC46" s="518">
        <f>S46</f>
        <v/>
      </c>
      <c r="AD46" s="517" t="n"/>
      <c r="AE46" s="646" t="n"/>
      <c r="AF46" s="646" t="n"/>
      <c r="AG46" s="518" t="n"/>
      <c r="AH46" s="92" t="n"/>
      <c r="AI46" s="196">
        <f>H46-G46+1</f>
        <v/>
      </c>
      <c r="AJ46" s="92" t="n"/>
      <c r="AK46" s="206" t="n"/>
      <c r="AL46" s="206" t="n"/>
      <c r="AM46" s="94" t="n"/>
      <c r="AR46" s="500">
        <f>SUM(W5:W24,AB25:AB77)</f>
        <v/>
      </c>
      <c r="AS46" s="539">
        <f>AR42*(21-13)+AR43*(72-21+1)</f>
        <v/>
      </c>
    </row>
    <row r="47">
      <c r="A47" s="206" t="n"/>
      <c r="B47" s="199" t="n"/>
      <c r="C47" s="185" t="n"/>
      <c r="D47" s="206" t="n"/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$C$16</f>
        <v/>
      </c>
      <c r="K47" s="516">
        <f>J47-L47-M47-N47</f>
        <v/>
      </c>
      <c r="L47" s="517">
        <f>$C$11/$C$7</f>
        <v/>
      </c>
      <c r="M47" s="517">
        <f>$C$12/$C$7</f>
        <v/>
      </c>
      <c r="N47" s="518">
        <f>$C$13/$C$7</f>
        <v/>
      </c>
      <c r="O47" s="515">
        <f>$C$32</f>
        <v/>
      </c>
      <c r="P47" s="516">
        <f>O47-Q47-R47-S47</f>
        <v/>
      </c>
      <c r="Q47" s="500">
        <f>$C$11/$C$7-$AQ$10-$AQ$16</f>
        <v/>
      </c>
      <c r="R47" s="517">
        <f>$C$12/$C$7-$AQ$11-$AQ$17</f>
        <v/>
      </c>
      <c r="S47" s="518">
        <f>$C$13/$C$7-$AQ$12-$AQ$18</f>
        <v/>
      </c>
      <c r="T47" s="693">
        <f>$C$43</f>
        <v/>
      </c>
      <c r="U47" s="694">
        <f>T47-V47-W47-X47</f>
        <v/>
      </c>
      <c r="V47" s="695">
        <f>$C$11/$C$7-$AQ$10-$AQ$16-$AQ$22</f>
        <v/>
      </c>
      <c r="W47" s="695">
        <f>$C$12/$C$7-$AQ$11-$AQ$17-$AQ$23</f>
        <v/>
      </c>
      <c r="X47" s="695">
        <f>$C$13/$C$7-$AQ$12-$AQ$18-$AQ$24</f>
        <v/>
      </c>
      <c r="Y47" s="515">
        <f>O47</f>
        <v/>
      </c>
      <c r="Z47" s="516">
        <f>P47</f>
        <v/>
      </c>
      <c r="AA47" s="517">
        <f>Q47</f>
        <v/>
      </c>
      <c r="AB47" s="517">
        <f>R47</f>
        <v/>
      </c>
      <c r="AC47" s="518">
        <f>S47</f>
        <v/>
      </c>
      <c r="AD47" s="517" t="n"/>
      <c r="AE47" s="646" t="n"/>
      <c r="AF47" s="646" t="n"/>
      <c r="AG47" s="518" t="n"/>
      <c r="AH47" s="92" t="n"/>
      <c r="AI47" s="196">
        <f>H47-G47+1</f>
        <v/>
      </c>
      <c r="AJ47" s="92" t="n"/>
      <c r="AK47" s="206" t="n"/>
      <c r="AL47" s="206" t="n"/>
      <c r="AM47" s="94" t="n"/>
    </row>
    <row r="48">
      <c r="A48" s="206" t="n"/>
      <c r="B48" s="199" t="n"/>
      <c r="C48" s="185" t="n"/>
      <c r="D48" s="206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$C$16</f>
        <v/>
      </c>
      <c r="K48" s="516">
        <f>J48-L48-M48-N48</f>
        <v/>
      </c>
      <c r="L48" s="517">
        <f>$C$11/$C$7</f>
        <v/>
      </c>
      <c r="M48" s="517">
        <f>$C$12/$C$7</f>
        <v/>
      </c>
      <c r="N48" s="518">
        <f>$C$13/$C$7</f>
        <v/>
      </c>
      <c r="O48" s="515">
        <f>$C$32</f>
        <v/>
      </c>
      <c r="P48" s="516">
        <f>O48-Q48-R48-S48</f>
        <v/>
      </c>
      <c r="Q48" s="500">
        <f>$C$11/$C$7-$AQ$10-$AQ$16</f>
        <v/>
      </c>
      <c r="R48" s="517">
        <f>$C$12/$C$7-$AQ$11-$AQ$17</f>
        <v/>
      </c>
      <c r="S48" s="518">
        <f>$C$13/$C$7-$AQ$12-$AQ$18</f>
        <v/>
      </c>
      <c r="T48" s="693">
        <f>$C$43</f>
        <v/>
      </c>
      <c r="U48" s="694">
        <f>T48-V48-W48-X48</f>
        <v/>
      </c>
      <c r="V48" s="695">
        <f>$C$11/$C$7-$AQ$10-$AQ$16-$AQ$22</f>
        <v/>
      </c>
      <c r="W48" s="695">
        <f>$C$12/$C$7-$AQ$11-$AQ$17-$AQ$23</f>
        <v/>
      </c>
      <c r="X48" s="695">
        <f>$C$13/$C$7-$AQ$12-$AQ$18-$AQ$24</f>
        <v/>
      </c>
      <c r="Y48" s="515">
        <f>O48</f>
        <v/>
      </c>
      <c r="Z48" s="516">
        <f>P48</f>
        <v/>
      </c>
      <c r="AA48" s="517">
        <f>Q48</f>
        <v/>
      </c>
      <c r="AB48" s="517">
        <f>R48</f>
        <v/>
      </c>
      <c r="AC48" s="518">
        <f>S48</f>
        <v/>
      </c>
      <c r="AD48" s="517" t="n"/>
      <c r="AE48" s="646" t="n"/>
      <c r="AF48" s="646" t="n"/>
      <c r="AG48" s="518" t="n"/>
      <c r="AH48" s="92" t="n"/>
      <c r="AI48" s="196">
        <f>H48-G48+1</f>
        <v/>
      </c>
      <c r="AJ48" s="92" t="n"/>
      <c r="AK48" s="206" t="n"/>
      <c r="AL48" s="206" t="n"/>
      <c r="AM48" s="94" t="n"/>
      <c r="AO48" s="206" t="inlineStr">
        <is>
          <t>재설치 매출</t>
        </is>
      </c>
      <c r="AT48" s="206" t="inlineStr">
        <is>
          <t>수취금 무관 원래 인식했어야하는 금액으로</t>
        </is>
      </c>
    </row>
    <row r="49">
      <c r="A49" s="206" t="n"/>
      <c r="B49" s="495" t="n"/>
      <c r="C49" s="702" t="n"/>
      <c r="D49" s="206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$C$16</f>
        <v/>
      </c>
      <c r="K49" s="516">
        <f>J49-L49-M49-N49</f>
        <v/>
      </c>
      <c r="L49" s="517">
        <f>$C$11/$C$7</f>
        <v/>
      </c>
      <c r="M49" s="517">
        <f>$C$12/$C$7</f>
        <v/>
      </c>
      <c r="N49" s="518">
        <f>$C$13/$C$7</f>
        <v/>
      </c>
      <c r="O49" s="515">
        <f>$C$32</f>
        <v/>
      </c>
      <c r="P49" s="516">
        <f>O49-Q49-R49-S49</f>
        <v/>
      </c>
      <c r="Q49" s="500">
        <f>$C$11/$C$7-$AQ$10-$AQ$16</f>
        <v/>
      </c>
      <c r="R49" s="517">
        <f>$C$12/$C$7-$AQ$11-$AQ$17</f>
        <v/>
      </c>
      <c r="S49" s="518">
        <f>$C$13/$C$7-$AQ$12-$AQ$18</f>
        <v/>
      </c>
      <c r="T49" s="693">
        <f>$C$43</f>
        <v/>
      </c>
      <c r="U49" s="694">
        <f>T49-V49-W49-X49</f>
        <v/>
      </c>
      <c r="V49" s="695">
        <f>$C$11/$C$7-$AQ$10-$AQ$16-$AQ$22</f>
        <v/>
      </c>
      <c r="W49" s="695">
        <f>$C$12/$C$7-$AQ$11-$AQ$17-$AQ$23</f>
        <v/>
      </c>
      <c r="X49" s="695">
        <f>$C$13/$C$7-$AQ$12-$AQ$18-$AQ$24</f>
        <v/>
      </c>
      <c r="Y49" s="515">
        <f>O49</f>
        <v/>
      </c>
      <c r="Z49" s="516">
        <f>P49</f>
        <v/>
      </c>
      <c r="AA49" s="517">
        <f>Q49</f>
        <v/>
      </c>
      <c r="AB49" s="517">
        <f>R49</f>
        <v/>
      </c>
      <c r="AC49" s="518">
        <f>S49</f>
        <v/>
      </c>
      <c r="AD49" s="517" t="n"/>
      <c r="AE49" s="646" t="n"/>
      <c r="AF49" s="646" t="n"/>
      <c r="AG49" s="518" t="n"/>
      <c r="AH49" s="92" t="n"/>
      <c r="AI49" s="196">
        <f>H49-G49+1</f>
        <v/>
      </c>
      <c r="AJ49" s="92" t="n"/>
      <c r="AK49" s="206" t="n"/>
      <c r="AL49" s="206" t="n"/>
      <c r="AM49" s="94" t="n"/>
      <c r="AO49" s="2" t="n"/>
      <c r="AP49" s="2" t="inlineStr">
        <is>
          <t>기존</t>
        </is>
      </c>
      <c r="AQ49" s="2" t="inlineStr">
        <is>
          <t>선납+결합할인</t>
        </is>
      </c>
      <c r="AR49" s="2" t="inlineStr">
        <is>
          <t>선납+결합할인 ('27.04 결합 원복 후)</t>
        </is>
      </c>
      <c r="AT49" s="2" t="inlineStr">
        <is>
          <t>선납+결합할인 ('27.04 결합 원복 후)</t>
        </is>
      </c>
    </row>
    <row r="50">
      <c r="A50" s="206" t="n"/>
      <c r="B50" s="495" t="n"/>
      <c r="C50" s="702" t="n"/>
      <c r="D50" s="206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$C$16</f>
        <v/>
      </c>
      <c r="K50" s="516">
        <f>J50-L50-M50-N50</f>
        <v/>
      </c>
      <c r="L50" s="517">
        <f>$C$11/$C$7</f>
        <v/>
      </c>
      <c r="M50" s="517">
        <f>$C$12/$C$7</f>
        <v/>
      </c>
      <c r="N50" s="518">
        <f>$C$13/$C$7</f>
        <v/>
      </c>
      <c r="O50" s="515">
        <f>$C$32</f>
        <v/>
      </c>
      <c r="P50" s="516">
        <f>O50-Q50-R50-S50</f>
        <v/>
      </c>
      <c r="Q50" s="500">
        <f>$C$11/$C$7-$AQ$10-$AQ$16</f>
        <v/>
      </c>
      <c r="R50" s="517">
        <f>$C$12/$C$7-$AQ$11-$AQ$17</f>
        <v/>
      </c>
      <c r="S50" s="518">
        <f>$C$13/$C$7-$AQ$12-$AQ$18</f>
        <v/>
      </c>
      <c r="T50" s="693">
        <f>$C$43</f>
        <v/>
      </c>
      <c r="U50" s="694">
        <f>T50-V50-W50-X50</f>
        <v/>
      </c>
      <c r="V50" s="695">
        <f>$C$11/$C$7-$AQ$10-$AQ$16-$AQ$22</f>
        <v/>
      </c>
      <c r="W50" s="695">
        <f>$C$12/$C$7-$AQ$11-$AQ$17-$AQ$23</f>
        <v/>
      </c>
      <c r="X50" s="695">
        <f>$C$13/$C$7-$AQ$12-$AQ$18-$AQ$24</f>
        <v/>
      </c>
      <c r="Y50" s="515">
        <f>O50</f>
        <v/>
      </c>
      <c r="Z50" s="516">
        <f>P50</f>
        <v/>
      </c>
      <c r="AA50" s="517">
        <f>Q50</f>
        <v/>
      </c>
      <c r="AB50" s="517">
        <f>R50</f>
        <v/>
      </c>
      <c r="AC50" s="518">
        <f>S50</f>
        <v/>
      </c>
      <c r="AD50" s="517" t="n"/>
      <c r="AE50" s="646" t="n"/>
      <c r="AF50" s="646" t="n"/>
      <c r="AG50" s="518" t="n"/>
      <c r="AH50" s="92" t="n"/>
      <c r="AI50" s="196">
        <f>H50-G50+1</f>
        <v/>
      </c>
      <c r="AJ50" s="92" t="n"/>
      <c r="AK50" s="206" t="n"/>
      <c r="AL50" s="206" t="n"/>
      <c r="AM50" s="94" t="n"/>
      <c r="AO50" s="2" t="inlineStr">
        <is>
          <t>재설치 발생시</t>
        </is>
      </c>
      <c r="AP50" s="527">
        <f>C13</f>
        <v/>
      </c>
      <c r="AQ50" s="527">
        <f>AP50-(AQ12+AQ18+AQ24)*C7</f>
        <v/>
      </c>
      <c r="AR50" s="527">
        <f>SUM(X5:X24,AC25:AC77)</f>
        <v/>
      </c>
      <c r="AT50" s="527">
        <f>AP50-(AQ12+AQ18)*C7</f>
        <v/>
      </c>
    </row>
    <row r="51">
      <c r="A51" s="206" t="n"/>
      <c r="B51" s="495" t="n"/>
      <c r="C51" s="702" t="n"/>
      <c r="D51" s="206" t="n"/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$C$16</f>
        <v/>
      </c>
      <c r="K51" s="516">
        <f>J51-L51-M51-N51</f>
        <v/>
      </c>
      <c r="L51" s="517">
        <f>$C$11/$C$7</f>
        <v/>
      </c>
      <c r="M51" s="517">
        <f>$C$12/$C$7</f>
        <v/>
      </c>
      <c r="N51" s="518">
        <f>$C$13/$C$7</f>
        <v/>
      </c>
      <c r="O51" s="515">
        <f>$C$32</f>
        <v/>
      </c>
      <c r="P51" s="516">
        <f>O51-Q51-R51-S51</f>
        <v/>
      </c>
      <c r="Q51" s="500">
        <f>$C$11/$C$7-$AQ$10-$AQ$16</f>
        <v/>
      </c>
      <c r="R51" s="517">
        <f>$C$12/$C$7-$AQ$11-$AQ$17</f>
        <v/>
      </c>
      <c r="S51" s="518">
        <f>$C$13/$C$7-$AQ$12-$AQ$18</f>
        <v/>
      </c>
      <c r="T51" s="693">
        <f>$C$43</f>
        <v/>
      </c>
      <c r="U51" s="694">
        <f>T51-V51-W51-X51</f>
        <v/>
      </c>
      <c r="V51" s="695">
        <f>$C$11/$C$7-$AQ$10-$AQ$16-$AQ$22</f>
        <v/>
      </c>
      <c r="W51" s="695">
        <f>$C$12/$C$7-$AQ$11-$AQ$17-$AQ$23</f>
        <v/>
      </c>
      <c r="X51" s="695">
        <f>$C$13/$C$7-$AQ$12-$AQ$18-$AQ$24</f>
        <v/>
      </c>
      <c r="Y51" s="515">
        <f>O51</f>
        <v/>
      </c>
      <c r="Z51" s="516">
        <f>P51</f>
        <v/>
      </c>
      <c r="AA51" s="517">
        <f>Q51</f>
        <v/>
      </c>
      <c r="AB51" s="517">
        <f>R51</f>
        <v/>
      </c>
      <c r="AC51" s="518">
        <f>S51</f>
        <v/>
      </c>
      <c r="AD51" s="517" t="n"/>
      <c r="AE51" s="646" t="n"/>
      <c r="AF51" s="646" t="n"/>
      <c r="AG51" s="518" t="n"/>
      <c r="AH51" s="92" t="n"/>
      <c r="AI51" s="196">
        <f>H51-G51+1</f>
        <v/>
      </c>
      <c r="AJ51" s="92" t="n"/>
      <c r="AK51" s="206" t="n"/>
      <c r="AL51" s="206" t="n"/>
      <c r="AM51" s="94" t="n"/>
    </row>
    <row r="52">
      <c r="A52" s="206" t="n"/>
      <c r="B52" s="495" t="n"/>
      <c r="C52" s="185" t="n"/>
      <c r="D52" s="206" t="n"/>
      <c r="E52" s="8" t="inlineStr">
        <is>
          <t>케어수행 4회차</t>
        </is>
      </c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$C$16</f>
        <v/>
      </c>
      <c r="K52" s="516">
        <f>J52-L52-M52-N52</f>
        <v/>
      </c>
      <c r="L52" s="517">
        <f>$C$11/$C$7</f>
        <v/>
      </c>
      <c r="M52" s="517">
        <f>$C$12/$C$7</f>
        <v/>
      </c>
      <c r="N52" s="518">
        <f>$C$13/$C$7</f>
        <v/>
      </c>
      <c r="O52" s="515">
        <f>$C$32</f>
        <v/>
      </c>
      <c r="P52" s="516">
        <f>O52-Q52-R52-S52</f>
        <v/>
      </c>
      <c r="Q52" s="500">
        <f>$C$11/$C$7-$AQ$10-$AQ$16</f>
        <v/>
      </c>
      <c r="R52" s="517">
        <f>$C$12/$C$7-$AQ$11-$AQ$17</f>
        <v/>
      </c>
      <c r="S52" s="518">
        <f>$C$13/$C$7-$AQ$12-$AQ$18</f>
        <v/>
      </c>
      <c r="T52" s="693">
        <f>$C$43</f>
        <v/>
      </c>
      <c r="U52" s="694">
        <f>T52-V52-W52-X52</f>
        <v/>
      </c>
      <c r="V52" s="695">
        <f>$C$11/$C$7-$AQ$10-$AQ$16-$AQ$22</f>
        <v/>
      </c>
      <c r="W52" s="695">
        <f>$C$12/$C$7-$AQ$11-$AQ$17-$AQ$23</f>
        <v/>
      </c>
      <c r="X52" s="695">
        <f>$C$13/$C$7-$AQ$12-$AQ$18-$AQ$24</f>
        <v/>
      </c>
      <c r="Y52" s="515">
        <f>O52</f>
        <v/>
      </c>
      <c r="Z52" s="516">
        <f>P52</f>
        <v/>
      </c>
      <c r="AA52" s="517">
        <f>Q52</f>
        <v/>
      </c>
      <c r="AB52" s="517">
        <f>R52</f>
        <v/>
      </c>
      <c r="AC52" s="518">
        <f>S52</f>
        <v/>
      </c>
      <c r="AD52" s="517" t="n"/>
      <c r="AE52" s="646" t="n"/>
      <c r="AF52" s="646" t="n"/>
      <c r="AG52" s="518" t="n"/>
      <c r="AH52" s="92" t="n"/>
      <c r="AI52" s="196">
        <f>H52-G52+1</f>
        <v/>
      </c>
      <c r="AJ52" s="92" t="n"/>
      <c r="AK52" s="206" t="n"/>
      <c r="AL52" s="206" t="n"/>
      <c r="AM52" s="94" t="n"/>
    </row>
    <row r="53">
      <c r="A53" s="206" t="n"/>
      <c r="B53" s="495" t="n"/>
      <c r="C53" s="697" t="n"/>
      <c r="D53" s="206" t="n"/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$C$16</f>
        <v/>
      </c>
      <c r="K53" s="516">
        <f>J53-L53-M53-N53</f>
        <v/>
      </c>
      <c r="L53" s="517">
        <f>$C$11/$C$7</f>
        <v/>
      </c>
      <c r="M53" s="517">
        <f>$C$12/$C$7</f>
        <v/>
      </c>
      <c r="N53" s="518">
        <f>$C$13/$C$7</f>
        <v/>
      </c>
      <c r="O53" s="515">
        <f>$C$32</f>
        <v/>
      </c>
      <c r="P53" s="516">
        <f>O53-Q53-R53-S53</f>
        <v/>
      </c>
      <c r="Q53" s="500">
        <f>$C$11/$C$7-$AQ$10-$AQ$16</f>
        <v/>
      </c>
      <c r="R53" s="517">
        <f>$C$12/$C$7-$AQ$11-$AQ$17</f>
        <v/>
      </c>
      <c r="S53" s="518">
        <f>$C$13/$C$7-$AQ$12-$AQ$18</f>
        <v/>
      </c>
      <c r="T53" s="693">
        <f>$C$43</f>
        <v/>
      </c>
      <c r="U53" s="694">
        <f>T53-V53-W53-X53</f>
        <v/>
      </c>
      <c r="V53" s="695">
        <f>$C$11/$C$7-$AQ$10-$AQ$16-$AQ$22</f>
        <v/>
      </c>
      <c r="W53" s="695">
        <f>$C$12/$C$7-$AQ$11-$AQ$17-$AQ$23</f>
        <v/>
      </c>
      <c r="X53" s="695">
        <f>$C$13/$C$7-$AQ$12-$AQ$18-$AQ$24</f>
        <v/>
      </c>
      <c r="Y53" s="515">
        <f>O53</f>
        <v/>
      </c>
      <c r="Z53" s="516">
        <f>P53</f>
        <v/>
      </c>
      <c r="AA53" s="517">
        <f>Q53</f>
        <v/>
      </c>
      <c r="AB53" s="517">
        <f>R53</f>
        <v/>
      </c>
      <c r="AC53" s="518">
        <f>S53</f>
        <v/>
      </c>
      <c r="AD53" s="517" t="n"/>
      <c r="AE53" s="646" t="n"/>
      <c r="AF53" s="646" t="n"/>
      <c r="AG53" s="518" t="n"/>
      <c r="AH53" s="92" t="n"/>
      <c r="AI53" s="196">
        <f>H53-G53+1</f>
        <v/>
      </c>
      <c r="AJ53" s="92" t="n"/>
      <c r="AK53" s="206" t="n"/>
      <c r="AL53" s="206" t="n"/>
      <c r="AM53" s="94" t="n"/>
    </row>
    <row r="54">
      <c r="A54" s="206" t="n"/>
      <c r="B54" s="495" t="n"/>
      <c r="C54" s="697" t="n"/>
      <c r="D54" s="206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$C$16</f>
        <v/>
      </c>
      <c r="K54" s="516">
        <f>J54-L54-M54-N54</f>
        <v/>
      </c>
      <c r="L54" s="517">
        <f>$C$11/$C$7</f>
        <v/>
      </c>
      <c r="M54" s="517">
        <f>$C$12/$C$7</f>
        <v/>
      </c>
      <c r="N54" s="518">
        <f>$C$13/$C$7</f>
        <v/>
      </c>
      <c r="O54" s="515">
        <f>$C$32</f>
        <v/>
      </c>
      <c r="P54" s="516">
        <f>O54-Q54-R54-S54</f>
        <v/>
      </c>
      <c r="Q54" s="500">
        <f>$C$11/$C$7-$AQ$10-$AQ$16</f>
        <v/>
      </c>
      <c r="R54" s="517">
        <f>$C$12/$C$7-$AQ$11-$AQ$17</f>
        <v/>
      </c>
      <c r="S54" s="518">
        <f>$C$13/$C$7-$AQ$12-$AQ$18</f>
        <v/>
      </c>
      <c r="T54" s="693">
        <f>$C$43</f>
        <v/>
      </c>
      <c r="U54" s="694">
        <f>T54-V54-W54-X54</f>
        <v/>
      </c>
      <c r="V54" s="695">
        <f>$C$11/$C$7-$AQ$10-$AQ$16-$AQ$22</f>
        <v/>
      </c>
      <c r="W54" s="695">
        <f>$C$12/$C$7-$AQ$11-$AQ$17-$AQ$23</f>
        <v/>
      </c>
      <c r="X54" s="695">
        <f>$C$13/$C$7-$AQ$12-$AQ$18-$AQ$24</f>
        <v/>
      </c>
      <c r="Y54" s="515">
        <f>O54</f>
        <v/>
      </c>
      <c r="Z54" s="516">
        <f>P54</f>
        <v/>
      </c>
      <c r="AA54" s="517">
        <f>Q54</f>
        <v/>
      </c>
      <c r="AB54" s="517">
        <f>R54</f>
        <v/>
      </c>
      <c r="AC54" s="518">
        <f>S54</f>
        <v/>
      </c>
      <c r="AD54" s="517" t="n"/>
      <c r="AE54" s="646" t="n"/>
      <c r="AF54" s="646" t="n"/>
      <c r="AG54" s="518" t="n"/>
      <c r="AH54" s="92" t="n"/>
      <c r="AI54" s="196">
        <f>H54-G54+1</f>
        <v/>
      </c>
      <c r="AJ54" s="92" t="n"/>
      <c r="AK54" s="206" t="n"/>
      <c r="AL54" s="206" t="n"/>
      <c r="AM54" s="94" t="n"/>
    </row>
    <row r="55">
      <c r="A55" s="206" t="n"/>
      <c r="B55" s="495" t="n"/>
      <c r="C55" s="697" t="n"/>
      <c r="D55" s="206" t="n"/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$C$16</f>
        <v/>
      </c>
      <c r="K55" s="516">
        <f>J55-L55-M55-N55</f>
        <v/>
      </c>
      <c r="L55" s="517">
        <f>$C$11/$C$7</f>
        <v/>
      </c>
      <c r="M55" s="517">
        <f>$C$12/$C$7</f>
        <v/>
      </c>
      <c r="N55" s="518">
        <f>$C$13/$C$7</f>
        <v/>
      </c>
      <c r="O55" s="515">
        <f>$C$32</f>
        <v/>
      </c>
      <c r="P55" s="516">
        <f>O55-Q55-R55-S55</f>
        <v/>
      </c>
      <c r="Q55" s="500">
        <f>$C$11/$C$7-$AQ$10-$AQ$16</f>
        <v/>
      </c>
      <c r="R55" s="517">
        <f>$C$12/$C$7-$AQ$11-$AQ$17</f>
        <v/>
      </c>
      <c r="S55" s="518">
        <f>$C$13/$C$7-$AQ$12-$AQ$18</f>
        <v/>
      </c>
      <c r="T55" s="693">
        <f>$C$43</f>
        <v/>
      </c>
      <c r="U55" s="694">
        <f>T55-V55-W55-X55</f>
        <v/>
      </c>
      <c r="V55" s="695">
        <f>$C$11/$C$7-$AQ$10-$AQ$16-$AQ$22</f>
        <v/>
      </c>
      <c r="W55" s="695">
        <f>$C$12/$C$7-$AQ$11-$AQ$17-$AQ$23</f>
        <v/>
      </c>
      <c r="X55" s="695">
        <f>$C$13/$C$7-$AQ$12-$AQ$18-$AQ$24</f>
        <v/>
      </c>
      <c r="Y55" s="515">
        <f>O55</f>
        <v/>
      </c>
      <c r="Z55" s="516">
        <f>P55</f>
        <v/>
      </c>
      <c r="AA55" s="517">
        <f>Q55</f>
        <v/>
      </c>
      <c r="AB55" s="517">
        <f>R55</f>
        <v/>
      </c>
      <c r="AC55" s="518">
        <f>S55</f>
        <v/>
      </c>
      <c r="AD55" s="517" t="n"/>
      <c r="AE55" s="646" t="n"/>
      <c r="AF55" s="646" t="n"/>
      <c r="AG55" s="518" t="n"/>
      <c r="AH55" s="92" t="n"/>
      <c r="AI55" s="196">
        <f>H55-G55+1</f>
        <v/>
      </c>
      <c r="AJ55" s="92" t="n"/>
      <c r="AK55" s="206" t="n"/>
      <c r="AL55" s="206" t="n"/>
      <c r="AM55" s="94" t="n"/>
    </row>
    <row r="56">
      <c r="A56" s="206" t="n"/>
      <c r="B56" s="495" t="n"/>
      <c r="C56" s="500" t="n"/>
      <c r="D56" s="206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$C$16</f>
        <v/>
      </c>
      <c r="K56" s="516">
        <f>J56-L56-M56-N56</f>
        <v/>
      </c>
      <c r="L56" s="517">
        <f>$C$11/$C$7</f>
        <v/>
      </c>
      <c r="M56" s="517">
        <f>$C$12/$C$7</f>
        <v/>
      </c>
      <c r="N56" s="518">
        <f>$C$13/$C$7</f>
        <v/>
      </c>
      <c r="O56" s="515">
        <f>$C$32</f>
        <v/>
      </c>
      <c r="P56" s="516">
        <f>O56-Q56-R56-S56</f>
        <v/>
      </c>
      <c r="Q56" s="500">
        <f>$C$11/$C$7-$AQ$10-$AQ$16</f>
        <v/>
      </c>
      <c r="R56" s="517">
        <f>$C$12/$C$7-$AQ$11-$AQ$17</f>
        <v/>
      </c>
      <c r="S56" s="518">
        <f>$C$13/$C$7-$AQ$12-$AQ$18</f>
        <v/>
      </c>
      <c r="T56" s="693">
        <f>$C$43</f>
        <v/>
      </c>
      <c r="U56" s="694">
        <f>T56-V56-W56-X56</f>
        <v/>
      </c>
      <c r="V56" s="695">
        <f>$C$11/$C$7-$AQ$10-$AQ$16-$AQ$22</f>
        <v/>
      </c>
      <c r="W56" s="695">
        <f>$C$12/$C$7-$AQ$11-$AQ$17-$AQ$23</f>
        <v/>
      </c>
      <c r="X56" s="695">
        <f>$C$13/$C$7-$AQ$12-$AQ$18-$AQ$24</f>
        <v/>
      </c>
      <c r="Y56" s="515">
        <f>O56</f>
        <v/>
      </c>
      <c r="Z56" s="516">
        <f>P56</f>
        <v/>
      </c>
      <c r="AA56" s="517">
        <f>Q56</f>
        <v/>
      </c>
      <c r="AB56" s="517">
        <f>R56</f>
        <v/>
      </c>
      <c r="AC56" s="518">
        <f>S56</f>
        <v/>
      </c>
      <c r="AD56" s="517" t="n"/>
      <c r="AE56" s="646" t="n"/>
      <c r="AF56" s="646" t="n"/>
      <c r="AG56" s="518" t="n"/>
      <c r="AH56" s="92" t="n"/>
      <c r="AI56" s="196">
        <f>H56-G56+1</f>
        <v/>
      </c>
      <c r="AJ56" s="92" t="n"/>
      <c r="AK56" s="206" t="n"/>
      <c r="AL56" s="206" t="n"/>
      <c r="AM56" s="94" t="n"/>
    </row>
    <row r="57">
      <c r="A57" s="206" t="n"/>
      <c r="B57" s="495" t="n"/>
      <c r="C57" s="697" t="n"/>
      <c r="D57" s="206" t="n"/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$C$16</f>
        <v/>
      </c>
      <c r="K57" s="516">
        <f>J57-L57-M57-N57</f>
        <v/>
      </c>
      <c r="L57" s="517">
        <f>$C$11/$C$7</f>
        <v/>
      </c>
      <c r="M57" s="517">
        <f>$C$12/$C$7</f>
        <v/>
      </c>
      <c r="N57" s="518">
        <f>$C$13/$C$7</f>
        <v/>
      </c>
      <c r="O57" s="515">
        <f>$C$32</f>
        <v/>
      </c>
      <c r="P57" s="516">
        <f>O57-Q57-R57-S57</f>
        <v/>
      </c>
      <c r="Q57" s="500">
        <f>$C$11/$C$7-$AQ$10-$AQ$16</f>
        <v/>
      </c>
      <c r="R57" s="517">
        <f>$C$12/$C$7-$AQ$11-$AQ$17</f>
        <v/>
      </c>
      <c r="S57" s="518">
        <f>$C$13/$C$7-$AQ$12-$AQ$18</f>
        <v/>
      </c>
      <c r="T57" s="693">
        <f>$C$43</f>
        <v/>
      </c>
      <c r="U57" s="694">
        <f>T57-V57-W57-X57</f>
        <v/>
      </c>
      <c r="V57" s="695">
        <f>$C$11/$C$7-$AQ$10-$AQ$16-$AQ$22</f>
        <v/>
      </c>
      <c r="W57" s="695">
        <f>$C$12/$C$7-$AQ$11-$AQ$17-$AQ$23</f>
        <v/>
      </c>
      <c r="X57" s="695">
        <f>$C$13/$C$7-$AQ$12-$AQ$18-$AQ$24</f>
        <v/>
      </c>
      <c r="Y57" s="515">
        <f>O57</f>
        <v/>
      </c>
      <c r="Z57" s="516">
        <f>P57</f>
        <v/>
      </c>
      <c r="AA57" s="517">
        <f>Q57</f>
        <v/>
      </c>
      <c r="AB57" s="517">
        <f>R57</f>
        <v/>
      </c>
      <c r="AC57" s="518">
        <f>S57</f>
        <v/>
      </c>
      <c r="AD57" s="517" t="n"/>
      <c r="AE57" s="646" t="n"/>
      <c r="AF57" s="646" t="n"/>
      <c r="AG57" s="518" t="n"/>
      <c r="AH57" s="92" t="n"/>
      <c r="AI57" s="196">
        <f>H57-G57+1</f>
        <v/>
      </c>
      <c r="AJ57" s="92" t="n"/>
      <c r="AK57" s="206" t="n"/>
      <c r="AM57" s="94" t="n"/>
    </row>
    <row r="58">
      <c r="A58" s="206" t="n"/>
      <c r="B58" s="495" t="n"/>
      <c r="C58" s="697" t="n"/>
      <c r="D58" s="505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$C$16</f>
        <v/>
      </c>
      <c r="K58" s="516">
        <f>J58-L58-M58-N58</f>
        <v/>
      </c>
      <c r="L58" s="517">
        <f>$C$11/$C$7</f>
        <v/>
      </c>
      <c r="M58" s="517">
        <f>$C$12/$C$7</f>
        <v/>
      </c>
      <c r="N58" s="518">
        <f>$C$13/$C$7</f>
        <v/>
      </c>
      <c r="O58" s="515">
        <f>$C$32</f>
        <v/>
      </c>
      <c r="P58" s="516">
        <f>O58-Q58-R58-S58</f>
        <v/>
      </c>
      <c r="Q58" s="500">
        <f>$C$11/$C$7-$AQ$10-$AQ$16</f>
        <v/>
      </c>
      <c r="R58" s="517">
        <f>$C$12/$C$7-$AQ$11-$AQ$17</f>
        <v/>
      </c>
      <c r="S58" s="518">
        <f>$C$13/$C$7-$AQ$12-$AQ$18</f>
        <v/>
      </c>
      <c r="T58" s="693">
        <f>$C$43</f>
        <v/>
      </c>
      <c r="U58" s="694">
        <f>T58-V58-W58-X58</f>
        <v/>
      </c>
      <c r="V58" s="695">
        <f>$C$11/$C$7-$AQ$10-$AQ$16-$AQ$22</f>
        <v/>
      </c>
      <c r="W58" s="695">
        <f>$C$12/$C$7-$AQ$11-$AQ$17-$AQ$23</f>
        <v/>
      </c>
      <c r="X58" s="695">
        <f>$C$13/$C$7-$AQ$12-$AQ$18-$AQ$24</f>
        <v/>
      </c>
      <c r="Y58" s="515">
        <f>O58</f>
        <v/>
      </c>
      <c r="Z58" s="516">
        <f>P58</f>
        <v/>
      </c>
      <c r="AA58" s="517">
        <f>Q58</f>
        <v/>
      </c>
      <c r="AB58" s="517">
        <f>R58</f>
        <v/>
      </c>
      <c r="AC58" s="518">
        <f>S58</f>
        <v/>
      </c>
      <c r="AD58" s="517" t="n"/>
      <c r="AE58" s="646" t="n"/>
      <c r="AF58" s="646" t="n"/>
      <c r="AG58" s="518" t="n"/>
      <c r="AH58" s="92" t="n"/>
      <c r="AI58" s="196">
        <f>H58-G58+1</f>
        <v/>
      </c>
      <c r="AJ58" s="92" t="n"/>
      <c r="AK58" s="206" t="n"/>
      <c r="AL58" s="200" t="n"/>
      <c r="AM58" s="94" t="n"/>
    </row>
    <row r="59">
      <c r="A59" s="206" t="n"/>
      <c r="B59" s="495" t="n"/>
      <c r="C59" s="697" t="n"/>
      <c r="D59" s="206" t="n"/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$C$16</f>
        <v/>
      </c>
      <c r="K59" s="516">
        <f>J59-L59-M59-N59</f>
        <v/>
      </c>
      <c r="L59" s="517">
        <f>$C$11/$C$7</f>
        <v/>
      </c>
      <c r="M59" s="517">
        <f>$C$12/$C$7</f>
        <v/>
      </c>
      <c r="N59" s="518">
        <f>$C$13/$C$7</f>
        <v/>
      </c>
      <c r="O59" s="515">
        <f>$C$32</f>
        <v/>
      </c>
      <c r="P59" s="516">
        <f>O59-Q59-R59-S59</f>
        <v/>
      </c>
      <c r="Q59" s="500">
        <f>$C$11/$C$7-$AQ$10-$AQ$16</f>
        <v/>
      </c>
      <c r="R59" s="517">
        <f>$C$12/$C$7-$AQ$11-$AQ$17</f>
        <v/>
      </c>
      <c r="S59" s="518">
        <f>$C$13/$C$7-$AQ$12-$AQ$18</f>
        <v/>
      </c>
      <c r="T59" s="693">
        <f>$C$43</f>
        <v/>
      </c>
      <c r="U59" s="694">
        <f>T59-V59-W59-X59</f>
        <v/>
      </c>
      <c r="V59" s="695">
        <f>$C$11/$C$7-$AQ$10-$AQ$16-$AQ$22</f>
        <v/>
      </c>
      <c r="W59" s="695">
        <f>$C$12/$C$7-$AQ$11-$AQ$17-$AQ$23</f>
        <v/>
      </c>
      <c r="X59" s="695">
        <f>$C$13/$C$7-$AQ$12-$AQ$18-$AQ$24</f>
        <v/>
      </c>
      <c r="Y59" s="515">
        <f>O59</f>
        <v/>
      </c>
      <c r="Z59" s="516">
        <f>P59</f>
        <v/>
      </c>
      <c r="AA59" s="517">
        <f>Q59</f>
        <v/>
      </c>
      <c r="AB59" s="517">
        <f>R59</f>
        <v/>
      </c>
      <c r="AC59" s="518">
        <f>S59</f>
        <v/>
      </c>
      <c r="AD59" s="517" t="n"/>
      <c r="AE59" s="646" t="n"/>
      <c r="AF59" s="646" t="n"/>
      <c r="AG59" s="518" t="n"/>
      <c r="AH59" s="92" t="n"/>
      <c r="AI59" s="196">
        <f>H59-G59+1</f>
        <v/>
      </c>
      <c r="AJ59" s="92" t="n"/>
      <c r="AK59" s="206" t="n"/>
      <c r="AL59" s="206" t="inlineStr">
        <is>
          <t>* 중도해지 시점에 선납할인 혜택 회수</t>
        </is>
      </c>
      <c r="AM59" s="94" t="n"/>
    </row>
    <row r="60">
      <c r="A60" s="206" t="n"/>
      <c r="B60" s="206" t="n"/>
      <c r="C60" s="206" t="n"/>
      <c r="D60" s="206" t="n"/>
      <c r="E60" s="203" t="inlineStr">
        <is>
          <t>* 중도해지 발생</t>
        </is>
      </c>
      <c r="F60" s="80" t="inlineStr">
        <is>
          <t>56회차</t>
        </is>
      </c>
      <c r="G60" s="81">
        <f>H59+1</f>
        <v/>
      </c>
      <c r="H60" s="81">
        <f>EOMONTH(G60,0)</f>
        <v/>
      </c>
      <c r="I60" s="82">
        <f>EDATE(I59,1)</f>
        <v/>
      </c>
      <c r="J60" s="630">
        <f>$C$16</f>
        <v/>
      </c>
      <c r="K60" s="631">
        <f>J60-L60-M60-N60</f>
        <v/>
      </c>
      <c r="L60" s="632">
        <f>$C$11/$C$7</f>
        <v/>
      </c>
      <c r="M60" s="632">
        <f>$C$12/$C$7</f>
        <v/>
      </c>
      <c r="N60" s="633">
        <f>$C$13/$C$7</f>
        <v/>
      </c>
      <c r="O60" s="630">
        <f>$C$32</f>
        <v/>
      </c>
      <c r="P60" s="631">
        <f>O60-Q60-R60-S60</f>
        <v/>
      </c>
      <c r="Q60" s="634">
        <f>$C$11/$C$7-$AQ$10-$AQ$16</f>
        <v/>
      </c>
      <c r="R60" s="632">
        <f>$C$12/$C$7-$AQ$11-$AQ$17</f>
        <v/>
      </c>
      <c r="S60" s="633">
        <f>$C$13/$C$7-$AQ$12-$AQ$18</f>
        <v/>
      </c>
      <c r="T60" s="703">
        <f>$C$43</f>
        <v/>
      </c>
      <c r="U60" s="704">
        <f>T60-V60-W60-X60</f>
        <v/>
      </c>
      <c r="V60" s="705">
        <f>$C$11/$C$7-$AQ$10-$AQ$16-$AQ$22</f>
        <v/>
      </c>
      <c r="W60" s="705">
        <f>$C$12/$C$7-$AQ$11-$AQ$17-$AQ$23</f>
        <v/>
      </c>
      <c r="X60" s="705">
        <f>$C$13/$C$7-$AQ$12-$AQ$18-$AQ$24</f>
        <v/>
      </c>
      <c r="Y60" s="630">
        <f>O60</f>
        <v/>
      </c>
      <c r="Z60" s="631">
        <f>P60</f>
        <v/>
      </c>
      <c r="AA60" s="632">
        <f>Q60</f>
        <v/>
      </c>
      <c r="AB60" s="632">
        <f>R60</f>
        <v/>
      </c>
      <c r="AC60" s="633">
        <f>S60</f>
        <v/>
      </c>
      <c r="AD60" s="632" t="n"/>
      <c r="AE60" s="647" t="n"/>
      <c r="AF60" s="647" t="n"/>
      <c r="AG60" s="633" t="n"/>
      <c r="AH60" s="99" t="n">
        <v>47590</v>
      </c>
      <c r="AI60" s="415">
        <f>AH60-G60</f>
        <v/>
      </c>
      <c r="AJ60" s="647">
        <f>ROUNDDOWN(((C15*1.1)*(C8-SUM(AI5:AI60))/C8)*10%,-1)</f>
        <v/>
      </c>
      <c r="AK60" s="632">
        <f>ROUNDDOWN(Y60*AI60/DAY(H60),-2)</f>
        <v/>
      </c>
      <c r="AL60" s="632">
        <f>ROUNDDOWN(C31*SUM(AI5:AI60)/C8,-2)</f>
        <v/>
      </c>
      <c r="AM60" s="638">
        <f>-ROUNDUP((C27*(C8-SUM(AI5:AI60))/C8),-2)</f>
        <v/>
      </c>
    </row>
    <row r="61">
      <c r="A61" s="487" t="n"/>
      <c r="B61" s="495" t="n"/>
      <c r="C61" s="188" t="n"/>
      <c r="D61" s="206" t="n"/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$C$16</f>
        <v/>
      </c>
      <c r="K61" s="516">
        <f>J61-L61-M61-N61</f>
        <v/>
      </c>
      <c r="L61" s="517">
        <f>$C$11/$C$7</f>
        <v/>
      </c>
      <c r="M61" s="517">
        <f>$C$12/$C$7</f>
        <v/>
      </c>
      <c r="N61" s="518">
        <f>$C$13/$C$7</f>
        <v/>
      </c>
      <c r="O61" s="515">
        <f>$C$32</f>
        <v/>
      </c>
      <c r="P61" s="516">
        <f>O61-Q61-R61-S61</f>
        <v/>
      </c>
      <c r="Q61" s="500">
        <f>$C$11/$C$7-$AQ$10-$AQ$16</f>
        <v/>
      </c>
      <c r="R61" s="517">
        <f>$C$12/$C$7-$AQ$11-$AQ$17</f>
        <v/>
      </c>
      <c r="S61" s="518">
        <f>$C$13/$C$7-$AQ$12-$AQ$18</f>
        <v/>
      </c>
      <c r="T61" s="693">
        <f>$C$43</f>
        <v/>
      </c>
      <c r="U61" s="694">
        <f>T61-V61-W61-X61</f>
        <v/>
      </c>
      <c r="V61" s="695">
        <f>$C$11/$C$7-$AQ$10-$AQ$16-$AQ$22</f>
        <v/>
      </c>
      <c r="W61" s="695">
        <f>$C$12/$C$7-$AQ$11-$AQ$17-$AQ$23</f>
        <v/>
      </c>
      <c r="X61" s="695">
        <f>$C$13/$C$7-$AQ$12-$AQ$18-$AQ$24</f>
        <v/>
      </c>
      <c r="Y61" s="515">
        <f>O61</f>
        <v/>
      </c>
      <c r="Z61" s="516">
        <f>P61</f>
        <v/>
      </c>
      <c r="AA61" s="517">
        <f>Q61</f>
        <v/>
      </c>
      <c r="AB61" s="517">
        <f>R61</f>
        <v/>
      </c>
      <c r="AC61" s="518">
        <f>S61</f>
        <v/>
      </c>
      <c r="AD61" s="517" t="n"/>
      <c r="AE61" s="646" t="n"/>
      <c r="AF61" s="646" t="n"/>
      <c r="AG61" s="518" t="n"/>
      <c r="AH61" s="92" t="n"/>
      <c r="AI61" s="196" t="inlineStr">
        <is>
          <t>* 사용일 기준: 제품판정일 전날까지 사용</t>
        </is>
      </c>
      <c r="AJ61" s="92" t="n"/>
      <c r="AK61" s="206" t="n"/>
      <c r="AL61" s="206" t="n"/>
      <c r="AM61" s="94" t="n"/>
    </row>
    <row r="62">
      <c r="B62" s="495" t="n"/>
      <c r="C62" s="517" t="n"/>
      <c r="D62" s="206" t="n"/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$C$16</f>
        <v/>
      </c>
      <c r="K62" s="516">
        <f>J62-L62-M62-N62</f>
        <v/>
      </c>
      <c r="L62" s="517">
        <f>$C$11/$C$7</f>
        <v/>
      </c>
      <c r="M62" s="517">
        <f>$C$12/$C$7</f>
        <v/>
      </c>
      <c r="N62" s="518">
        <f>$C$13/$C$7</f>
        <v/>
      </c>
      <c r="O62" s="515">
        <f>$C$32</f>
        <v/>
      </c>
      <c r="P62" s="516">
        <f>O62-Q62-R62-S62</f>
        <v/>
      </c>
      <c r="Q62" s="500">
        <f>$C$11/$C$7-$AQ$10-$AQ$16</f>
        <v/>
      </c>
      <c r="R62" s="517">
        <f>$C$12/$C$7-$AQ$11-$AQ$17</f>
        <v/>
      </c>
      <c r="S62" s="518">
        <f>$C$13/$C$7-$AQ$12-$AQ$18</f>
        <v/>
      </c>
      <c r="T62" s="693">
        <f>$C$43</f>
        <v/>
      </c>
      <c r="U62" s="694">
        <f>T62-V62-W62-X62</f>
        <v/>
      </c>
      <c r="V62" s="695">
        <f>$C$11/$C$7-$AQ$10-$AQ$16-$AQ$22</f>
        <v/>
      </c>
      <c r="W62" s="695">
        <f>$C$12/$C$7-$AQ$11-$AQ$17-$AQ$23</f>
        <v/>
      </c>
      <c r="X62" s="695">
        <f>$C$13/$C$7-$AQ$12-$AQ$18-$AQ$24</f>
        <v/>
      </c>
      <c r="Y62" s="515">
        <f>O62</f>
        <v/>
      </c>
      <c r="Z62" s="516">
        <f>P62</f>
        <v/>
      </c>
      <c r="AA62" s="517">
        <f>Q62</f>
        <v/>
      </c>
      <c r="AB62" s="517">
        <f>R62</f>
        <v/>
      </c>
      <c r="AC62" s="518">
        <f>S62</f>
        <v/>
      </c>
      <c r="AD62" s="517" t="n"/>
      <c r="AE62" s="646" t="n"/>
      <c r="AF62" s="646" t="n"/>
      <c r="AG62" s="518" t="n"/>
      <c r="AH62" s="92" t="n"/>
      <c r="AI62" s="196" t="n"/>
      <c r="AJ62" s="92" t="n"/>
      <c r="AK62" s="206" t="n"/>
      <c r="AL62" s="206" t="n"/>
      <c r="AM62" s="94" t="n"/>
    </row>
    <row r="63">
      <c r="B63" s="495" t="n"/>
      <c r="C63" s="517" t="n"/>
      <c r="D63" s="206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$C$16</f>
        <v/>
      </c>
      <c r="K63" s="516">
        <f>J63-L63-M63-N63</f>
        <v/>
      </c>
      <c r="L63" s="517">
        <f>$C$11/$C$7</f>
        <v/>
      </c>
      <c r="M63" s="517">
        <f>$C$12/$C$7</f>
        <v/>
      </c>
      <c r="N63" s="518">
        <f>$C$13/$C$7</f>
        <v/>
      </c>
      <c r="O63" s="515">
        <f>$C$32</f>
        <v/>
      </c>
      <c r="P63" s="516">
        <f>O63-Q63-R63-S63</f>
        <v/>
      </c>
      <c r="Q63" s="500">
        <f>$C$11/$C$7-$AQ$10-$AQ$16</f>
        <v/>
      </c>
      <c r="R63" s="517">
        <f>$C$12/$C$7-$AQ$11-$AQ$17</f>
        <v/>
      </c>
      <c r="S63" s="518">
        <f>$C$13/$C$7-$AQ$12-$AQ$18</f>
        <v/>
      </c>
      <c r="T63" s="693">
        <f>$C$43</f>
        <v/>
      </c>
      <c r="U63" s="694">
        <f>T63-V63-W63-X63</f>
        <v/>
      </c>
      <c r="V63" s="695">
        <f>$C$11/$C$7-$AQ$10-$AQ$16-$AQ$22</f>
        <v/>
      </c>
      <c r="W63" s="695">
        <f>$C$12/$C$7-$AQ$11-$AQ$17-$AQ$23</f>
        <v/>
      </c>
      <c r="X63" s="695">
        <f>$C$13/$C$7-$AQ$12-$AQ$18-$AQ$24</f>
        <v/>
      </c>
      <c r="Y63" s="515">
        <f>O63</f>
        <v/>
      </c>
      <c r="Z63" s="516">
        <f>P63</f>
        <v/>
      </c>
      <c r="AA63" s="517">
        <f>Q63</f>
        <v/>
      </c>
      <c r="AB63" s="517">
        <f>R63</f>
        <v/>
      </c>
      <c r="AC63" s="518">
        <f>S63</f>
        <v/>
      </c>
      <c r="AD63" s="517" t="n"/>
      <c r="AE63" s="646" t="n"/>
      <c r="AF63" s="646" t="n"/>
      <c r="AG63" s="518" t="n"/>
      <c r="AH63" s="92" t="n"/>
      <c r="AI63" s="196" t="n"/>
      <c r="AJ63" s="92" t="n"/>
      <c r="AK63" s="206" t="n"/>
      <c r="AL63" s="206" t="n"/>
      <c r="AM63" s="94" t="n"/>
    </row>
    <row r="64">
      <c r="B64" s="495" t="n"/>
      <c r="C64" s="517" t="n"/>
      <c r="D64" s="206" t="n"/>
      <c r="E64" s="8" t="inlineStr">
        <is>
          <t>케어수행 5회차</t>
        </is>
      </c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$C$16</f>
        <v/>
      </c>
      <c r="K64" s="516">
        <f>J64-L64-M64-N64</f>
        <v/>
      </c>
      <c r="L64" s="517">
        <f>$C$11/$C$7</f>
        <v/>
      </c>
      <c r="M64" s="517">
        <f>$C$12/$C$7</f>
        <v/>
      </c>
      <c r="N64" s="518">
        <f>$C$13/$C$7</f>
        <v/>
      </c>
      <c r="O64" s="515">
        <f>$C$32</f>
        <v/>
      </c>
      <c r="P64" s="516">
        <f>O64-Q64-R64-S64</f>
        <v/>
      </c>
      <c r="Q64" s="500">
        <f>$C$11/$C$7-$AQ$10-$AQ$16</f>
        <v/>
      </c>
      <c r="R64" s="517">
        <f>$C$12/$C$7-$AQ$11-$AQ$17</f>
        <v/>
      </c>
      <c r="S64" s="518">
        <f>$C$13/$C$7-$AQ$12-$AQ$18</f>
        <v/>
      </c>
      <c r="T64" s="693">
        <f>$C$43</f>
        <v/>
      </c>
      <c r="U64" s="694">
        <f>T64-V64-W64-X64</f>
        <v/>
      </c>
      <c r="V64" s="695">
        <f>$C$11/$C$7-$AQ$10-$AQ$16-$AQ$22</f>
        <v/>
      </c>
      <c r="W64" s="695">
        <f>$C$12/$C$7-$AQ$11-$AQ$17-$AQ$23</f>
        <v/>
      </c>
      <c r="X64" s="695">
        <f>$C$13/$C$7-$AQ$12-$AQ$18-$AQ$24</f>
        <v/>
      </c>
      <c r="Y64" s="515">
        <f>O64</f>
        <v/>
      </c>
      <c r="Z64" s="516">
        <f>P64</f>
        <v/>
      </c>
      <c r="AA64" s="517">
        <f>Q64</f>
        <v/>
      </c>
      <c r="AB64" s="517">
        <f>R64</f>
        <v/>
      </c>
      <c r="AC64" s="518">
        <f>S64</f>
        <v/>
      </c>
      <c r="AD64" s="517" t="n"/>
      <c r="AE64" s="646" t="n"/>
      <c r="AF64" s="646" t="n"/>
      <c r="AG64" s="518" t="n"/>
      <c r="AH64" s="92" t="n"/>
      <c r="AI64" s="196" t="n"/>
      <c r="AJ64" s="92" t="n"/>
      <c r="AK64" s="206" t="n"/>
      <c r="AL64" s="206" t="n"/>
      <c r="AM64" s="94" t="n"/>
    </row>
    <row r="65">
      <c r="B65" s="495" t="n"/>
      <c r="C65" s="517" t="n"/>
      <c r="D65" s="206" t="n"/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$C$16</f>
        <v/>
      </c>
      <c r="K65" s="516">
        <f>J65-L65-M65-N65</f>
        <v/>
      </c>
      <c r="L65" s="517">
        <f>$C$11/$C$7</f>
        <v/>
      </c>
      <c r="M65" s="517">
        <f>$C$12/$C$7</f>
        <v/>
      </c>
      <c r="N65" s="518">
        <f>$C$13/$C$7</f>
        <v/>
      </c>
      <c r="O65" s="515">
        <f>$C$32</f>
        <v/>
      </c>
      <c r="P65" s="516">
        <f>O65-Q65-R65-S65</f>
        <v/>
      </c>
      <c r="Q65" s="500">
        <f>$C$11/$C$7-$AQ$10-$AQ$16</f>
        <v/>
      </c>
      <c r="R65" s="517">
        <f>$C$12/$C$7-$AQ$11-$AQ$17</f>
        <v/>
      </c>
      <c r="S65" s="518">
        <f>$C$13/$C$7-$AQ$12-$AQ$18</f>
        <v/>
      </c>
      <c r="T65" s="693">
        <f>$C$43</f>
        <v/>
      </c>
      <c r="U65" s="694">
        <f>T65-V65-W65-X65</f>
        <v/>
      </c>
      <c r="V65" s="695">
        <f>$C$11/$C$7-$AQ$10-$AQ$16-$AQ$22</f>
        <v/>
      </c>
      <c r="W65" s="695">
        <f>$C$12/$C$7-$AQ$11-$AQ$17-$AQ$23</f>
        <v/>
      </c>
      <c r="X65" s="695">
        <f>$C$13/$C$7-$AQ$12-$AQ$18-$AQ$24</f>
        <v/>
      </c>
      <c r="Y65" s="515">
        <f>O65</f>
        <v/>
      </c>
      <c r="Z65" s="516">
        <f>P65</f>
        <v/>
      </c>
      <c r="AA65" s="517">
        <f>Q65</f>
        <v/>
      </c>
      <c r="AB65" s="517">
        <f>R65</f>
        <v/>
      </c>
      <c r="AC65" s="518">
        <f>S65</f>
        <v/>
      </c>
      <c r="AD65" s="517" t="n"/>
      <c r="AE65" s="646" t="n"/>
      <c r="AF65" s="646" t="n"/>
      <c r="AG65" s="518" t="n"/>
      <c r="AH65" s="92" t="n"/>
      <c r="AI65" s="196" t="n"/>
      <c r="AJ65" s="92" t="n"/>
      <c r="AK65" s="206" t="n"/>
      <c r="AL65" s="206" t="n"/>
      <c r="AM65" s="94" t="n"/>
    </row>
    <row r="66">
      <c r="B66" s="495" t="n"/>
      <c r="C66" s="517" t="n"/>
      <c r="D66" s="206" t="n"/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$C$16</f>
        <v/>
      </c>
      <c r="K66" s="516">
        <f>J66-L66-M66-N66</f>
        <v/>
      </c>
      <c r="L66" s="517">
        <f>$C$11/$C$7</f>
        <v/>
      </c>
      <c r="M66" s="517">
        <f>$C$12/$C$7</f>
        <v/>
      </c>
      <c r="N66" s="518">
        <f>$C$13/$C$7</f>
        <v/>
      </c>
      <c r="O66" s="515">
        <f>$C$32</f>
        <v/>
      </c>
      <c r="P66" s="516">
        <f>O66-Q66-R66-S66</f>
        <v/>
      </c>
      <c r="Q66" s="500">
        <f>$C$11/$C$7-$AQ$10-$AQ$16</f>
        <v/>
      </c>
      <c r="R66" s="517">
        <f>$C$12/$C$7-$AQ$11-$AQ$17</f>
        <v/>
      </c>
      <c r="S66" s="518">
        <f>$C$13/$C$7-$AQ$12-$AQ$18</f>
        <v/>
      </c>
      <c r="T66" s="693">
        <f>$C$43</f>
        <v/>
      </c>
      <c r="U66" s="694">
        <f>T66-V66-W66-X66</f>
        <v/>
      </c>
      <c r="V66" s="695">
        <f>$C$11/$C$7-$AQ$10-$AQ$16-$AQ$22</f>
        <v/>
      </c>
      <c r="W66" s="695">
        <f>$C$12/$C$7-$AQ$11-$AQ$17-$AQ$23</f>
        <v/>
      </c>
      <c r="X66" s="695">
        <f>$C$13/$C$7-$AQ$12-$AQ$18-$AQ$24</f>
        <v/>
      </c>
      <c r="Y66" s="515">
        <f>O66</f>
        <v/>
      </c>
      <c r="Z66" s="516">
        <f>P66</f>
        <v/>
      </c>
      <c r="AA66" s="517">
        <f>Q66</f>
        <v/>
      </c>
      <c r="AB66" s="517">
        <f>R66</f>
        <v/>
      </c>
      <c r="AC66" s="518">
        <f>S66</f>
        <v/>
      </c>
      <c r="AD66" s="517" t="n"/>
      <c r="AE66" s="646" t="n"/>
      <c r="AF66" s="646" t="n"/>
      <c r="AG66" s="518" t="n"/>
      <c r="AH66" s="92" t="n"/>
      <c r="AI66" s="196" t="n"/>
      <c r="AJ66" s="92" t="n"/>
      <c r="AK66" s="206" t="n"/>
      <c r="AL66" s="206" t="n"/>
      <c r="AM66" s="94" t="n"/>
    </row>
    <row r="67">
      <c r="B67" s="495" t="n"/>
      <c r="C67" s="517" t="n"/>
      <c r="D67" s="206" t="n"/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$C$16</f>
        <v/>
      </c>
      <c r="K67" s="516">
        <f>J67-L67-M67-N67</f>
        <v/>
      </c>
      <c r="L67" s="517">
        <f>$C$11/$C$7</f>
        <v/>
      </c>
      <c r="M67" s="517">
        <f>$C$12/$C$7</f>
        <v/>
      </c>
      <c r="N67" s="518">
        <f>$C$13/$C$7</f>
        <v/>
      </c>
      <c r="O67" s="515">
        <f>$C$32</f>
        <v/>
      </c>
      <c r="P67" s="516">
        <f>O67-Q67-R67-S67</f>
        <v/>
      </c>
      <c r="Q67" s="500">
        <f>$C$11/$C$7-$AQ$10-$AQ$16</f>
        <v/>
      </c>
      <c r="R67" s="517">
        <f>$C$12/$C$7-$AQ$11-$AQ$17</f>
        <v/>
      </c>
      <c r="S67" s="518">
        <f>$C$13/$C$7-$AQ$12-$AQ$18</f>
        <v/>
      </c>
      <c r="T67" s="693">
        <f>$C$43</f>
        <v/>
      </c>
      <c r="U67" s="694">
        <f>T67-V67-W67-X67</f>
        <v/>
      </c>
      <c r="V67" s="695">
        <f>$C$11/$C$7-$AQ$10-$AQ$16-$AQ$22</f>
        <v/>
      </c>
      <c r="W67" s="695">
        <f>$C$12/$C$7-$AQ$11-$AQ$17-$AQ$23</f>
        <v/>
      </c>
      <c r="X67" s="695">
        <f>$C$13/$C$7-$AQ$12-$AQ$18-$AQ$24</f>
        <v/>
      </c>
      <c r="Y67" s="515">
        <f>O67</f>
        <v/>
      </c>
      <c r="Z67" s="516">
        <f>P67</f>
        <v/>
      </c>
      <c r="AA67" s="517">
        <f>Q67</f>
        <v/>
      </c>
      <c r="AB67" s="517">
        <f>R67</f>
        <v/>
      </c>
      <c r="AC67" s="518">
        <f>S67</f>
        <v/>
      </c>
      <c r="AD67" s="517" t="n"/>
      <c r="AE67" s="646" t="n"/>
      <c r="AF67" s="646" t="n"/>
      <c r="AG67" s="518" t="n"/>
      <c r="AH67" s="92" t="n"/>
      <c r="AI67" s="196" t="n"/>
      <c r="AJ67" s="92" t="n"/>
      <c r="AK67" s="206" t="n"/>
      <c r="AL67" s="206" t="n"/>
      <c r="AM67" s="94" t="n"/>
    </row>
    <row r="68">
      <c r="A68" s="206" t="n"/>
      <c r="B68" s="495" t="n"/>
      <c r="C68" s="517" t="n"/>
      <c r="D68" s="206" t="n"/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$C$16</f>
        <v/>
      </c>
      <c r="K68" s="516">
        <f>J68-L68-M68-N68</f>
        <v/>
      </c>
      <c r="L68" s="517">
        <f>$C$11/$C$7</f>
        <v/>
      </c>
      <c r="M68" s="517">
        <f>$C$12/$C$7</f>
        <v/>
      </c>
      <c r="N68" s="518">
        <f>$C$13/$C$7</f>
        <v/>
      </c>
      <c r="O68" s="515">
        <f>$C$32</f>
        <v/>
      </c>
      <c r="P68" s="516">
        <f>O68-Q68-R68-S68</f>
        <v/>
      </c>
      <c r="Q68" s="500">
        <f>$C$11/$C$7-$AQ$10-$AQ$16</f>
        <v/>
      </c>
      <c r="R68" s="517">
        <f>$C$12/$C$7-$AQ$11-$AQ$17</f>
        <v/>
      </c>
      <c r="S68" s="518">
        <f>$C$13/$C$7-$AQ$12-$AQ$18</f>
        <v/>
      </c>
      <c r="T68" s="693">
        <f>$C$43</f>
        <v/>
      </c>
      <c r="U68" s="694">
        <f>T68-V68-W68-X68</f>
        <v/>
      </c>
      <c r="V68" s="695">
        <f>$C$11/$C$7-$AQ$10-$AQ$16-$AQ$22</f>
        <v/>
      </c>
      <c r="W68" s="695">
        <f>$C$12/$C$7-$AQ$11-$AQ$17-$AQ$23</f>
        <v/>
      </c>
      <c r="X68" s="695">
        <f>$C$13/$C$7-$AQ$12-$AQ$18-$AQ$24</f>
        <v/>
      </c>
      <c r="Y68" s="515">
        <f>O68</f>
        <v/>
      </c>
      <c r="Z68" s="516">
        <f>P68</f>
        <v/>
      </c>
      <c r="AA68" s="517">
        <f>Q68</f>
        <v/>
      </c>
      <c r="AB68" s="517">
        <f>R68</f>
        <v/>
      </c>
      <c r="AC68" s="518">
        <f>S68</f>
        <v/>
      </c>
      <c r="AD68" s="517" t="n"/>
      <c r="AE68" s="646" t="n"/>
      <c r="AF68" s="646" t="n"/>
      <c r="AG68" s="518" t="n"/>
      <c r="AH68" s="92" t="n"/>
      <c r="AI68" s="196" t="n"/>
      <c r="AJ68" s="92" t="n"/>
      <c r="AK68" s="206" t="n"/>
      <c r="AL68" s="206" t="n"/>
      <c r="AM68" s="94" t="n"/>
    </row>
    <row r="69">
      <c r="A69" s="206" t="n"/>
      <c r="B69" s="495" t="n"/>
      <c r="C69" s="517" t="n"/>
      <c r="D69" s="206" t="n"/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$C$16</f>
        <v/>
      </c>
      <c r="K69" s="516">
        <f>J69-L69-M69-N69</f>
        <v/>
      </c>
      <c r="L69" s="517">
        <f>$C$11/$C$7</f>
        <v/>
      </c>
      <c r="M69" s="517">
        <f>$C$12/$C$7</f>
        <v/>
      </c>
      <c r="N69" s="518">
        <f>$C$13/$C$7</f>
        <v/>
      </c>
      <c r="O69" s="515">
        <f>$C$32</f>
        <v/>
      </c>
      <c r="P69" s="516">
        <f>O69-Q69-R69-S69</f>
        <v/>
      </c>
      <c r="Q69" s="500">
        <f>$C$11/$C$7-$AQ$10-$AQ$16</f>
        <v/>
      </c>
      <c r="R69" s="517">
        <f>$C$12/$C$7-$AQ$11-$AQ$17</f>
        <v/>
      </c>
      <c r="S69" s="518">
        <f>$C$13/$C$7-$AQ$12-$AQ$18</f>
        <v/>
      </c>
      <c r="T69" s="693">
        <f>$C$43</f>
        <v/>
      </c>
      <c r="U69" s="694">
        <f>T69-V69-W69-X69</f>
        <v/>
      </c>
      <c r="V69" s="695">
        <f>$C$11/$C$7-$AQ$10-$AQ$16-$AQ$22</f>
        <v/>
      </c>
      <c r="W69" s="695">
        <f>$C$12/$C$7-$AQ$11-$AQ$17-$AQ$23</f>
        <v/>
      </c>
      <c r="X69" s="695">
        <f>$C$13/$C$7-$AQ$12-$AQ$18-$AQ$24</f>
        <v/>
      </c>
      <c r="Y69" s="515">
        <f>O69</f>
        <v/>
      </c>
      <c r="Z69" s="516">
        <f>P69</f>
        <v/>
      </c>
      <c r="AA69" s="517">
        <f>Q69</f>
        <v/>
      </c>
      <c r="AB69" s="517">
        <f>R69</f>
        <v/>
      </c>
      <c r="AC69" s="518">
        <f>S69</f>
        <v/>
      </c>
      <c r="AD69" s="517" t="n"/>
      <c r="AE69" s="646" t="n"/>
      <c r="AF69" s="646" t="n"/>
      <c r="AG69" s="518" t="n"/>
      <c r="AH69" s="92" t="n"/>
      <c r="AI69" s="196" t="n"/>
      <c r="AJ69" s="92" t="n"/>
      <c r="AK69" s="206" t="n"/>
      <c r="AL69" s="206" t="n"/>
      <c r="AM69" s="94" t="n"/>
    </row>
    <row r="70">
      <c r="A70" s="206" t="n"/>
      <c r="B70" s="495" t="n"/>
      <c r="C70" s="517" t="n"/>
      <c r="D70" s="206" t="n"/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$C$16</f>
        <v/>
      </c>
      <c r="K70" s="516">
        <f>J70-L70-M70-N70</f>
        <v/>
      </c>
      <c r="L70" s="517">
        <f>$C$11/$C$7</f>
        <v/>
      </c>
      <c r="M70" s="517">
        <f>$C$12/$C$7</f>
        <v/>
      </c>
      <c r="N70" s="518">
        <f>$C$13/$C$7</f>
        <v/>
      </c>
      <c r="O70" s="515">
        <f>$C$32</f>
        <v/>
      </c>
      <c r="P70" s="516">
        <f>O70-Q70-R70-S70</f>
        <v/>
      </c>
      <c r="Q70" s="500">
        <f>$C$11/$C$7-$AQ$10-$AQ$16</f>
        <v/>
      </c>
      <c r="R70" s="517">
        <f>$C$12/$C$7-$AQ$11-$AQ$17</f>
        <v/>
      </c>
      <c r="S70" s="518">
        <f>$C$13/$C$7-$AQ$12-$AQ$18</f>
        <v/>
      </c>
      <c r="T70" s="693">
        <f>$C$43</f>
        <v/>
      </c>
      <c r="U70" s="694">
        <f>T70-V70-W70-X70</f>
        <v/>
      </c>
      <c r="V70" s="695">
        <f>$C$11/$C$7-$AQ$10-$AQ$16-$AQ$22</f>
        <v/>
      </c>
      <c r="W70" s="695">
        <f>$C$12/$C$7-$AQ$11-$AQ$17-$AQ$23</f>
        <v/>
      </c>
      <c r="X70" s="695">
        <f>$C$13/$C$7-$AQ$12-$AQ$18-$AQ$24</f>
        <v/>
      </c>
      <c r="Y70" s="515">
        <f>O70</f>
        <v/>
      </c>
      <c r="Z70" s="516">
        <f>P70</f>
        <v/>
      </c>
      <c r="AA70" s="517">
        <f>Q70</f>
        <v/>
      </c>
      <c r="AB70" s="517">
        <f>R70</f>
        <v/>
      </c>
      <c r="AC70" s="518">
        <f>S70</f>
        <v/>
      </c>
      <c r="AD70" s="517" t="n"/>
      <c r="AE70" s="646" t="n"/>
      <c r="AF70" s="646" t="n"/>
      <c r="AG70" s="518" t="n"/>
      <c r="AH70" s="92" t="n"/>
      <c r="AI70" s="196" t="n"/>
      <c r="AJ70" s="92" t="n"/>
      <c r="AK70" s="206" t="n"/>
      <c r="AL70" s="206" t="n"/>
      <c r="AM70" s="94" t="n"/>
    </row>
    <row r="71">
      <c r="A71" s="206" t="n"/>
      <c r="B71" s="495" t="n"/>
      <c r="C71" s="517" t="n"/>
      <c r="D71" s="206" t="n"/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$C$16</f>
        <v/>
      </c>
      <c r="K71" s="516">
        <f>J71-L71-M71-N71</f>
        <v/>
      </c>
      <c r="L71" s="517">
        <f>$C$11/$C$7</f>
        <v/>
      </c>
      <c r="M71" s="517">
        <f>$C$12/$C$7</f>
        <v/>
      </c>
      <c r="N71" s="518">
        <f>$C$13/$C$7</f>
        <v/>
      </c>
      <c r="O71" s="515">
        <f>$C$32</f>
        <v/>
      </c>
      <c r="P71" s="516">
        <f>O71-Q71-R71-S71</f>
        <v/>
      </c>
      <c r="Q71" s="500">
        <f>$C$11/$C$7-$AQ$10-$AQ$16</f>
        <v/>
      </c>
      <c r="R71" s="517">
        <f>$C$12/$C$7-$AQ$11-$AQ$17</f>
        <v/>
      </c>
      <c r="S71" s="518">
        <f>$C$13/$C$7-$AQ$12-$AQ$18</f>
        <v/>
      </c>
      <c r="T71" s="693">
        <f>$C$43</f>
        <v/>
      </c>
      <c r="U71" s="694">
        <f>T71-V71-W71-X71</f>
        <v/>
      </c>
      <c r="V71" s="695">
        <f>$C$11/$C$7-$AQ$10-$AQ$16-$AQ$22</f>
        <v/>
      </c>
      <c r="W71" s="695">
        <f>$C$12/$C$7-$AQ$11-$AQ$17-$AQ$23</f>
        <v/>
      </c>
      <c r="X71" s="695">
        <f>$C$13/$C$7-$AQ$12-$AQ$18-$AQ$24</f>
        <v/>
      </c>
      <c r="Y71" s="515">
        <f>O71</f>
        <v/>
      </c>
      <c r="Z71" s="516">
        <f>P71</f>
        <v/>
      </c>
      <c r="AA71" s="517">
        <f>Q71</f>
        <v/>
      </c>
      <c r="AB71" s="517">
        <f>R71</f>
        <v/>
      </c>
      <c r="AC71" s="518">
        <f>S71</f>
        <v/>
      </c>
      <c r="AD71" s="517" t="n"/>
      <c r="AE71" s="646" t="n"/>
      <c r="AF71" s="646" t="n"/>
      <c r="AG71" s="518" t="n"/>
      <c r="AH71" s="92" t="n"/>
      <c r="AI71" s="196" t="n"/>
      <c r="AJ71" s="92" t="n"/>
      <c r="AK71" s="206" t="n"/>
      <c r="AL71" s="206" t="n"/>
      <c r="AM71" s="94" t="n"/>
    </row>
    <row r="72">
      <c r="A72" s="206" t="n"/>
      <c r="B72" s="495" t="n"/>
      <c r="C72" s="517" t="n"/>
      <c r="D72" s="206" t="n"/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$C$16</f>
        <v/>
      </c>
      <c r="K72" s="516">
        <f>J72-L72-M72-N72</f>
        <v/>
      </c>
      <c r="L72" s="517">
        <f>$C$11/$C$7</f>
        <v/>
      </c>
      <c r="M72" s="517">
        <f>$C$12/$C$7</f>
        <v/>
      </c>
      <c r="N72" s="518">
        <f>$C$13/$C$7</f>
        <v/>
      </c>
      <c r="O72" s="515">
        <f>$C$32</f>
        <v/>
      </c>
      <c r="P72" s="516">
        <f>O72-Q72-R72-S72</f>
        <v/>
      </c>
      <c r="Q72" s="500">
        <f>$C$11/$C$7-$AQ$10-$AQ$16</f>
        <v/>
      </c>
      <c r="R72" s="517">
        <f>$C$12/$C$7-$AQ$11-$AQ$17</f>
        <v/>
      </c>
      <c r="S72" s="518">
        <f>$C$13/$C$7-$AQ$12-$AQ$18</f>
        <v/>
      </c>
      <c r="T72" s="693">
        <f>$C$43</f>
        <v/>
      </c>
      <c r="U72" s="694">
        <f>T72-V72-W72-X72</f>
        <v/>
      </c>
      <c r="V72" s="695">
        <f>$C$11/$C$7-$AQ$10-$AQ$16-$AQ$22</f>
        <v/>
      </c>
      <c r="W72" s="695">
        <f>$C$12/$C$7-$AQ$11-$AQ$17-$AQ$23</f>
        <v/>
      </c>
      <c r="X72" s="695">
        <f>$C$13/$C$7-$AQ$12-$AQ$18-$AQ$24</f>
        <v/>
      </c>
      <c r="Y72" s="515">
        <f>O72</f>
        <v/>
      </c>
      <c r="Z72" s="516">
        <f>P72</f>
        <v/>
      </c>
      <c r="AA72" s="517">
        <f>Q72</f>
        <v/>
      </c>
      <c r="AB72" s="517">
        <f>R72</f>
        <v/>
      </c>
      <c r="AC72" s="518">
        <f>S72</f>
        <v/>
      </c>
      <c r="AD72" s="517" t="n"/>
      <c r="AE72" s="646" t="n"/>
      <c r="AF72" s="646" t="n"/>
      <c r="AG72" s="518" t="n"/>
      <c r="AH72" s="92" t="n"/>
      <c r="AI72" s="196" t="n"/>
      <c r="AJ72" s="92" t="n"/>
      <c r="AK72" s="206" t="n"/>
      <c r="AL72" s="206" t="n"/>
      <c r="AM72" s="94" t="n"/>
    </row>
    <row r="73">
      <c r="A73" s="206" t="n"/>
      <c r="B73" s="495" t="n"/>
      <c r="C73" s="517" t="n"/>
      <c r="D73" s="206" t="n"/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$C$16</f>
        <v/>
      </c>
      <c r="K73" s="516">
        <f>J73-L73-M73-N73</f>
        <v/>
      </c>
      <c r="L73" s="517">
        <f>$C$11/$C$7</f>
        <v/>
      </c>
      <c r="M73" s="517">
        <f>$C$12/$C$7</f>
        <v/>
      </c>
      <c r="N73" s="518">
        <f>$C$13/$C$7</f>
        <v/>
      </c>
      <c r="O73" s="515">
        <f>$C$32</f>
        <v/>
      </c>
      <c r="P73" s="516">
        <f>O73-Q73-R73-S73</f>
        <v/>
      </c>
      <c r="Q73" s="500">
        <f>$C$11/$C$7-$AQ$10-$AQ$16</f>
        <v/>
      </c>
      <c r="R73" s="517">
        <f>$C$12/$C$7-$AQ$11-$AQ$17</f>
        <v/>
      </c>
      <c r="S73" s="518">
        <f>$C$13/$C$7-$AQ$12-$AQ$18</f>
        <v/>
      </c>
      <c r="T73" s="693">
        <f>$C$43</f>
        <v/>
      </c>
      <c r="U73" s="694">
        <f>T73-V73-W73-X73</f>
        <v/>
      </c>
      <c r="V73" s="695">
        <f>$C$11/$C$7-$AQ$10-$AQ$16-$AQ$22</f>
        <v/>
      </c>
      <c r="W73" s="695">
        <f>$C$12/$C$7-$AQ$11-$AQ$17-$AQ$23</f>
        <v/>
      </c>
      <c r="X73" s="695">
        <f>$C$13/$C$7-$AQ$12-$AQ$18-$AQ$24</f>
        <v/>
      </c>
      <c r="Y73" s="515">
        <f>O73</f>
        <v/>
      </c>
      <c r="Z73" s="516">
        <f>P73</f>
        <v/>
      </c>
      <c r="AA73" s="517">
        <f>Q73</f>
        <v/>
      </c>
      <c r="AB73" s="517">
        <f>R73</f>
        <v/>
      </c>
      <c r="AC73" s="518">
        <f>S73</f>
        <v/>
      </c>
      <c r="AD73" s="517" t="n"/>
      <c r="AE73" s="646" t="n"/>
      <c r="AF73" s="646" t="n"/>
      <c r="AG73" s="518" t="n"/>
      <c r="AH73" s="92" t="n"/>
      <c r="AI73" s="196" t="n"/>
      <c r="AJ73" s="92" t="n"/>
      <c r="AK73" s="206" t="n"/>
      <c r="AL73" s="206" t="n"/>
      <c r="AM73" s="94" t="n"/>
    </row>
    <row r="74">
      <c r="A74" s="206" t="n"/>
      <c r="B74" s="206" t="n"/>
      <c r="C74" s="206" t="n"/>
      <c r="D74" s="206" t="n"/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$C$16</f>
        <v/>
      </c>
      <c r="K74" s="516">
        <f>J74-L74-M74-N74</f>
        <v/>
      </c>
      <c r="L74" s="517">
        <f>$C$11/$C$7</f>
        <v/>
      </c>
      <c r="M74" s="517">
        <f>$C$12/$C$7</f>
        <v/>
      </c>
      <c r="N74" s="518">
        <f>$C$13/$C$7</f>
        <v/>
      </c>
      <c r="O74" s="515">
        <f>$C$32</f>
        <v/>
      </c>
      <c r="P74" s="516">
        <f>O74-Q74-R74-S74</f>
        <v/>
      </c>
      <c r="Q74" s="500">
        <f>$C$11/$C$7-$AQ$10-$AQ$16</f>
        <v/>
      </c>
      <c r="R74" s="517">
        <f>$C$12/$C$7-$AQ$11-$AQ$17</f>
        <v/>
      </c>
      <c r="S74" s="518">
        <f>$C$13/$C$7-$AQ$12-$AQ$18</f>
        <v/>
      </c>
      <c r="T74" s="693">
        <f>$C$43</f>
        <v/>
      </c>
      <c r="U74" s="694">
        <f>T74-V74-W74-X74</f>
        <v/>
      </c>
      <c r="V74" s="695">
        <f>$C$11/$C$7-$AQ$10-$AQ$16-$AQ$22</f>
        <v/>
      </c>
      <c r="W74" s="695">
        <f>$C$12/$C$7-$AQ$11-$AQ$17-$AQ$23</f>
        <v/>
      </c>
      <c r="X74" s="695">
        <f>$C$13/$C$7-$AQ$12-$AQ$18-$AQ$24</f>
        <v/>
      </c>
      <c r="Y74" s="515">
        <f>O74</f>
        <v/>
      </c>
      <c r="Z74" s="516">
        <f>P74</f>
        <v/>
      </c>
      <c r="AA74" s="517">
        <f>Q74</f>
        <v/>
      </c>
      <c r="AB74" s="517">
        <f>R74</f>
        <v/>
      </c>
      <c r="AC74" s="518">
        <f>S74</f>
        <v/>
      </c>
      <c r="AD74" s="517" t="n"/>
      <c r="AE74" s="646" t="n"/>
      <c r="AF74" s="646" t="n"/>
      <c r="AG74" s="518" t="n"/>
      <c r="AH74" s="92" t="n"/>
      <c r="AI74" s="196" t="n"/>
      <c r="AJ74" s="92" t="n"/>
      <c r="AK74" s="206" t="n"/>
      <c r="AL74" s="206" t="n"/>
      <c r="AM74" s="94" t="n"/>
    </row>
    <row r="75">
      <c r="A75" s="206" t="n"/>
      <c r="B75" s="495" t="n"/>
      <c r="C75" s="517" t="n"/>
      <c r="D75" s="206" t="n"/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$C$16</f>
        <v/>
      </c>
      <c r="K75" s="516">
        <f>J75-L75-M75-N75</f>
        <v/>
      </c>
      <c r="L75" s="517">
        <f>$C$11/$C$7</f>
        <v/>
      </c>
      <c r="M75" s="517">
        <f>$C$12/$C$7</f>
        <v/>
      </c>
      <c r="N75" s="518">
        <f>$C$13/$C$7</f>
        <v/>
      </c>
      <c r="O75" s="515">
        <f>$C$32</f>
        <v/>
      </c>
      <c r="P75" s="516">
        <f>O75-Q75-R75-S75</f>
        <v/>
      </c>
      <c r="Q75" s="500">
        <f>$C$11/$C$7-$AQ$10-$AQ$16</f>
        <v/>
      </c>
      <c r="R75" s="517">
        <f>$C$12/$C$7-$AQ$11-$AQ$17</f>
        <v/>
      </c>
      <c r="S75" s="518">
        <f>$C$13/$C$7-$AQ$12-$AQ$18</f>
        <v/>
      </c>
      <c r="T75" s="693">
        <f>$C$43</f>
        <v/>
      </c>
      <c r="U75" s="694">
        <f>T75-V75-W75-X75</f>
        <v/>
      </c>
      <c r="V75" s="695">
        <f>$C$11/$C$7-$AQ$10-$AQ$16-$AQ$22</f>
        <v/>
      </c>
      <c r="W75" s="695">
        <f>$C$12/$C$7-$AQ$11-$AQ$17-$AQ$23</f>
        <v/>
      </c>
      <c r="X75" s="695">
        <f>$C$13/$C$7-$AQ$12-$AQ$18-$AQ$24</f>
        <v/>
      </c>
      <c r="Y75" s="515">
        <f>O75</f>
        <v/>
      </c>
      <c r="Z75" s="516">
        <f>P75</f>
        <v/>
      </c>
      <c r="AA75" s="517">
        <f>Q75</f>
        <v/>
      </c>
      <c r="AB75" s="517">
        <f>R75</f>
        <v/>
      </c>
      <c r="AC75" s="518">
        <f>S75</f>
        <v/>
      </c>
      <c r="AD75" s="517" t="n"/>
      <c r="AE75" s="646" t="n"/>
      <c r="AF75" s="646" t="n"/>
      <c r="AG75" s="518" t="n"/>
      <c r="AH75" s="92" t="n"/>
      <c r="AI75" s="196" t="n"/>
      <c r="AJ75" s="92" t="n"/>
      <c r="AK75" s="206" t="n"/>
      <c r="AL75" s="206" t="n"/>
      <c r="AM75" s="94" t="n"/>
    </row>
    <row r="76">
      <c r="A76" s="206" t="n"/>
      <c r="B76" s="495" t="n"/>
      <c r="C76" s="517" t="n"/>
      <c r="D76" s="206" t="n"/>
      <c r="E76" s="8" t="inlineStr">
        <is>
          <t>케어수행 6회차</t>
        </is>
      </c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$C$16</f>
        <v/>
      </c>
      <c r="K76" s="516">
        <f>J76-L76-M76-N76</f>
        <v/>
      </c>
      <c r="L76" s="517">
        <f>$C$11/$C$7</f>
        <v/>
      </c>
      <c r="M76" s="517">
        <f>$C$12/$C$7</f>
        <v/>
      </c>
      <c r="N76" s="518">
        <f>$C$13/$C$7</f>
        <v/>
      </c>
      <c r="O76" s="515">
        <f>$C$32</f>
        <v/>
      </c>
      <c r="P76" s="516">
        <f>O76-Q76-R76-S76</f>
        <v/>
      </c>
      <c r="Q76" s="500">
        <f>$C$11/$C$7-$AQ$10-$AQ$16</f>
        <v/>
      </c>
      <c r="R76" s="517">
        <f>$C$12/$C$7-$AQ$11-$AQ$17</f>
        <v/>
      </c>
      <c r="S76" s="518">
        <f>$C$13/$C$7-$AQ$12-$AQ$18</f>
        <v/>
      </c>
      <c r="T76" s="693">
        <f>$C$43</f>
        <v/>
      </c>
      <c r="U76" s="694">
        <f>T76-V76-W76-X76</f>
        <v/>
      </c>
      <c r="V76" s="695">
        <f>$C$11/$C$7-$AQ$10-$AQ$16-$AQ$22</f>
        <v/>
      </c>
      <c r="W76" s="695">
        <f>$C$12/$C$7-$AQ$11-$AQ$17-$AQ$23</f>
        <v/>
      </c>
      <c r="X76" s="695">
        <f>$C$13/$C$7-$AQ$12-$AQ$18-$AQ$24</f>
        <v/>
      </c>
      <c r="Y76" s="515">
        <f>O76</f>
        <v/>
      </c>
      <c r="Z76" s="516">
        <f>P76</f>
        <v/>
      </c>
      <c r="AA76" s="517">
        <f>Q76</f>
        <v/>
      </c>
      <c r="AB76" s="517">
        <f>R76</f>
        <v/>
      </c>
      <c r="AC76" s="518">
        <f>S76</f>
        <v/>
      </c>
      <c r="AD76" s="517" t="n"/>
      <c r="AE76" s="646" t="n"/>
      <c r="AF76" s="646" t="n"/>
      <c r="AG76" s="518" t="n"/>
      <c r="AH76" s="92" t="n"/>
      <c r="AI76" s="196" t="n"/>
      <c r="AJ76" s="92" t="n"/>
      <c r="AK76" s="206" t="n"/>
      <c r="AL76" s="206" t="n"/>
      <c r="AM76" s="94" t="n"/>
    </row>
    <row r="77">
      <c r="A77" s="206" t="n"/>
      <c r="B77" s="206" t="n"/>
      <c r="C77" s="206" t="n"/>
      <c r="D77" s="206" t="n"/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$C$16-J5</f>
        <v/>
      </c>
      <c r="K77" s="588">
        <f>J77-L77-M77-N77</f>
        <v/>
      </c>
      <c r="L77" s="640">
        <f>$C$11/$C$7-L5</f>
        <v/>
      </c>
      <c r="M77" s="640">
        <f>$C$12/$C$7-M5</f>
        <v/>
      </c>
      <c r="N77" s="641">
        <f>$C$13/$C$7-N5</f>
        <v/>
      </c>
      <c r="O77" s="581">
        <f>$C$32-O5</f>
        <v/>
      </c>
      <c r="P77" s="588">
        <f>O77-Q77-R77-S77</f>
        <v/>
      </c>
      <c r="Q77" s="589">
        <f>($C$11/$C$7-$AQ$10-$AQ$16)-Q5</f>
        <v/>
      </c>
      <c r="R77" s="640">
        <f>($C$12/$C$7-$AQ$11-$AQ$17)-R5</f>
        <v/>
      </c>
      <c r="S77" s="641">
        <f>$C$13/$C$7-$AQ$12-$AQ$18-S5</f>
        <v/>
      </c>
      <c r="T77" s="707">
        <f>$C$43-T5</f>
        <v/>
      </c>
      <c r="U77" s="708">
        <f>T77-V77-W77-X77</f>
        <v/>
      </c>
      <c r="V77" s="709">
        <f>$C$11/$C$7-$AQ$10-$AQ$16-$AQ$22-V5</f>
        <v/>
      </c>
      <c r="W77" s="709">
        <f>$C$12/$C$7-$AQ$11-$AQ$17-$AQ$23-W5</f>
        <v/>
      </c>
      <c r="X77" s="709">
        <f>$C$13/$C$7-$AQ$12-$AQ$18-$AQ$24-X5</f>
        <v/>
      </c>
      <c r="Y77" s="581">
        <f>$C$32-ROUNDDOWN($C$32*(H5-G5+1)/DAY(H5),-2)</f>
        <v/>
      </c>
      <c r="Z77" s="588">
        <f>Y77-AA77-AB77</f>
        <v/>
      </c>
      <c r="AA77" s="640">
        <f>($C$11/$C$7-AQ10-AQ16)-ROUNDDOWN((C11/C7-AQ10-AQ16)*(H5-G5+1)/DAY(H5),-2)</f>
        <v/>
      </c>
      <c r="AB77" s="640">
        <f>($C$12/$C$7-AQ11-AQ17)-ROUNDDOWN((C12/C7-AQ11-AQ17)*(H5-G5+1)/DAY(H5),-2)</f>
        <v/>
      </c>
      <c r="AC77" s="641">
        <f>S77</f>
        <v/>
      </c>
      <c r="AD77" s="640" t="n"/>
      <c r="AE77" s="653" t="n"/>
      <c r="AF77" s="653" t="n"/>
      <c r="AG77" s="641" t="n"/>
      <c r="AH77" s="59" t="n"/>
      <c r="AI77" s="12" t="n"/>
      <c r="AJ77" s="59" t="n"/>
      <c r="AK77" s="95" t="n"/>
      <c r="AL77" s="95" t="n"/>
      <c r="AM77" s="97" t="n"/>
    </row>
    <row r="78">
      <c r="A78" s="487" t="n"/>
      <c r="B78" s="495" t="n"/>
      <c r="C78" s="188" t="n"/>
      <c r="D78" s="206" t="n"/>
      <c r="N78" s="517" t="n"/>
      <c r="P78" s="500" t="n"/>
      <c r="S78" s="517" t="n"/>
      <c r="T78" s="517" t="n"/>
      <c r="U78" s="500" t="n"/>
      <c r="V78" s="517" t="n"/>
      <c r="W78" s="517" t="n"/>
      <c r="X78" s="517" t="n"/>
      <c r="Y78" s="206" t="inlineStr">
        <is>
          <t>* 선납+선납할인 적용 시의 (월 구독료 - 1회차 청구비용) 금액 청구</t>
        </is>
      </c>
    </row>
    <row r="79">
      <c r="B79" s="495" t="n"/>
      <c r="C79" s="517" t="n"/>
      <c r="D79" s="206" t="n"/>
    </row>
    <row r="80">
      <c r="B80" s="495" t="n"/>
      <c r="C80" s="517" t="n"/>
      <c r="D80" s="206" t="n"/>
    </row>
    <row r="81">
      <c r="B81" s="495" t="n"/>
      <c r="C81" s="517" t="n"/>
      <c r="D81" s="206" t="n"/>
      <c r="Y81" s="500" t="n"/>
      <c r="Z81" s="500" t="n"/>
    </row>
    <row r="82">
      <c r="B82" s="495" t="n"/>
      <c r="C82" s="517" t="n"/>
      <c r="D82" s="206" t="n"/>
      <c r="Y82" s="500" t="n"/>
      <c r="Z82" s="517" t="n"/>
    </row>
    <row r="83">
      <c r="B83" s="495" t="n"/>
      <c r="C83" s="517" t="n"/>
      <c r="D83" s="206" t="n"/>
      <c r="Y83" s="500" t="n"/>
      <c r="Z83" s="500" t="n"/>
    </row>
    <row r="84">
      <c r="B84" s="495" t="n"/>
      <c r="C84" s="517" t="n"/>
      <c r="D84" s="505" t="n"/>
    </row>
    <row r="85">
      <c r="A85" s="206" t="n"/>
      <c r="B85" s="206" t="n"/>
      <c r="C85" s="206" t="n"/>
      <c r="D85" s="206" t="n"/>
    </row>
    <row r="86">
      <c r="A86" s="206" t="n"/>
      <c r="B86" s="206" t="n"/>
      <c r="C86" s="206" t="n"/>
      <c r="D86" s="206" t="n"/>
    </row>
    <row r="87">
      <c r="A87" s="206" t="n"/>
      <c r="B87" s="206" t="n"/>
      <c r="C87" s="206" t="n"/>
      <c r="D87" s="206" t="n"/>
    </row>
    <row r="88">
      <c r="A88" s="206" t="n"/>
      <c r="B88" s="206" t="n"/>
      <c r="C88" s="206" t="n"/>
      <c r="D88" s="206" t="n"/>
    </row>
    <row r="89">
      <c r="A89" s="206" t="n"/>
      <c r="B89" s="206" t="n"/>
      <c r="C89" s="206" t="n"/>
      <c r="D89" s="206" t="n"/>
    </row>
    <row r="90">
      <c r="A90" s="206" t="n"/>
      <c r="B90" s="206" t="n"/>
      <c r="C90" s="206" t="n"/>
      <c r="D90" s="206" t="n"/>
    </row>
  </sheetData>
  <mergeCells count="2">
    <mergeCell ref="A78:A84"/>
    <mergeCell ref="A61:A67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7030A0"/>
    <outlinePr summaryBelow="1" summaryRight="1"/>
    <pageSetUpPr/>
  </sheetPr>
  <dimension ref="A1:AV90"/>
  <sheetViews>
    <sheetView showGridLines="0" zoomScale="70" zoomScaleNormal="70" workbookViewId="0">
      <selection activeCell="K22" sqref="K22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0.875" bestFit="1" customWidth="1" style="497" min="4" max="4"/>
    <col width="26.5" bestFit="1" customWidth="1" style="497" min="5" max="5"/>
    <col width="9.1875" bestFit="1" customWidth="1" style="185" min="6" max="6"/>
    <col width="11.125" bestFit="1" customWidth="1" style="185" min="7" max="9"/>
    <col width="11.875" customWidth="1" style="497" min="10" max="19"/>
    <col width="12.1875" customWidth="1" style="497" min="20" max="21"/>
    <col width="11.875" customWidth="1" style="497" min="22" max="29"/>
    <col width="13" customWidth="1" style="497" min="30" max="30"/>
    <col width="7.1875" bestFit="1" customWidth="1" style="497" min="31" max="31"/>
    <col width="17.375" customWidth="1" style="497" min="32" max="32"/>
    <col width="26.875" customWidth="1" style="497" min="33" max="33"/>
    <col width="18.125" customWidth="1" style="497" min="34" max="34"/>
    <col width="7.375" customWidth="1" style="497" min="35" max="35"/>
    <col width="10.375" customWidth="1" style="497" min="36" max="36"/>
    <col width="12" customWidth="1" style="497" min="37" max="37"/>
    <col width="12.125" customWidth="1" style="497" min="38" max="38"/>
    <col width="14.125" customWidth="1" style="497" min="39" max="39"/>
    <col width="10.1875" bestFit="1" customWidth="1" style="497" min="41" max="41"/>
    <col width="11.6875" bestFit="1" customWidth="1" style="497" min="42" max="42"/>
    <col width="20" bestFit="1" customWidth="1" style="497" min="43" max="43"/>
    <col width="31.6875" bestFit="1" customWidth="1" style="497" min="44" max="44"/>
    <col width="51.375" bestFit="1" customWidth="1" style="497" min="45" max="45"/>
    <col width="18.6875" bestFit="1" customWidth="1" style="497" min="47" max="47"/>
    <col width="13" bestFit="1" customWidth="1" style="497" min="48" max="48"/>
  </cols>
  <sheetData>
    <row r="1">
      <c r="P1" s="500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  <c r="V2" s="500">
        <f>SUM(V5:V77)</f>
        <v/>
      </c>
      <c r="W2" s="500">
        <f>SUM(W5:W77)</f>
        <v/>
      </c>
      <c r="X2" s="500">
        <f>SUM(X5:X77)</f>
        <v/>
      </c>
      <c r="Y2" s="500">
        <f>SUM(Y5:Y77)</f>
        <v/>
      </c>
      <c r="Z2" s="500">
        <f>SUM(Z5:Z77)</f>
        <v/>
      </c>
      <c r="AA2" s="500">
        <f>SUM(AA5:AA77)</f>
        <v/>
      </c>
      <c r="AB2" s="500">
        <f>SUM(AB5:AB77)</f>
        <v/>
      </c>
      <c r="AC2" s="500">
        <f>SUM(AC5:AC77)</f>
        <v/>
      </c>
      <c r="AD2" s="500" t="n"/>
      <c r="AE2" s="500" t="n"/>
      <c r="AF2" s="500" t="n"/>
      <c r="AG2" s="500" t="n"/>
      <c r="AJ2" s="206" t="inlineStr">
        <is>
          <t>* 위약금은 비과세로 총구독료(v+)기준으로 계산</t>
        </is>
      </c>
      <c r="AO2" s="206" t="inlineStr">
        <is>
          <t>v- 100단위 조정</t>
        </is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502" t="n"/>
      <c r="O3" s="75" t="inlineStr">
        <is>
          <t>선납+선납할인</t>
        </is>
      </c>
      <c r="P3" s="76" t="n"/>
      <c r="Q3" s="76" t="n"/>
      <c r="R3" s="137" t="n"/>
      <c r="S3" s="502" t="n"/>
      <c r="T3" s="501" t="inlineStr">
        <is>
          <t>(기존) 선납+선납할인+다품목 할인+6개월 면제</t>
        </is>
      </c>
      <c r="U3" s="502" t="n"/>
      <c r="V3" s="502" t="n"/>
      <c r="W3" s="503" t="n"/>
      <c r="X3" s="502" t="n"/>
      <c r="Y3" s="501" t="inlineStr">
        <is>
          <t>(변경) 선납+선납할인 (유지), 다품목 할인 원복</t>
        </is>
      </c>
      <c r="Z3" s="502" t="n"/>
      <c r="AA3" s="502" t="n"/>
      <c r="AB3" s="503" t="n"/>
      <c r="AC3" s="503" t="n"/>
      <c r="AD3" s="502" t="inlineStr">
        <is>
          <t>다품목 할인 원복 시(v-)</t>
        </is>
      </c>
      <c r="AE3" s="502" t="n"/>
      <c r="AF3" s="690" t="n"/>
      <c r="AG3" s="502" t="n"/>
      <c r="AH3" s="75" t="inlineStr">
        <is>
          <t>다품목 할인 원복 후 중도해지 시 (v-)</t>
        </is>
      </c>
      <c r="AI3" s="70" t="n"/>
      <c r="AJ3" s="70" t="n"/>
      <c r="AK3" s="70" t="n"/>
      <c r="AL3" s="70" t="n"/>
      <c r="AM3" s="71" t="n"/>
      <c r="AO3" s="378" t="inlineStr">
        <is>
          <t>월 선납금(v-)</t>
        </is>
      </c>
      <c r="AP3" s="251" t="n"/>
      <c r="AQ3" s="504">
        <f>C27/C7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15" t="inlineStr">
        <is>
          <t>보증</t>
        </is>
      </c>
      <c r="N4" s="27" t="inlineStr">
        <is>
          <t>재설치</t>
        </is>
      </c>
      <c r="O4" s="9" t="inlineStr">
        <is>
          <t>구독료청구</t>
        </is>
      </c>
      <c r="P4" s="26" t="inlineStr">
        <is>
          <t>제품</t>
        </is>
      </c>
      <c r="Q4" s="15" t="inlineStr">
        <is>
          <t>케어</t>
        </is>
      </c>
      <c r="R4" s="15" t="inlineStr">
        <is>
          <t>보증</t>
        </is>
      </c>
      <c r="S4" s="27" t="inlineStr">
        <is>
          <t>재설치</t>
        </is>
      </c>
      <c r="T4" s="9" t="inlineStr">
        <is>
          <t>구독료청구</t>
        </is>
      </c>
      <c r="U4" s="26" t="inlineStr">
        <is>
          <t>제품</t>
        </is>
      </c>
      <c r="V4" s="15" t="inlineStr">
        <is>
          <t>케어</t>
        </is>
      </c>
      <c r="W4" s="15" t="inlineStr">
        <is>
          <t>보증</t>
        </is>
      </c>
      <c r="X4" s="27" t="inlineStr">
        <is>
          <t>재설치</t>
        </is>
      </c>
      <c r="Y4" s="9" t="inlineStr">
        <is>
          <t>구독료청구</t>
        </is>
      </c>
      <c r="Z4" s="26" t="inlineStr">
        <is>
          <t>제품</t>
        </is>
      </c>
      <c r="AA4" s="15" t="inlineStr">
        <is>
          <t>케어</t>
        </is>
      </c>
      <c r="AB4" s="15" t="inlineStr">
        <is>
          <t>보증</t>
        </is>
      </c>
      <c r="AC4" s="27" t="inlineStr">
        <is>
          <t>보증</t>
        </is>
      </c>
      <c r="AD4" s="15" t="inlineStr">
        <is>
          <t>결합해지일</t>
        </is>
      </c>
      <c r="AE4" s="26" t="inlineStr">
        <is>
          <t>경과일</t>
        </is>
      </c>
      <c r="AF4" s="26" t="inlineStr">
        <is>
          <t>사용분 청구</t>
        </is>
      </c>
      <c r="AG4" s="27" t="inlineStr">
        <is>
          <t>할인금 회수</t>
        </is>
      </c>
      <c r="AH4" s="26" t="inlineStr">
        <is>
          <t>제품판정일</t>
        </is>
      </c>
      <c r="AI4" s="9" t="inlineStr">
        <is>
          <t>경과일</t>
        </is>
      </c>
      <c r="AJ4" s="26" t="inlineStr">
        <is>
          <t>위약금</t>
        </is>
      </c>
      <c r="AK4" s="15" t="inlineStr">
        <is>
          <t>사용분 청구</t>
        </is>
      </c>
      <c r="AL4" s="15" t="inlineStr">
        <is>
          <t>할인금 회수</t>
        </is>
      </c>
      <c r="AM4" s="27" t="inlineStr">
        <is>
          <t>선납잔액 환불</t>
        </is>
      </c>
      <c r="AO4" s="375" t="n"/>
      <c r="AP4" s="506" t="inlineStr">
        <is>
          <t>제품</t>
        </is>
      </c>
      <c r="AQ4" s="507">
        <f>AQ3-AQ5-AQ6-AQ7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>
        <f>EOMONTH(G5,0)</f>
        <v/>
      </c>
      <c r="I5" s="103">
        <f>EOMONTH(G5,0)+15</f>
        <v/>
      </c>
      <c r="J5" s="515">
        <f>ROUNDDOWN($C$16*(H5-G5+1)/DAY(H5),-2)</f>
        <v/>
      </c>
      <c r="K5" s="691">
        <f>J5-L5-M5-N5</f>
        <v/>
      </c>
      <c r="L5" s="627">
        <f>ROUNDDOWN(($C$11/$C$7)*(H5-G5+1)/DAY(H5),-2)</f>
        <v/>
      </c>
      <c r="M5" s="627">
        <f>ROUNDDOWN(($C$12/$C$7)*(H5-G5+1)/DAY(H5),-2)</f>
        <v/>
      </c>
      <c r="N5" s="504">
        <f>ROUNDDOWN(($C$13/$C$7)*($H5-$G5+1)/DAY($H5),-2)</f>
        <v/>
      </c>
      <c r="O5" s="515">
        <f>ROUNDDOWN($C$32*(H5-G5+1)/DAY(H5),-2)</f>
        <v/>
      </c>
      <c r="P5" s="691">
        <f>O5-Q5-R5-S5</f>
        <v/>
      </c>
      <c r="Q5" s="626">
        <f>ROUNDDOWN(($C$11/$C$7-$AQ$5-$AQ$11)*(H5-G5+1)/DAY(H5),-2)</f>
        <v/>
      </c>
      <c r="R5" s="626">
        <f>ROUNDDOWN(($C$12/$C$7-$AQ$6-$AQ$12)*(H5-G5+1)/DAY(H5),-2)</f>
        <v/>
      </c>
      <c r="S5" s="504">
        <f>ROUNDDOWN(($C$13/$C$7-$AQ$7-$AQ$13)*($H5-$G5+1)/DAY($H5),-2)</f>
        <v/>
      </c>
      <c r="T5" s="515">
        <f>ROUNDDOWN($C$43*(H5-G5+1)/DAY(H5),-2)</f>
        <v/>
      </c>
      <c r="U5" s="691">
        <f>T5-V5-W5-X5</f>
        <v/>
      </c>
      <c r="V5" s="627">
        <f>ROUNDDOWN(($C$11/$C$7-$AQ$5-$AQ$11-$AQ$17)*(H5-G5+1)/DAY(H5),-2)</f>
        <v/>
      </c>
      <c r="W5" s="627">
        <f>ROUNDDOWN(($C$12/$C$7-$AQ$6-$AQ$12-$AQ$18)*(H5-G5+1)/DAY(H5),-2)</f>
        <v/>
      </c>
      <c r="X5" s="504">
        <f>ROUNDDOWN(($C$13/$C$7-$AQ$7-$AQ$13-$AQ$18)*($H5-$G5+1)/DAY($H5),-2)</f>
        <v/>
      </c>
      <c r="Y5" s="562" t="n"/>
      <c r="Z5" s="563" t="n"/>
      <c r="AA5" s="564" t="n"/>
      <c r="AB5" s="564" t="n"/>
      <c r="AC5" s="565" t="n"/>
      <c r="AD5" s="517" t="n"/>
      <c r="AE5" s="646">
        <f>H5-G5+1</f>
        <v/>
      </c>
      <c r="AF5" s="646" t="n"/>
      <c r="AG5" s="518" t="n"/>
      <c r="AH5" s="55" t="n"/>
      <c r="AI5" s="54">
        <f>H5-G5+1</f>
        <v/>
      </c>
      <c r="AJ5" s="55" t="n"/>
      <c r="AK5" s="626" t="n"/>
      <c r="AL5" s="627" t="n"/>
      <c r="AM5" s="91" t="n"/>
      <c r="AO5" s="375" t="n"/>
      <c r="AP5" s="506" t="inlineStr">
        <is>
          <t>케어</t>
        </is>
      </c>
      <c r="AQ5" s="507">
        <f>ROUND(AQ3*C11/$C$15,-2)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$C$16</f>
        <v/>
      </c>
      <c r="K6" s="516">
        <f>J6-L6-M6-N6</f>
        <v/>
      </c>
      <c r="L6" s="517">
        <f>$C$11/$C$7</f>
        <v/>
      </c>
      <c r="M6" s="517">
        <f>$C$12/$C$7</f>
        <v/>
      </c>
      <c r="N6" s="518">
        <f>$C$13/$C$7</f>
        <v/>
      </c>
      <c r="O6" s="515">
        <f>$C$32</f>
        <v/>
      </c>
      <c r="P6" s="516">
        <f>O6-Q6-R6-S6</f>
        <v/>
      </c>
      <c r="Q6" s="500">
        <f>$C$11/$C$7-$AQ$5-$AQ$11</f>
        <v/>
      </c>
      <c r="R6" s="500">
        <f>$C$12/$C$7-$AQ$6-$AQ$12</f>
        <v/>
      </c>
      <c r="S6" s="518">
        <f>$C$13/$C$7-$AQ$7-$AQ$13</f>
        <v/>
      </c>
      <c r="T6" s="515" t="n">
        <v>0</v>
      </c>
      <c r="U6" s="516" t="n">
        <v>0</v>
      </c>
      <c r="V6" s="517" t="n">
        <v>0</v>
      </c>
      <c r="W6" s="517" t="n">
        <v>0</v>
      </c>
      <c r="X6" s="518" t="n">
        <v>0</v>
      </c>
      <c r="Y6" s="562" t="n"/>
      <c r="Z6" s="571" t="n"/>
      <c r="AA6" s="572" t="n"/>
      <c r="AB6" s="572" t="n"/>
      <c r="AC6" s="566" t="n"/>
      <c r="AD6" s="517" t="n"/>
      <c r="AE6" s="646">
        <f>H6-G6+1</f>
        <v/>
      </c>
      <c r="AF6" s="646" t="n"/>
      <c r="AG6" s="518" t="n"/>
      <c r="AH6" s="92" t="n"/>
      <c r="AI6" s="196">
        <f>H6-G6+1</f>
        <v/>
      </c>
      <c r="AJ6" s="92" t="n"/>
      <c r="AK6" s="206" t="n"/>
      <c r="AL6" s="206" t="n"/>
      <c r="AM6" s="94" t="n"/>
      <c r="AO6" s="375" t="n"/>
      <c r="AP6" s="524" t="inlineStr">
        <is>
          <t>보증</t>
        </is>
      </c>
      <c r="AQ6" s="507">
        <f>ROUND(AQ3*C12/$C$15,-2)</f>
        <v/>
      </c>
    </row>
    <row r="7">
      <c r="B7" s="9" t="inlineStr">
        <is>
          <t>구독기간(개월)</t>
        </is>
      </c>
      <c r="C7" s="514" t="n">
        <v>72</v>
      </c>
      <c r="E7" s="202" t="inlineStr">
        <is>
          <t>* 할인 원복상황 발생</t>
        </is>
      </c>
      <c r="F7" s="80" t="inlineStr">
        <is>
          <t>3회차</t>
        </is>
      </c>
      <c r="G7" s="81">
        <f>H6+1</f>
        <v/>
      </c>
      <c r="H7" s="81">
        <f>EOMONTH(G7,0)</f>
        <v/>
      </c>
      <c r="I7" s="82">
        <f>EDATE(I6,1)</f>
        <v/>
      </c>
      <c r="J7" s="630">
        <f>$C$16</f>
        <v/>
      </c>
      <c r="K7" s="631">
        <f>J7-L7-M7-N7</f>
        <v/>
      </c>
      <c r="L7" s="632">
        <f>$C$11/$C$7</f>
        <v/>
      </c>
      <c r="M7" s="632">
        <f>$C$12/$C$7</f>
        <v/>
      </c>
      <c r="N7" s="633">
        <f>$C$13/$C$7</f>
        <v/>
      </c>
      <c r="O7" s="630">
        <f>$C$32</f>
        <v/>
      </c>
      <c r="P7" s="631">
        <f>O7-Q7-R7-S7</f>
        <v/>
      </c>
      <c r="Q7" s="634">
        <f>$C$11/$C$7-$AQ$5-$AQ$11</f>
        <v/>
      </c>
      <c r="R7" s="634">
        <f>$C$12/$C$7-$AQ$6-$AQ$12</f>
        <v/>
      </c>
      <c r="S7" s="633">
        <f>$C$13/$C$7-$AQ$7-$AQ$13</f>
        <v/>
      </c>
      <c r="T7" s="630" t="n">
        <v>0</v>
      </c>
      <c r="U7" s="631" t="n">
        <v>0</v>
      </c>
      <c r="V7" s="632" t="n">
        <v>0</v>
      </c>
      <c r="W7" s="632" t="n">
        <v>0</v>
      </c>
      <c r="X7" s="633" t="n">
        <v>0</v>
      </c>
      <c r="Y7" s="630" t="n"/>
      <c r="Z7" s="631" t="n"/>
      <c r="AA7" s="632" t="n"/>
      <c r="AB7" s="632" t="n"/>
      <c r="AC7" s="633" t="n"/>
      <c r="AD7" s="451" t="n">
        <v>45978</v>
      </c>
      <c r="AE7" s="692" t="n">
        <v>17</v>
      </c>
      <c r="AF7" s="647" t="inlineStr">
        <is>
          <t>* 월할 청구</t>
        </is>
      </c>
      <c r="AG7" s="633" t="inlineStr">
        <is>
          <t>* 잔여제품 결합할인금 미회수</t>
        </is>
      </c>
      <c r="AH7" s="92" t="n"/>
      <c r="AI7" s="196">
        <f>H7-G7+1</f>
        <v/>
      </c>
      <c r="AJ7" s="92" t="n"/>
      <c r="AK7" s="206" t="n"/>
      <c r="AL7" s="206" t="n"/>
      <c r="AM7" s="94" t="n"/>
      <c r="AO7" s="376" t="n"/>
      <c r="AP7" s="524" t="inlineStr">
        <is>
          <t>재설치</t>
        </is>
      </c>
      <c r="AQ7" s="507">
        <f>ROUND(AQ3*$C$13/$C$15,-2)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$C$16</f>
        <v/>
      </c>
      <c r="K8" s="516">
        <f>J8-L8-M8-N8</f>
        <v/>
      </c>
      <c r="L8" s="517">
        <f>$C$11/$C$7</f>
        <v/>
      </c>
      <c r="M8" s="517">
        <f>$C$12/$C$7</f>
        <v/>
      </c>
      <c r="N8" s="518">
        <f>$C$13/$C$7</f>
        <v/>
      </c>
      <c r="O8" s="515">
        <f>$C$32</f>
        <v/>
      </c>
      <c r="P8" s="516">
        <f>O8-Q8-R8-S8</f>
        <v/>
      </c>
      <c r="Q8" s="500">
        <f>$C$11/$C$7-$AQ$5-$AQ$11</f>
        <v/>
      </c>
      <c r="R8" s="500">
        <f>$C$12/$C$7-$AQ$6-$AQ$12</f>
        <v/>
      </c>
      <c r="S8" s="518">
        <f>$C$13/$C$7-$AQ$7-$AQ$13</f>
        <v/>
      </c>
      <c r="T8" s="693" t="n">
        <v>0</v>
      </c>
      <c r="U8" s="694" t="n">
        <v>0</v>
      </c>
      <c r="V8" s="695" t="n">
        <v>0</v>
      </c>
      <c r="W8" s="695" t="n">
        <v>0</v>
      </c>
      <c r="X8" s="696" t="n">
        <v>0</v>
      </c>
      <c r="Y8" s="515" t="n">
        <v>0</v>
      </c>
      <c r="Z8" s="516" t="n">
        <v>0</v>
      </c>
      <c r="AA8" s="517" t="n">
        <v>0</v>
      </c>
      <c r="AB8" s="517" t="n">
        <v>0</v>
      </c>
      <c r="AC8" s="518" t="n">
        <v>0</v>
      </c>
      <c r="AD8" s="517" t="n"/>
      <c r="AE8" s="646" t="n"/>
      <c r="AF8" s="646" t="n"/>
      <c r="AG8" s="518" t="n"/>
      <c r="AH8" s="92" t="n"/>
      <c r="AI8" s="196">
        <f>H8-G8+1</f>
        <v/>
      </c>
      <c r="AJ8" s="92" t="n"/>
      <c r="AK8" s="206" t="n"/>
      <c r="AL8" s="206" t="n"/>
      <c r="AM8" s="94" t="n"/>
      <c r="AO8" s="399" t="n"/>
      <c r="AP8" s="500" t="n"/>
      <c r="AQ8" s="206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$C$16</f>
        <v/>
      </c>
      <c r="K9" s="516">
        <f>J9-L9-M9-N9</f>
        <v/>
      </c>
      <c r="L9" s="517">
        <f>$C$11/$C$7</f>
        <v/>
      </c>
      <c r="M9" s="517">
        <f>$C$12/$C$7</f>
        <v/>
      </c>
      <c r="N9" s="518">
        <f>$C$13/$C$7</f>
        <v/>
      </c>
      <c r="O9" s="515">
        <f>$C$32</f>
        <v/>
      </c>
      <c r="P9" s="516">
        <f>O9-Q9-R9-S9</f>
        <v/>
      </c>
      <c r="Q9" s="500">
        <f>$C$11/$C$7-$AQ$5-$AQ$11</f>
        <v/>
      </c>
      <c r="R9" s="500">
        <f>$C$12/$C$7-$AQ$6-$AQ$12</f>
        <v/>
      </c>
      <c r="S9" s="518">
        <f>$C$13/$C$7-$AQ$7-$AQ$13</f>
        <v/>
      </c>
      <c r="T9" s="693" t="n">
        <v>0</v>
      </c>
      <c r="U9" s="694" t="n">
        <v>0</v>
      </c>
      <c r="V9" s="695" t="n">
        <v>0</v>
      </c>
      <c r="W9" s="695" t="n">
        <v>0</v>
      </c>
      <c r="X9" s="696" t="n">
        <v>0</v>
      </c>
      <c r="Y9" s="515" t="n">
        <v>0</v>
      </c>
      <c r="Z9" s="516" t="n">
        <v>0</v>
      </c>
      <c r="AA9" s="517" t="n">
        <v>0</v>
      </c>
      <c r="AB9" s="517" t="n">
        <v>0</v>
      </c>
      <c r="AC9" s="518" t="n">
        <v>0</v>
      </c>
      <c r="AD9" s="517" t="n"/>
      <c r="AE9" s="646" t="n"/>
      <c r="AF9" s="646" t="n"/>
      <c r="AG9" s="518" t="n"/>
      <c r="AH9" s="92" t="n"/>
      <c r="AI9" s="196">
        <f>H9-G9+1</f>
        <v/>
      </c>
      <c r="AJ9" s="92" t="n"/>
      <c r="AK9" s="206" t="n"/>
      <c r="AL9" s="206" t="n"/>
      <c r="AM9" s="94" t="n"/>
      <c r="AO9" s="378" t="inlineStr">
        <is>
          <t>월 선납할인(V-)</t>
        </is>
      </c>
      <c r="AP9" s="251" t="n"/>
      <c r="AQ9" s="504">
        <f>C31/C7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$C$16</f>
        <v/>
      </c>
      <c r="K10" s="516">
        <f>J10-L10-M10-N10</f>
        <v/>
      </c>
      <c r="L10" s="517">
        <f>$C$11/$C$7</f>
        <v/>
      </c>
      <c r="M10" s="517">
        <f>$C$12/$C$7</f>
        <v/>
      </c>
      <c r="N10" s="518">
        <f>$C$13/$C$7</f>
        <v/>
      </c>
      <c r="O10" s="515">
        <f>$C$32</f>
        <v/>
      </c>
      <c r="P10" s="516">
        <f>O10-Q10-R10-S10</f>
        <v/>
      </c>
      <c r="Q10" s="500">
        <f>$C$11/$C$7-$AQ$5-$AQ$11</f>
        <v/>
      </c>
      <c r="R10" s="500">
        <f>$C$12/$C$7-$AQ$6-$AQ$12</f>
        <v/>
      </c>
      <c r="S10" s="518">
        <f>$C$13/$C$7-$AQ$7-$AQ$13</f>
        <v/>
      </c>
      <c r="T10" s="693" t="n">
        <v>0</v>
      </c>
      <c r="U10" s="694" t="n">
        <v>0</v>
      </c>
      <c r="V10" s="695" t="n">
        <v>0</v>
      </c>
      <c r="W10" s="695" t="n">
        <v>0</v>
      </c>
      <c r="X10" s="696" t="n">
        <v>0</v>
      </c>
      <c r="Y10" s="515" t="n">
        <v>0</v>
      </c>
      <c r="Z10" s="516" t="n">
        <v>0</v>
      </c>
      <c r="AA10" s="517" t="n">
        <v>0</v>
      </c>
      <c r="AB10" s="517" t="n">
        <v>0</v>
      </c>
      <c r="AC10" s="518" t="n">
        <v>0</v>
      </c>
      <c r="AD10" s="517" t="n"/>
      <c r="AE10" s="646" t="n"/>
      <c r="AF10" s="646" t="n"/>
      <c r="AG10" s="518" t="n"/>
      <c r="AH10" s="92" t="n"/>
      <c r="AI10" s="196">
        <f>H10-G10+1</f>
        <v/>
      </c>
      <c r="AJ10" s="92" t="n"/>
      <c r="AK10" s="206" t="n"/>
      <c r="AL10" s="206" t="n"/>
      <c r="AM10" s="94" t="n"/>
      <c r="AO10" s="375" t="n"/>
      <c r="AP10" s="506" t="inlineStr">
        <is>
          <t>제품</t>
        </is>
      </c>
      <c r="AQ10" s="507">
        <f>AQ9-AQ11-AQ12-AQ13</f>
        <v/>
      </c>
    </row>
    <row r="11">
      <c r="B11" s="9" t="inlineStr">
        <is>
          <t>케어서비스(v-)</t>
        </is>
      </c>
      <c r="C11" s="526" t="n">
        <v>424800</v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$C$16</f>
        <v/>
      </c>
      <c r="K11" s="516">
        <f>J11-L11-M11-N11</f>
        <v/>
      </c>
      <c r="L11" s="517">
        <f>$C$11/$C$7</f>
        <v/>
      </c>
      <c r="M11" s="517">
        <f>$C$12/$C$7</f>
        <v/>
      </c>
      <c r="N11" s="518">
        <f>$C$13/$C$7</f>
        <v/>
      </c>
      <c r="O11" s="515">
        <f>$C$32</f>
        <v/>
      </c>
      <c r="P11" s="516">
        <f>O11-Q11-R11-S11</f>
        <v/>
      </c>
      <c r="Q11" s="500">
        <f>$C$11/$C$7-$AQ$5-$AQ$11</f>
        <v/>
      </c>
      <c r="R11" s="500">
        <f>$C$12/$C$7-$AQ$6-$AQ$12</f>
        <v/>
      </c>
      <c r="S11" s="518">
        <f>$C$13/$C$7-$AQ$7-$AQ$13</f>
        <v/>
      </c>
      <c r="T11" s="693" t="n">
        <v>0</v>
      </c>
      <c r="U11" s="694" t="n">
        <v>0</v>
      </c>
      <c r="V11" s="695" t="n">
        <v>0</v>
      </c>
      <c r="W11" s="695" t="n">
        <v>0</v>
      </c>
      <c r="X11" s="696" t="n">
        <v>0</v>
      </c>
      <c r="Y11" s="515" t="n">
        <v>0</v>
      </c>
      <c r="Z11" s="516" t="n">
        <v>0</v>
      </c>
      <c r="AA11" s="517" t="n">
        <v>0</v>
      </c>
      <c r="AB11" s="517" t="n">
        <v>0</v>
      </c>
      <c r="AC11" s="518" t="n">
        <v>0</v>
      </c>
      <c r="AD11" s="517" t="n"/>
      <c r="AE11" s="646" t="n"/>
      <c r="AF11" s="646" t="n"/>
      <c r="AG11" s="518" t="n"/>
      <c r="AH11" s="92" t="n"/>
      <c r="AI11" s="196">
        <f>H11-G11+1</f>
        <v/>
      </c>
      <c r="AJ11" s="92" t="n"/>
      <c r="AK11" s="206" t="n"/>
      <c r="AL11" s="206" t="n"/>
      <c r="AM11" s="94" t="n"/>
      <c r="AO11" s="375" t="n"/>
      <c r="AP11" s="506" t="inlineStr">
        <is>
          <t>케어</t>
        </is>
      </c>
      <c r="AQ11" s="507">
        <f>ROUND(AQ9*$C$11/$C$15,-2)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$C$16</f>
        <v/>
      </c>
      <c r="K12" s="516">
        <f>J12-L12-M12-N12</f>
        <v/>
      </c>
      <c r="L12" s="517">
        <f>$C$11/$C$7</f>
        <v/>
      </c>
      <c r="M12" s="517">
        <f>$C$12/$C$7</f>
        <v/>
      </c>
      <c r="N12" s="518">
        <f>$C$13/$C$7</f>
        <v/>
      </c>
      <c r="O12" s="515">
        <f>$C$32</f>
        <v/>
      </c>
      <c r="P12" s="516">
        <f>O12-Q12-R12-S12</f>
        <v/>
      </c>
      <c r="Q12" s="500">
        <f>$C$11/$C$7-$AQ$5-$AQ$11</f>
        <v/>
      </c>
      <c r="R12" s="500">
        <f>$C$12/$C$7-$AQ$6-$AQ$12</f>
        <v/>
      </c>
      <c r="S12" s="518">
        <f>$C$13/$C$7-$AQ$7-$AQ$13</f>
        <v/>
      </c>
      <c r="T12" s="693">
        <f>$C$43</f>
        <v/>
      </c>
      <c r="U12" s="694">
        <f>T12-V12-W12-X12</f>
        <v/>
      </c>
      <c r="V12" s="695">
        <f>$C$11/$C$7-$AQ$5-$AQ$11-$AQ$17</f>
        <v/>
      </c>
      <c r="W12" s="695">
        <f>$C$12/$C$7-$AQ$6-$AQ$12-$AQ$18</f>
        <v/>
      </c>
      <c r="X12" s="696">
        <f>$C$13/$C$7-$AQ$7-$AQ$13-$AQ$19</f>
        <v/>
      </c>
      <c r="Y12" s="515">
        <f>O12</f>
        <v/>
      </c>
      <c r="Z12" s="516">
        <f>P12</f>
        <v/>
      </c>
      <c r="AA12" s="517">
        <f>Q12</f>
        <v/>
      </c>
      <c r="AB12" s="517">
        <f>R12</f>
        <v/>
      </c>
      <c r="AC12" s="518">
        <f>S12</f>
        <v/>
      </c>
      <c r="AD12" s="517" t="n"/>
      <c r="AE12" s="646" t="n"/>
      <c r="AF12" s="646" t="n"/>
      <c r="AG12" s="518" t="n"/>
      <c r="AH12" s="92" t="n"/>
      <c r="AI12" s="196">
        <f>H12-G12+1</f>
        <v/>
      </c>
      <c r="AJ12" s="92" t="n"/>
      <c r="AK12" s="206" t="n"/>
      <c r="AL12" s="206" t="n"/>
      <c r="AM12" s="94" t="n"/>
      <c r="AO12" s="375" t="n"/>
      <c r="AP12" s="524" t="inlineStr">
        <is>
          <t>보증</t>
        </is>
      </c>
      <c r="AQ12" s="507">
        <f>ROUND(AQ9*$C$12/$C$15,-2)</f>
        <v/>
      </c>
    </row>
    <row r="13">
      <c r="B13" s="9" t="inlineStr">
        <is>
          <t>재설치(v-)</t>
        </is>
      </c>
      <c r="C13" s="526" t="n">
        <v>165600</v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$C$16</f>
        <v/>
      </c>
      <c r="K13" s="516">
        <f>J13-L13-M13-N13</f>
        <v/>
      </c>
      <c r="L13" s="517">
        <f>$C$11/$C$7</f>
        <v/>
      </c>
      <c r="M13" s="517">
        <f>$C$12/$C$7</f>
        <v/>
      </c>
      <c r="N13" s="518">
        <f>$C$13/$C$7</f>
        <v/>
      </c>
      <c r="O13" s="515">
        <f>$C$32</f>
        <v/>
      </c>
      <c r="P13" s="516">
        <f>O13-Q13-R13-S13</f>
        <v/>
      </c>
      <c r="Q13" s="500">
        <f>$C$11/$C$7-$AQ$5-$AQ$11</f>
        <v/>
      </c>
      <c r="R13" s="500">
        <f>$C$12/$C$7-$AQ$6-$AQ$12</f>
        <v/>
      </c>
      <c r="S13" s="518">
        <f>$C$13/$C$7-$AQ$7-$AQ$13</f>
        <v/>
      </c>
      <c r="T13" s="693">
        <f>$C$43</f>
        <v/>
      </c>
      <c r="U13" s="694">
        <f>T13-V13-W13-X13</f>
        <v/>
      </c>
      <c r="V13" s="695">
        <f>$C$11/$C$7-$AQ$5-$AQ$11-$AQ$17</f>
        <v/>
      </c>
      <c r="W13" s="695">
        <f>$C$12/$C$7-$AQ$6-$AQ$12-$AQ$18</f>
        <v/>
      </c>
      <c r="X13" s="696">
        <f>$C$13/$C$7-$AQ$7-$AQ$13-$AQ$19</f>
        <v/>
      </c>
      <c r="Y13" s="515">
        <f>O13</f>
        <v/>
      </c>
      <c r="Z13" s="516">
        <f>P13</f>
        <v/>
      </c>
      <c r="AA13" s="517">
        <f>Q13</f>
        <v/>
      </c>
      <c r="AB13" s="517">
        <f>R13</f>
        <v/>
      </c>
      <c r="AC13" s="518">
        <f>S13</f>
        <v/>
      </c>
      <c r="AD13" s="517" t="n"/>
      <c r="AE13" s="646" t="n"/>
      <c r="AF13" s="646" t="n"/>
      <c r="AG13" s="518" t="n"/>
      <c r="AH13" s="92" t="n"/>
      <c r="AI13" s="196">
        <f>H13-G13+1</f>
        <v/>
      </c>
      <c r="AJ13" s="92" t="n"/>
      <c r="AK13" s="206" t="n"/>
      <c r="AL13" s="206" t="n"/>
      <c r="AM13" s="94" t="n"/>
      <c r="AO13" s="376" t="n"/>
      <c r="AP13" s="524" t="inlineStr">
        <is>
          <t>재설치</t>
        </is>
      </c>
      <c r="AQ13" s="507">
        <f>ROUND(AQ9*$C$13/$C$15,-2)</f>
        <v/>
      </c>
    </row>
    <row r="14">
      <c r="B14" s="9" t="inlineStr">
        <is>
          <t>매출인식 기준 구독료(v-)</t>
        </is>
      </c>
      <c r="C14" s="527">
        <f>C15-C12-C11-C13</f>
        <v/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$C$16</f>
        <v/>
      </c>
      <c r="K14" s="516">
        <f>J14-L14-M14-N14</f>
        <v/>
      </c>
      <c r="L14" s="517">
        <f>$C$11/$C$7</f>
        <v/>
      </c>
      <c r="M14" s="517">
        <f>$C$12/$C$7</f>
        <v/>
      </c>
      <c r="N14" s="518">
        <f>$C$13/$C$7</f>
        <v/>
      </c>
      <c r="O14" s="515">
        <f>$C$32</f>
        <v/>
      </c>
      <c r="P14" s="516">
        <f>O14-Q14-R14-S14</f>
        <v/>
      </c>
      <c r="Q14" s="500">
        <f>$C$11/$C$7-$AQ$5-$AQ$11</f>
        <v/>
      </c>
      <c r="R14" s="500">
        <f>$C$12/$C$7-$AQ$6-$AQ$12</f>
        <v/>
      </c>
      <c r="S14" s="518">
        <f>$C$13/$C$7-$AQ$7-$AQ$13</f>
        <v/>
      </c>
      <c r="T14" s="693">
        <f>$C$43</f>
        <v/>
      </c>
      <c r="U14" s="694">
        <f>T14-V14-W14-X14</f>
        <v/>
      </c>
      <c r="V14" s="695">
        <f>$C$11/$C$7-$AQ$5-$AQ$11-$AQ$17</f>
        <v/>
      </c>
      <c r="W14" s="695">
        <f>$C$12/$C$7-$AQ$6-$AQ$12-$AQ$18</f>
        <v/>
      </c>
      <c r="X14" s="696">
        <f>$C$13/$C$7-$AQ$7-$AQ$13-$AQ$19</f>
        <v/>
      </c>
      <c r="Y14" s="515">
        <f>O14</f>
        <v/>
      </c>
      <c r="Z14" s="516">
        <f>P14</f>
        <v/>
      </c>
      <c r="AA14" s="517">
        <f>Q14</f>
        <v/>
      </c>
      <c r="AB14" s="517">
        <f>R14</f>
        <v/>
      </c>
      <c r="AC14" s="518">
        <f>S14</f>
        <v/>
      </c>
      <c r="AD14" s="517" t="n"/>
      <c r="AE14" s="646" t="n"/>
      <c r="AF14" s="646" t="n"/>
      <c r="AG14" s="518" t="n"/>
      <c r="AH14" s="92" t="n"/>
      <c r="AI14" s="196">
        <f>H14-G14+1</f>
        <v/>
      </c>
      <c r="AJ14" s="92" t="n"/>
      <c r="AK14" s="206" t="n"/>
      <c r="AL14" s="206" t="n"/>
      <c r="AM14" s="94" t="n"/>
    </row>
    <row r="15">
      <c r="B15" s="9" t="inlineStr">
        <is>
          <t>총구독료(v-)</t>
        </is>
      </c>
      <c r="C15" s="526" t="n">
        <v>11311200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$C$16</f>
        <v/>
      </c>
      <c r="K15" s="516">
        <f>J15-L15-M15-N15</f>
        <v/>
      </c>
      <c r="L15" s="517">
        <f>$C$11/$C$7</f>
        <v/>
      </c>
      <c r="M15" s="517">
        <f>$C$12/$C$7</f>
        <v/>
      </c>
      <c r="N15" s="518">
        <f>$C$13/$C$7</f>
        <v/>
      </c>
      <c r="O15" s="515">
        <f>$C$32</f>
        <v/>
      </c>
      <c r="P15" s="516">
        <f>O15-Q15-R15-S15</f>
        <v/>
      </c>
      <c r="Q15" s="500">
        <f>$C$11/$C$7-$AQ$5-$AQ$11</f>
        <v/>
      </c>
      <c r="R15" s="500">
        <f>$C$12/$C$7-$AQ$6-$AQ$12</f>
        <v/>
      </c>
      <c r="S15" s="518">
        <f>$C$13/$C$7-$AQ$7-$AQ$13</f>
        <v/>
      </c>
      <c r="T15" s="693">
        <f>$C$43</f>
        <v/>
      </c>
      <c r="U15" s="694">
        <f>T15-V15-W15-X15</f>
        <v/>
      </c>
      <c r="V15" s="695">
        <f>$C$11/$C$7-$AQ$5-$AQ$11-$AQ$17</f>
        <v/>
      </c>
      <c r="W15" s="695">
        <f>$C$12/$C$7-$AQ$6-$AQ$12-$AQ$18</f>
        <v/>
      </c>
      <c r="X15" s="696">
        <f>$C$13/$C$7-$AQ$7-$AQ$13-$AQ$19</f>
        <v/>
      </c>
      <c r="Y15" s="515">
        <f>O15</f>
        <v/>
      </c>
      <c r="Z15" s="516">
        <f>P15</f>
        <v/>
      </c>
      <c r="AA15" s="517">
        <f>Q15</f>
        <v/>
      </c>
      <c r="AB15" s="517">
        <f>R15</f>
        <v/>
      </c>
      <c r="AC15" s="518">
        <f>S15</f>
        <v/>
      </c>
      <c r="AD15" s="517" t="n"/>
      <c r="AE15" s="646" t="n"/>
      <c r="AF15" s="646" t="n"/>
      <c r="AG15" s="518" t="n"/>
      <c r="AH15" s="92" t="n"/>
      <c r="AI15" s="196">
        <f>H15-G15+1</f>
        <v/>
      </c>
      <c r="AJ15" s="92" t="n"/>
      <c r="AK15" s="206" t="n"/>
      <c r="AL15" s="206" t="n"/>
      <c r="AM15" s="94" t="n"/>
      <c r="AO15" s="378" t="inlineStr">
        <is>
          <t>월 다품목 할인(V-)</t>
        </is>
      </c>
      <c r="AP15" s="251" t="n"/>
      <c r="AQ15" s="504">
        <f>C42/C7</f>
        <v/>
      </c>
    </row>
    <row r="16">
      <c r="B16" s="9" t="inlineStr">
        <is>
          <t>월구독료(v-)</t>
        </is>
      </c>
      <c r="C16" s="526">
        <f>C15/C7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$C$16</f>
        <v/>
      </c>
      <c r="K16" s="516">
        <f>J16-L16-M16-N16</f>
        <v/>
      </c>
      <c r="L16" s="517">
        <f>$C$11/$C$7</f>
        <v/>
      </c>
      <c r="M16" s="517">
        <f>$C$12/$C$7</f>
        <v/>
      </c>
      <c r="N16" s="518">
        <f>$C$13/$C$7</f>
        <v/>
      </c>
      <c r="O16" s="515">
        <f>$C$32</f>
        <v/>
      </c>
      <c r="P16" s="516">
        <f>O16-Q16-R16-S16</f>
        <v/>
      </c>
      <c r="Q16" s="500">
        <f>$C$11/$C$7-$AQ$5-$AQ$11</f>
        <v/>
      </c>
      <c r="R16" s="500">
        <f>$C$12/$C$7-$AQ$6-$AQ$12</f>
        <v/>
      </c>
      <c r="S16" s="518">
        <f>$C$13/$C$7-$AQ$7-$AQ$13</f>
        <v/>
      </c>
      <c r="T16" s="693">
        <f>$C$43</f>
        <v/>
      </c>
      <c r="U16" s="694">
        <f>T16-V16-W16-X16</f>
        <v/>
      </c>
      <c r="V16" s="695">
        <f>$C$11/$C$7-$AQ$5-$AQ$11-$AQ$17</f>
        <v/>
      </c>
      <c r="W16" s="695">
        <f>$C$12/$C$7-$AQ$6-$AQ$12-$AQ$18</f>
        <v/>
      </c>
      <c r="X16" s="696">
        <f>$C$13/$C$7-$AQ$7-$AQ$13-$AQ$19</f>
        <v/>
      </c>
      <c r="Y16" s="515">
        <f>O16</f>
        <v/>
      </c>
      <c r="Z16" s="516">
        <f>P16</f>
        <v/>
      </c>
      <c r="AA16" s="517">
        <f>Q16</f>
        <v/>
      </c>
      <c r="AB16" s="517">
        <f>R16</f>
        <v/>
      </c>
      <c r="AC16" s="518">
        <f>S16</f>
        <v/>
      </c>
      <c r="AD16" s="517" t="n"/>
      <c r="AE16" s="646" t="n"/>
      <c r="AF16" s="646" t="n"/>
      <c r="AG16" s="518" t="n"/>
      <c r="AH16" s="92" t="n"/>
      <c r="AI16" s="196">
        <f>H16-G16+1</f>
        <v/>
      </c>
      <c r="AJ16" s="92" t="n"/>
      <c r="AK16" s="206" t="n"/>
      <c r="AL16" s="206" t="n"/>
      <c r="AM16" s="94" t="n"/>
      <c r="AO16" s="375" t="n"/>
      <c r="AP16" s="506" t="inlineStr">
        <is>
          <t>제품</t>
        </is>
      </c>
      <c r="AQ16" s="507">
        <f>AQ15-AQ17-AQ18-AQ19</f>
        <v/>
      </c>
    </row>
    <row r="17">
      <c r="B17" s="9" t="inlineStr">
        <is>
          <t>총구독료(v+)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$C$16</f>
        <v/>
      </c>
      <c r="K17" s="516">
        <f>J17-L17-M17-N17</f>
        <v/>
      </c>
      <c r="L17" s="517">
        <f>$C$11/$C$7</f>
        <v/>
      </c>
      <c r="M17" s="517">
        <f>$C$12/$C$7</f>
        <v/>
      </c>
      <c r="N17" s="518">
        <f>$C$13/$C$7</f>
        <v/>
      </c>
      <c r="O17" s="515">
        <f>$C$32</f>
        <v/>
      </c>
      <c r="P17" s="516">
        <f>O17-Q17-R17-S17</f>
        <v/>
      </c>
      <c r="Q17" s="500">
        <f>$C$11/$C$7-$AQ$5-$AQ$11</f>
        <v/>
      </c>
      <c r="R17" s="500">
        <f>$C$12/$C$7-$AQ$6-$AQ$12</f>
        <v/>
      </c>
      <c r="S17" s="518">
        <f>$C$13/$C$7-$AQ$7-$AQ$13</f>
        <v/>
      </c>
      <c r="T17" s="693">
        <f>$C$43</f>
        <v/>
      </c>
      <c r="U17" s="694">
        <f>T17-V17-W17-X17</f>
        <v/>
      </c>
      <c r="V17" s="695">
        <f>$C$11/$C$7-$AQ$5-$AQ$11-$AQ$17</f>
        <v/>
      </c>
      <c r="W17" s="695">
        <f>$C$12/$C$7-$AQ$6-$AQ$12-$AQ$18</f>
        <v/>
      </c>
      <c r="X17" s="696">
        <f>$C$13/$C$7-$AQ$7-$AQ$13-$AQ$19</f>
        <v/>
      </c>
      <c r="Y17" s="515">
        <f>O17</f>
        <v/>
      </c>
      <c r="Z17" s="516">
        <f>P17</f>
        <v/>
      </c>
      <c r="AA17" s="517">
        <f>Q17</f>
        <v/>
      </c>
      <c r="AB17" s="517">
        <f>R17</f>
        <v/>
      </c>
      <c r="AC17" s="518">
        <f>S17</f>
        <v/>
      </c>
      <c r="AD17" s="517" t="n"/>
      <c r="AE17" s="646" t="n"/>
      <c r="AF17" s="646" t="n"/>
      <c r="AG17" s="518" t="n"/>
      <c r="AH17" s="92" t="n"/>
      <c r="AI17" s="196">
        <f>H17-G17+1</f>
        <v/>
      </c>
      <c r="AJ17" s="92" t="n"/>
      <c r="AK17" s="206" t="n"/>
      <c r="AL17" s="206" t="n"/>
      <c r="AM17" s="94" t="n"/>
      <c r="AO17" s="375" t="n"/>
      <c r="AP17" s="506" t="inlineStr">
        <is>
          <t>케어</t>
        </is>
      </c>
      <c r="AQ17" s="507">
        <f>ROUND(AQ15*$C$11/$C$15,-2)</f>
        <v/>
      </c>
    </row>
    <row r="18">
      <c r="B18" s="9" t="inlineStr">
        <is>
          <t>월구독료(v+)</t>
        </is>
      </c>
      <c r="C18" s="526">
        <f>C17/C7</f>
        <v/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$C$16</f>
        <v/>
      </c>
      <c r="K18" s="516">
        <f>J18-L18-M18-N18</f>
        <v/>
      </c>
      <c r="L18" s="517">
        <f>$C$11/$C$7</f>
        <v/>
      </c>
      <c r="M18" s="517">
        <f>$C$12/$C$7</f>
        <v/>
      </c>
      <c r="N18" s="518">
        <f>$C$13/$C$7</f>
        <v/>
      </c>
      <c r="O18" s="515">
        <f>$C$32</f>
        <v/>
      </c>
      <c r="P18" s="516">
        <f>O18-Q18-R18-S18</f>
        <v/>
      </c>
      <c r="Q18" s="500">
        <f>$C$11/$C$7-$AQ$5-$AQ$11</f>
        <v/>
      </c>
      <c r="R18" s="500">
        <f>$C$12/$C$7-$AQ$6-$AQ$12</f>
        <v/>
      </c>
      <c r="S18" s="518">
        <f>$C$13/$C$7-$AQ$7-$AQ$13</f>
        <v/>
      </c>
      <c r="T18" s="693">
        <f>$C$43</f>
        <v/>
      </c>
      <c r="U18" s="694">
        <f>T18-V18-W18-X18</f>
        <v/>
      </c>
      <c r="V18" s="695">
        <f>$C$11/$C$7-$AQ$5-$AQ$11-$AQ$17</f>
        <v/>
      </c>
      <c r="W18" s="695">
        <f>$C$12/$C$7-$AQ$6-$AQ$12-$AQ$18</f>
        <v/>
      </c>
      <c r="X18" s="696">
        <f>$C$13/$C$7-$AQ$7-$AQ$13-$AQ$19</f>
        <v/>
      </c>
      <c r="Y18" s="515">
        <f>O18</f>
        <v/>
      </c>
      <c r="Z18" s="516">
        <f>P18</f>
        <v/>
      </c>
      <c r="AA18" s="517">
        <f>Q18</f>
        <v/>
      </c>
      <c r="AB18" s="517">
        <f>R18</f>
        <v/>
      </c>
      <c r="AC18" s="518">
        <f>S18</f>
        <v/>
      </c>
      <c r="AD18" s="517" t="n"/>
      <c r="AE18" s="646" t="n"/>
      <c r="AF18" s="646" t="n"/>
      <c r="AG18" s="518" t="n"/>
      <c r="AH18" s="92" t="n"/>
      <c r="AI18" s="196">
        <f>H18-G18+1</f>
        <v/>
      </c>
      <c r="AJ18" s="92" t="n"/>
      <c r="AK18" s="206" t="n"/>
      <c r="AL18" s="206" t="n"/>
      <c r="AM18" s="94" t="n"/>
      <c r="AO18" s="375" t="n"/>
      <c r="AP18" s="524" t="inlineStr">
        <is>
          <t>보증</t>
        </is>
      </c>
      <c r="AQ18" s="507">
        <f>ROUND(AQ15*$C$12/$C$15,-2)</f>
        <v/>
      </c>
    </row>
    <row r="19">
      <c r="B19" s="495" t="n"/>
      <c r="C19" s="697" t="n"/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$C$16</f>
        <v/>
      </c>
      <c r="K19" s="516">
        <f>J19-L19-M19-N19</f>
        <v/>
      </c>
      <c r="L19" s="517">
        <f>$C$11/$C$7</f>
        <v/>
      </c>
      <c r="M19" s="517">
        <f>$C$12/$C$7</f>
        <v/>
      </c>
      <c r="N19" s="518">
        <f>$C$13/$C$7</f>
        <v/>
      </c>
      <c r="O19" s="515">
        <f>$C$32</f>
        <v/>
      </c>
      <c r="P19" s="516">
        <f>O19-Q19-R19-S19</f>
        <v/>
      </c>
      <c r="Q19" s="500">
        <f>$C$11/$C$7-$AQ$5-$AQ$11</f>
        <v/>
      </c>
      <c r="R19" s="500">
        <f>$C$12/$C$7-$AQ$6-$AQ$12</f>
        <v/>
      </c>
      <c r="S19" s="518">
        <f>$C$13/$C$7-$AQ$7-$AQ$13</f>
        <v/>
      </c>
      <c r="T19" s="693">
        <f>$C$43</f>
        <v/>
      </c>
      <c r="U19" s="694">
        <f>T19-V19-W19-X19</f>
        <v/>
      </c>
      <c r="V19" s="695">
        <f>$C$11/$C$7-$AQ$5-$AQ$11-$AQ$17</f>
        <v/>
      </c>
      <c r="W19" s="695">
        <f>$C$12/$C$7-$AQ$6-$AQ$12-$AQ$18</f>
        <v/>
      </c>
      <c r="X19" s="696">
        <f>$C$13/$C$7-$AQ$7-$AQ$13-$AQ$19</f>
        <v/>
      </c>
      <c r="Y19" s="515">
        <f>O19</f>
        <v/>
      </c>
      <c r="Z19" s="516">
        <f>P19</f>
        <v/>
      </c>
      <c r="AA19" s="517">
        <f>Q19</f>
        <v/>
      </c>
      <c r="AB19" s="517">
        <f>R19</f>
        <v/>
      </c>
      <c r="AC19" s="518">
        <f>S19</f>
        <v/>
      </c>
      <c r="AD19" s="517" t="n"/>
      <c r="AE19" s="646" t="n"/>
      <c r="AF19" s="646" t="n"/>
      <c r="AG19" s="518" t="n"/>
      <c r="AH19" s="92" t="n"/>
      <c r="AI19" s="196">
        <f>H19-G19+1</f>
        <v/>
      </c>
      <c r="AJ19" s="92" t="n"/>
      <c r="AK19" s="206" t="n"/>
      <c r="AL19" s="206" t="n"/>
      <c r="AM19" s="94" t="n"/>
      <c r="AO19" s="376" t="n"/>
      <c r="AP19" s="524" t="inlineStr">
        <is>
          <t>재설치</t>
        </is>
      </c>
      <c r="AQ19" s="507">
        <f>ROUND(AQ15*$C$13/$C$15,-2)</f>
        <v/>
      </c>
    </row>
    <row r="20"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$C$16</f>
        <v/>
      </c>
      <c r="K20" s="516">
        <f>J20-L20-M20-N20</f>
        <v/>
      </c>
      <c r="L20" s="517">
        <f>$C$11/$C$7</f>
        <v/>
      </c>
      <c r="M20" s="517">
        <f>$C$12/$C$7</f>
        <v/>
      </c>
      <c r="N20" s="518">
        <f>$C$13/$C$7</f>
        <v/>
      </c>
      <c r="O20" s="515">
        <f>$C$32</f>
        <v/>
      </c>
      <c r="P20" s="516">
        <f>O20-Q20-R20-S20</f>
        <v/>
      </c>
      <c r="Q20" s="500">
        <f>$C$11/$C$7-$AQ$5-$AQ$11</f>
        <v/>
      </c>
      <c r="R20" s="500">
        <f>$C$12/$C$7-$AQ$6-$AQ$12</f>
        <v/>
      </c>
      <c r="S20" s="518">
        <f>$C$13/$C$7-$AQ$7-$AQ$13</f>
        <v/>
      </c>
      <c r="T20" s="693">
        <f>$C$43</f>
        <v/>
      </c>
      <c r="U20" s="694">
        <f>T20-V20-W20-X20</f>
        <v/>
      </c>
      <c r="V20" s="695">
        <f>$C$11/$C$7-$AQ$5-$AQ$11-$AQ$17</f>
        <v/>
      </c>
      <c r="W20" s="695">
        <f>$C$12/$C$7-$AQ$6-$AQ$12-$AQ$18</f>
        <v/>
      </c>
      <c r="X20" s="696">
        <f>$C$13/$C$7-$AQ$7-$AQ$13-$AQ$19</f>
        <v/>
      </c>
      <c r="Y20" s="515">
        <f>O20</f>
        <v/>
      </c>
      <c r="Z20" s="516">
        <f>P20</f>
        <v/>
      </c>
      <c r="AA20" s="517">
        <f>Q20</f>
        <v/>
      </c>
      <c r="AB20" s="517">
        <f>R20</f>
        <v/>
      </c>
      <c r="AC20" s="518">
        <f>S20</f>
        <v/>
      </c>
      <c r="AD20" s="517" t="n"/>
      <c r="AE20" s="646" t="n"/>
      <c r="AF20" s="646" t="n"/>
      <c r="AG20" s="518" t="n"/>
      <c r="AH20" s="92" t="n"/>
      <c r="AI20" s="196">
        <f>H20-G20+1</f>
        <v/>
      </c>
      <c r="AJ20" s="92" t="n"/>
      <c r="AK20" s="206" t="n"/>
      <c r="AL20" s="206" t="n"/>
      <c r="AM20" s="94" t="n"/>
    </row>
    <row r="21">
      <c r="A21" s="176" t="n"/>
      <c r="B21" s="9" t="inlineStr">
        <is>
          <t>선납금 %</t>
        </is>
      </c>
      <c r="C21" s="288" t="n">
        <v>0.3</v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$C$16</f>
        <v/>
      </c>
      <c r="K21" s="516">
        <f>J21-L21-M21-N21</f>
        <v/>
      </c>
      <c r="L21" s="517">
        <f>$C$11/$C$7</f>
        <v/>
      </c>
      <c r="M21" s="517">
        <f>$C$12/$C$7</f>
        <v/>
      </c>
      <c r="N21" s="518">
        <f>$C$13/$C$7</f>
        <v/>
      </c>
      <c r="O21" s="515">
        <f>$C$32</f>
        <v/>
      </c>
      <c r="P21" s="516">
        <f>O21-Q21-R21-S21</f>
        <v/>
      </c>
      <c r="Q21" s="500">
        <f>$C$11/$C$7-$AQ$5-$AQ$11</f>
        <v/>
      </c>
      <c r="R21" s="500">
        <f>$C$12/$C$7-$AQ$6-$AQ$12</f>
        <v/>
      </c>
      <c r="S21" s="518">
        <f>$C$13/$C$7-$AQ$7-$AQ$13</f>
        <v/>
      </c>
      <c r="T21" s="693">
        <f>$C$43</f>
        <v/>
      </c>
      <c r="U21" s="694">
        <f>T21-V21-W21-X21</f>
        <v/>
      </c>
      <c r="V21" s="695">
        <f>$C$11/$C$7-$AQ$5-$AQ$11-$AQ$17</f>
        <v/>
      </c>
      <c r="W21" s="695">
        <f>$C$12/$C$7-$AQ$6-$AQ$12-$AQ$18</f>
        <v/>
      </c>
      <c r="X21" s="696">
        <f>$C$13/$C$7-$AQ$7-$AQ$13-$AQ$19</f>
        <v/>
      </c>
      <c r="Y21" s="515">
        <f>O21</f>
        <v/>
      </c>
      <c r="Z21" s="516">
        <f>P21</f>
        <v/>
      </c>
      <c r="AA21" s="517">
        <f>Q21</f>
        <v/>
      </c>
      <c r="AB21" s="517">
        <f>R21</f>
        <v/>
      </c>
      <c r="AC21" s="518">
        <f>S21</f>
        <v/>
      </c>
      <c r="AD21" s="517" t="n"/>
      <c r="AE21" s="646" t="n"/>
      <c r="AF21" s="646" t="n"/>
      <c r="AG21" s="518" t="n"/>
      <c r="AH21" s="92" t="n"/>
      <c r="AI21" s="196">
        <f>H21-G21+1</f>
        <v/>
      </c>
      <c r="AJ21" s="92" t="n"/>
      <c r="AK21" s="206" t="n"/>
      <c r="AL21" s="206" t="n"/>
      <c r="AM21" s="94" t="n"/>
    </row>
    <row r="22">
      <c r="A22" s="176" t="n"/>
      <c r="B22" s="9" t="inlineStr">
        <is>
          <t>(계산용) 선납금(v-) (총구독료 v+ 기준)</t>
        </is>
      </c>
      <c r="C22" s="506">
        <f>C17*C21/1.1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$C$16</f>
        <v/>
      </c>
      <c r="K22" s="516">
        <f>J22-L22-M22-N22</f>
        <v/>
      </c>
      <c r="L22" s="517">
        <f>$C$11/$C$7</f>
        <v/>
      </c>
      <c r="M22" s="517">
        <f>$C$12/$C$7</f>
        <v/>
      </c>
      <c r="N22" s="518">
        <f>$C$13/$C$7</f>
        <v/>
      </c>
      <c r="O22" s="515">
        <f>$C$32</f>
        <v/>
      </c>
      <c r="P22" s="516">
        <f>O22-Q22-R22-S22</f>
        <v/>
      </c>
      <c r="Q22" s="500">
        <f>$C$11/$C$7-$AQ$5-$AQ$11</f>
        <v/>
      </c>
      <c r="R22" s="500">
        <f>$C$12/$C$7-$AQ$6-$AQ$12</f>
        <v/>
      </c>
      <c r="S22" s="518">
        <f>$C$13/$C$7-$AQ$7-$AQ$13</f>
        <v/>
      </c>
      <c r="T22" s="693">
        <f>$C$43</f>
        <v/>
      </c>
      <c r="U22" s="694">
        <f>T22-V22-W22-X22</f>
        <v/>
      </c>
      <c r="V22" s="695">
        <f>$C$11/$C$7-$AQ$5-$AQ$11-$AQ$17</f>
        <v/>
      </c>
      <c r="W22" s="695">
        <f>$C$12/$C$7-$AQ$6-$AQ$12-$AQ$18</f>
        <v/>
      </c>
      <c r="X22" s="696">
        <f>$C$13/$C$7-$AQ$7-$AQ$13-$AQ$19</f>
        <v/>
      </c>
      <c r="Y22" s="515">
        <f>O22</f>
        <v/>
      </c>
      <c r="Z22" s="516">
        <f>P22</f>
        <v/>
      </c>
      <c r="AA22" s="517">
        <f>Q22</f>
        <v/>
      </c>
      <c r="AB22" s="517">
        <f>R22</f>
        <v/>
      </c>
      <c r="AC22" s="518">
        <f>S22</f>
        <v/>
      </c>
      <c r="AD22" s="517" t="n"/>
      <c r="AE22" s="646" t="n"/>
      <c r="AF22" s="646" t="n"/>
      <c r="AG22" s="518" t="n"/>
      <c r="AH22" s="92" t="n"/>
      <c r="AI22" s="196">
        <f>H22-G22+1</f>
        <v/>
      </c>
      <c r="AJ22" s="92" t="n"/>
      <c r="AK22" s="206" t="n"/>
      <c r="AL22" s="206" t="n"/>
      <c r="AM22" s="94" t="n"/>
    </row>
    <row r="23">
      <c r="A23" s="176" t="n"/>
      <c r="B23" s="9" t="inlineStr">
        <is>
          <t>(계산용) 월 선납금(V-)</t>
        </is>
      </c>
      <c r="C23" s="506">
        <f>ROUND(C22/C7,-2)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$C$16</f>
        <v/>
      </c>
      <c r="K23" s="516">
        <f>J23-L23-M23-N23</f>
        <v/>
      </c>
      <c r="L23" s="517">
        <f>$C$11/$C$7</f>
        <v/>
      </c>
      <c r="M23" s="517">
        <f>$C$12/$C$7</f>
        <v/>
      </c>
      <c r="N23" s="518">
        <f>$C$13/$C$7</f>
        <v/>
      </c>
      <c r="O23" s="515">
        <f>$C$32</f>
        <v/>
      </c>
      <c r="P23" s="516">
        <f>O23-Q23-R23-S23</f>
        <v/>
      </c>
      <c r="Q23" s="500">
        <f>$C$11/$C$7-$AQ$5-$AQ$11</f>
        <v/>
      </c>
      <c r="R23" s="500">
        <f>$C$12/$C$7-$AQ$6-$AQ$12</f>
        <v/>
      </c>
      <c r="S23" s="518">
        <f>$C$13/$C$7-$AQ$7-$AQ$13</f>
        <v/>
      </c>
      <c r="T23" s="693">
        <f>$C$43</f>
        <v/>
      </c>
      <c r="U23" s="694">
        <f>T23-V23-W23-X23</f>
        <v/>
      </c>
      <c r="V23" s="695">
        <f>$C$11/$C$7-$AQ$5-$AQ$11-$AQ$17</f>
        <v/>
      </c>
      <c r="W23" s="695">
        <f>$C$12/$C$7-$AQ$6-$AQ$12-$AQ$18</f>
        <v/>
      </c>
      <c r="X23" s="696">
        <f>$C$13/$C$7-$AQ$7-$AQ$13-$AQ$19</f>
        <v/>
      </c>
      <c r="Y23" s="515">
        <f>O23</f>
        <v/>
      </c>
      <c r="Z23" s="516">
        <f>P23</f>
        <v/>
      </c>
      <c r="AA23" s="517">
        <f>Q23</f>
        <v/>
      </c>
      <c r="AB23" s="517">
        <f>R23</f>
        <v/>
      </c>
      <c r="AC23" s="518">
        <f>S23</f>
        <v/>
      </c>
      <c r="AD23" s="517" t="n"/>
      <c r="AE23" s="646" t="n"/>
      <c r="AF23" s="646" t="n"/>
      <c r="AG23" s="518" t="n"/>
      <c r="AH23" s="92" t="n"/>
      <c r="AI23" s="196">
        <f>H23-G23+1</f>
        <v/>
      </c>
      <c r="AK23" s="206" t="n"/>
      <c r="AL23" s="206" t="n"/>
      <c r="AM23" s="94" t="n"/>
      <c r="AO23" s="206" t="inlineStr">
        <is>
          <t>케어서비스 수행 매출</t>
        </is>
      </c>
      <c r="AS23" s="206" t="inlineStr">
        <is>
          <t>실질 할인 이븐하게 분배</t>
        </is>
      </c>
      <c r="AU23" s="206" t="inlineStr">
        <is>
          <t>실질 할인 비율분배</t>
        </is>
      </c>
      <c r="AV23" s="206" t="inlineStr">
        <is>
          <t>결합이 없는 경우의 매출 그대로 인식</t>
        </is>
      </c>
    </row>
    <row r="24">
      <c r="A24" s="176" t="n"/>
      <c r="B24" s="9" t="inlineStr">
        <is>
          <t>(계산용) 월 선납금(V+)</t>
        </is>
      </c>
      <c r="C24" s="506">
        <f>C23*1.1</f>
        <v/>
      </c>
      <c r="E24" s="202" t="n"/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$C$16</f>
        <v/>
      </c>
      <c r="K24" s="516">
        <f>J24-L24-M24-N24</f>
        <v/>
      </c>
      <c r="L24" s="517">
        <f>$C$11/$C$7</f>
        <v/>
      </c>
      <c r="M24" s="517">
        <f>$C$12/$C$7</f>
        <v/>
      </c>
      <c r="N24" s="518">
        <f>$C$13/$C$7</f>
        <v/>
      </c>
      <c r="O24" s="515">
        <f>$C$32</f>
        <v/>
      </c>
      <c r="P24" s="516">
        <f>O24-Q24-R24-S24</f>
        <v/>
      </c>
      <c r="Q24" s="500">
        <f>$C$11/$C$7-$AQ$5-$AQ$11</f>
        <v/>
      </c>
      <c r="R24" s="500">
        <f>$C$12/$C$7-$AQ$6-$AQ$12</f>
        <v/>
      </c>
      <c r="S24" s="518">
        <f>$C$13/$C$7-$AQ$7-$AQ$13</f>
        <v/>
      </c>
      <c r="T24" s="693">
        <f>$C$43</f>
        <v/>
      </c>
      <c r="U24" s="694">
        <f>T24-V24-W24-X24</f>
        <v/>
      </c>
      <c r="V24" s="695">
        <f>$C$11/$C$7-$AQ$5-$AQ$11-$AQ$17</f>
        <v/>
      </c>
      <c r="W24" s="695">
        <f>$C$12/$C$7-$AQ$6-$AQ$12-$AQ$18</f>
        <v/>
      </c>
      <c r="X24" s="696">
        <f>$C$13/$C$7-$AQ$7-$AQ$13-$AQ$19</f>
        <v/>
      </c>
      <c r="Y24" s="515">
        <f>O24</f>
        <v/>
      </c>
      <c r="Z24" s="516">
        <f>P24</f>
        <v/>
      </c>
      <c r="AA24" s="517">
        <f>Q24</f>
        <v/>
      </c>
      <c r="AB24" s="517">
        <f>R24</f>
        <v/>
      </c>
      <c r="AC24" s="518">
        <f>S24</f>
        <v/>
      </c>
      <c r="AD24" s="195" t="n"/>
      <c r="AE24" s="646" t="n"/>
      <c r="AF24" s="646" t="n"/>
      <c r="AG24" s="698" t="n"/>
      <c r="AH24" s="195" t="n"/>
      <c r="AI24" s="196">
        <f>H24-G24+1</f>
        <v/>
      </c>
      <c r="AJ24" s="646" t="n"/>
      <c r="AK24" s="517" t="n"/>
      <c r="AL24" s="517" t="n"/>
      <c r="AM24" s="699" t="n"/>
      <c r="AO24" s="2" t="n"/>
      <c r="AP24" s="2" t="inlineStr">
        <is>
          <t>기존</t>
        </is>
      </c>
      <c r="AQ24" s="2" t="inlineStr">
        <is>
          <t>선납+선납할인</t>
        </is>
      </c>
      <c r="AR24" s="2" t="inlineStr">
        <is>
          <t>선납+결합할인+6개월 할인</t>
        </is>
      </c>
      <c r="AS24" s="2" t="inlineStr">
        <is>
          <t>선납+결합할인+6개월 할인 ('25.11 결합해지 시)</t>
        </is>
      </c>
      <c r="AU24" s="2" t="inlineStr">
        <is>
          <t>결합해지 시</t>
        </is>
      </c>
      <c r="AV24" s="2" t="inlineStr">
        <is>
          <t>결합해지 시</t>
        </is>
      </c>
    </row>
    <row r="25">
      <c r="A25" s="176" t="n"/>
      <c r="B25" s="9" t="inlineStr">
        <is>
          <t>(최종) 선납금 반영 월 구독료 (V-)</t>
        </is>
      </c>
      <c r="C25" s="506">
        <f>C16-C23</f>
        <v/>
      </c>
      <c r="E25" s="202" t="n"/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$C$16</f>
        <v/>
      </c>
      <c r="K25" s="516">
        <f>J25-L25-M25-N25</f>
        <v/>
      </c>
      <c r="L25" s="517">
        <f>$C$11/$C$7</f>
        <v/>
      </c>
      <c r="M25" s="517">
        <f>$C$12/$C$7</f>
        <v/>
      </c>
      <c r="N25" s="518">
        <f>$C$13/$C$7</f>
        <v/>
      </c>
      <c r="O25" s="515">
        <f>$C$32</f>
        <v/>
      </c>
      <c r="P25" s="516">
        <f>O25-Q25-R25-S25</f>
        <v/>
      </c>
      <c r="Q25" s="500">
        <f>$C$11/$C$7-$AQ$5-$AQ$11</f>
        <v/>
      </c>
      <c r="R25" s="500">
        <f>$C$12/$C$7-$AQ$6-$AQ$12</f>
        <v/>
      </c>
      <c r="S25" s="518">
        <f>$C$13/$C$7-$AQ$7-$AQ$13</f>
        <v/>
      </c>
      <c r="T25" s="693">
        <f>$C$43</f>
        <v/>
      </c>
      <c r="U25" s="694">
        <f>T25-V25-W25-X25</f>
        <v/>
      </c>
      <c r="V25" s="695">
        <f>$C$11/$C$7-$AQ$5-$AQ$11-$AQ$17</f>
        <v/>
      </c>
      <c r="W25" s="695">
        <f>$C$12/$C$7-$AQ$6-$AQ$12-$AQ$18</f>
        <v/>
      </c>
      <c r="X25" s="696">
        <f>$C$13/$C$7-$AQ$7-$AQ$13-$AQ$19</f>
        <v/>
      </c>
      <c r="Y25" s="515">
        <f>O25</f>
        <v/>
      </c>
      <c r="Z25" s="516">
        <f>P25</f>
        <v/>
      </c>
      <c r="AA25" s="517">
        <f>Q25</f>
        <v/>
      </c>
      <c r="AB25" s="517">
        <f>R25</f>
        <v/>
      </c>
      <c r="AC25" s="518">
        <f>S25</f>
        <v/>
      </c>
      <c r="AD25" s="517" t="n"/>
      <c r="AE25" s="646" t="n"/>
      <c r="AF25" s="646" t="n"/>
      <c r="AG25" s="700" t="n"/>
      <c r="AH25" s="92" t="n"/>
      <c r="AI25" s="196">
        <f>H25-G25+1</f>
        <v/>
      </c>
      <c r="AJ25" s="92" t="n"/>
      <c r="AK25" s="539" t="n"/>
      <c r="AL25" s="206" t="n"/>
      <c r="AM25" s="94" t="n"/>
      <c r="AO25" s="527" t="inlineStr">
        <is>
          <t>1회차</t>
        </is>
      </c>
      <c r="AP25" s="506" t="n">
        <v>59600</v>
      </c>
      <c r="AQ25" s="506">
        <f>AP25-($AQ$5+$AQ$11)*12</f>
        <v/>
      </c>
      <c r="AR25" s="506">
        <f>AP25-($AQ$5+$AQ$11+$AQ$17)*12-($C$11/$C$7-$AQ$5-$AQ$11-$AQ$17)*6*12/$C$7</f>
        <v/>
      </c>
      <c r="AS25" s="506">
        <f>AQ25-(SUM($Q$5:$Q$77)-SUM($V$5:$V$7,$AA$8:$AA$77))/6</f>
        <v/>
      </c>
      <c r="AU25" s="527">
        <f>SUM($V$5:$V$7,$AA$8:$AA$77)*AP25/SUM($AP$25:$AP$30)</f>
        <v/>
      </c>
      <c r="AV25" s="507">
        <f>AQ25</f>
        <v/>
      </c>
    </row>
    <row r="26">
      <c r="A26" s="176" t="n"/>
      <c r="B26" s="9" t="inlineStr">
        <is>
          <t>(최종) 선납금 반영 총 구독료 (V-)</t>
        </is>
      </c>
      <c r="C26" s="506">
        <f>C15-C23*C7</f>
        <v/>
      </c>
      <c r="D26" s="206">
        <f>C25*C7=C26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$C$16</f>
        <v/>
      </c>
      <c r="K26" s="516">
        <f>J26-L26-M26-N26</f>
        <v/>
      </c>
      <c r="L26" s="517">
        <f>$C$11/$C$7</f>
        <v/>
      </c>
      <c r="M26" s="517">
        <f>$C$12/$C$7</f>
        <v/>
      </c>
      <c r="N26" s="518">
        <f>$C$13/$C$7</f>
        <v/>
      </c>
      <c r="O26" s="515">
        <f>$C$32</f>
        <v/>
      </c>
      <c r="P26" s="516">
        <f>O26-Q26-R26-S26</f>
        <v/>
      </c>
      <c r="Q26" s="500">
        <f>$C$11/$C$7-$AQ$5-$AQ$11</f>
        <v/>
      </c>
      <c r="R26" s="500">
        <f>$C$12/$C$7-$AQ$6-$AQ$12</f>
        <v/>
      </c>
      <c r="S26" s="518">
        <f>$C$13/$C$7-$AQ$7-$AQ$13</f>
        <v/>
      </c>
      <c r="T26" s="693">
        <f>$C$43</f>
        <v/>
      </c>
      <c r="U26" s="694">
        <f>T26-V26-W26-X26</f>
        <v/>
      </c>
      <c r="V26" s="695">
        <f>$C$11/$C$7-$AQ$5-$AQ$11-$AQ$17</f>
        <v/>
      </c>
      <c r="W26" s="695">
        <f>$C$12/$C$7-$AQ$6-$AQ$12-$AQ$18</f>
        <v/>
      </c>
      <c r="X26" s="696">
        <f>$C$13/$C$7-$AQ$7-$AQ$13-$AQ$19</f>
        <v/>
      </c>
      <c r="Y26" s="515">
        <f>O26</f>
        <v/>
      </c>
      <c r="Z26" s="516">
        <f>P26</f>
        <v/>
      </c>
      <c r="AA26" s="517">
        <f>Q26</f>
        <v/>
      </c>
      <c r="AB26" s="517">
        <f>R26</f>
        <v/>
      </c>
      <c r="AC26" s="518">
        <f>S26</f>
        <v/>
      </c>
      <c r="AD26" s="517" t="n"/>
      <c r="AE26" s="646" t="n"/>
      <c r="AF26" s="646" t="n"/>
      <c r="AG26" s="701" t="n"/>
      <c r="AH26" s="92" t="n"/>
      <c r="AI26" s="196">
        <f>H26-G26+1</f>
        <v/>
      </c>
      <c r="AJ26" s="92" t="n"/>
      <c r="AK26" s="206" t="n"/>
      <c r="AL26" s="206" t="n"/>
      <c r="AM26" s="94" t="n"/>
      <c r="AO26" s="527" t="inlineStr">
        <is>
          <t>2회차</t>
        </is>
      </c>
      <c r="AP26" s="506" t="n">
        <v>59600</v>
      </c>
      <c r="AQ26" s="506">
        <f>AP26-($AQ$5+$AQ$11)*12</f>
        <v/>
      </c>
      <c r="AR26" s="506">
        <f>AP26-($AQ$5+$AQ$11+$AQ$17)*12-($C$11/$C$7-$AQ$5-$AQ$11-$AQ$17)*6*12/$C$7</f>
        <v/>
      </c>
      <c r="AS26" s="506">
        <f>AQ26-(SUM($Q$5:$Q$77)-SUM($V$5:$V$7,$AA$8:$AA$77))/6</f>
        <v/>
      </c>
      <c r="AU26" s="527">
        <f>SUM($V$5:$V$7,$AA$8:$AA$77)*AP26/SUM($AP$25:$AP$30)</f>
        <v/>
      </c>
      <c r="AV26" s="507">
        <f>AQ26</f>
        <v/>
      </c>
    </row>
    <row r="27">
      <c r="A27" s="176" t="n"/>
      <c r="B27" s="63" t="inlineStr">
        <is>
          <t>(최종) 선납금 (V-)</t>
        </is>
      </c>
      <c r="C27" s="506">
        <f>C23*C7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$C$16</f>
        <v/>
      </c>
      <c r="K27" s="516">
        <f>J27-L27-M27-N27</f>
        <v/>
      </c>
      <c r="L27" s="517">
        <f>$C$11/$C$7</f>
        <v/>
      </c>
      <c r="M27" s="517">
        <f>$C$12/$C$7</f>
        <v/>
      </c>
      <c r="N27" s="518">
        <f>$C$13/$C$7</f>
        <v/>
      </c>
      <c r="O27" s="515">
        <f>$C$32</f>
        <v/>
      </c>
      <c r="P27" s="516">
        <f>O27-Q27-R27-S27</f>
        <v/>
      </c>
      <c r="Q27" s="500">
        <f>$C$11/$C$7-$AQ$5-$AQ$11</f>
        <v/>
      </c>
      <c r="R27" s="500">
        <f>$C$12/$C$7-$AQ$6-$AQ$12</f>
        <v/>
      </c>
      <c r="S27" s="518">
        <f>$C$13/$C$7-$AQ$7-$AQ$13</f>
        <v/>
      </c>
      <c r="T27" s="693">
        <f>$C$43</f>
        <v/>
      </c>
      <c r="U27" s="694">
        <f>T27-V27-W27-X27</f>
        <v/>
      </c>
      <c r="V27" s="695">
        <f>$C$11/$C$7-$AQ$5-$AQ$11-$AQ$17</f>
        <v/>
      </c>
      <c r="W27" s="695">
        <f>$C$12/$C$7-$AQ$6-$AQ$12-$AQ$18</f>
        <v/>
      </c>
      <c r="X27" s="696">
        <f>$C$13/$C$7-$AQ$7-$AQ$13-$AQ$19</f>
        <v/>
      </c>
      <c r="Y27" s="515">
        <f>O27</f>
        <v/>
      </c>
      <c r="Z27" s="516">
        <f>P27</f>
        <v/>
      </c>
      <c r="AA27" s="517">
        <f>Q27</f>
        <v/>
      </c>
      <c r="AB27" s="517">
        <f>R27</f>
        <v/>
      </c>
      <c r="AC27" s="518">
        <f>S27</f>
        <v/>
      </c>
      <c r="AD27" s="517" t="n"/>
      <c r="AE27" s="646" t="n"/>
      <c r="AF27" s="646" t="n"/>
      <c r="AG27" s="518" t="n"/>
      <c r="AH27" s="92" t="n"/>
      <c r="AI27" s="196">
        <f>H27-G27+1</f>
        <v/>
      </c>
      <c r="AJ27" s="92" t="n"/>
      <c r="AK27" s="206" t="n"/>
      <c r="AL27" s="206" t="n"/>
      <c r="AM27" s="94" t="n"/>
      <c r="AO27" s="527" t="inlineStr">
        <is>
          <t>3회차</t>
        </is>
      </c>
      <c r="AP27" s="506" t="n">
        <v>93200</v>
      </c>
      <c r="AQ27" s="506">
        <f>AP27-($AQ$5+$AQ$11)*12</f>
        <v/>
      </c>
      <c r="AR27" s="506">
        <f>AP27-($AQ$5+$AQ$11+$AQ$17)*12-($C$11/$C$7-$AQ$5-$AQ$11-$AQ$17)*6*12/$C$7</f>
        <v/>
      </c>
      <c r="AS27" s="506">
        <f>AQ27-(SUM($Q$5:$Q$77)-SUM($V$5:$V$7,$AA$8:$AA$77))/6</f>
        <v/>
      </c>
      <c r="AU27" s="527">
        <f>SUM($V$5:$V$7,$AA$8:$AA$77)*AP27/SUM($AP$25:$AP$30)</f>
        <v/>
      </c>
      <c r="AV27" s="507">
        <f>AQ27</f>
        <v/>
      </c>
    </row>
    <row r="28">
      <c r="B28" s="9" t="inlineStr">
        <is>
          <t>(계산용) 선납 할인금 (4%) (V-)</t>
        </is>
      </c>
      <c r="C28" s="506">
        <f>C17*4%/1.1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$C$16</f>
        <v/>
      </c>
      <c r="K28" s="516">
        <f>J28-L28-M28-N28</f>
        <v/>
      </c>
      <c r="L28" s="517">
        <f>$C$11/$C$7</f>
        <v/>
      </c>
      <c r="M28" s="517">
        <f>$C$12/$C$7</f>
        <v/>
      </c>
      <c r="N28" s="518">
        <f>$C$13/$C$7</f>
        <v/>
      </c>
      <c r="O28" s="515">
        <f>$C$32</f>
        <v/>
      </c>
      <c r="P28" s="516">
        <f>O28-Q28-R28-S28</f>
        <v/>
      </c>
      <c r="Q28" s="500">
        <f>$C$11/$C$7-$AQ$5-$AQ$11</f>
        <v/>
      </c>
      <c r="R28" s="500">
        <f>$C$12/$C$7-$AQ$6-$AQ$12</f>
        <v/>
      </c>
      <c r="S28" s="518">
        <f>$C$13/$C$7-$AQ$7-$AQ$13</f>
        <v/>
      </c>
      <c r="T28" s="693">
        <f>$C$43</f>
        <v/>
      </c>
      <c r="U28" s="694">
        <f>T28-V28-W28-X28</f>
        <v/>
      </c>
      <c r="V28" s="695">
        <f>$C$11/$C$7-$AQ$5-$AQ$11-$AQ$17</f>
        <v/>
      </c>
      <c r="W28" s="695">
        <f>$C$12/$C$7-$AQ$6-$AQ$12-$AQ$18</f>
        <v/>
      </c>
      <c r="X28" s="696">
        <f>$C$13/$C$7-$AQ$7-$AQ$13-$AQ$19</f>
        <v/>
      </c>
      <c r="Y28" s="515">
        <f>O28</f>
        <v/>
      </c>
      <c r="Z28" s="516">
        <f>P28</f>
        <v/>
      </c>
      <c r="AA28" s="517">
        <f>Q28</f>
        <v/>
      </c>
      <c r="AB28" s="517">
        <f>R28</f>
        <v/>
      </c>
      <c r="AC28" s="518">
        <f>S28</f>
        <v/>
      </c>
      <c r="AD28" s="517" t="n"/>
      <c r="AE28" s="646" t="n"/>
      <c r="AF28" s="646" t="n"/>
      <c r="AG28" s="518" t="n"/>
      <c r="AH28" s="92" t="n"/>
      <c r="AI28" s="196">
        <f>H28-G28+1</f>
        <v/>
      </c>
      <c r="AJ28" s="92" t="n"/>
      <c r="AK28" s="206" t="n"/>
      <c r="AL28" s="206" t="n"/>
      <c r="AM28" s="94" t="n"/>
      <c r="AO28" s="527" t="inlineStr">
        <is>
          <t>4회차</t>
        </is>
      </c>
      <c r="AP28" s="506" t="n">
        <v>59600</v>
      </c>
      <c r="AQ28" s="506">
        <f>AP28-($AQ$5+$AQ$11)*12</f>
        <v/>
      </c>
      <c r="AR28" s="506">
        <f>AP28-($AQ$5+$AQ$11+$AQ$17)*12-($C$11/$C$7-$AQ$5-$AQ$11-$AQ$17)*6*12/$C$7</f>
        <v/>
      </c>
      <c r="AS28" s="506">
        <f>AQ28-(SUM($Q$5:$Q$77)-SUM($V$5:$V$7,$AA$8:$AA$77))/6</f>
        <v/>
      </c>
      <c r="AU28" s="527">
        <f>SUM($V$5:$V$7,$AA$8:$AA$77)*AP28/SUM($AP$25:$AP$30)</f>
        <v/>
      </c>
      <c r="AV28" s="507">
        <f>AQ28</f>
        <v/>
      </c>
    </row>
    <row r="29">
      <c r="B29" s="9" t="inlineStr">
        <is>
          <t>(계산용) 선납 할인금 월할 (V-)</t>
        </is>
      </c>
      <c r="C29" s="506">
        <f>C28/C7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$C$16</f>
        <v/>
      </c>
      <c r="K29" s="516">
        <f>J29-L29-M29-N29</f>
        <v/>
      </c>
      <c r="L29" s="517">
        <f>$C$11/$C$7</f>
        <v/>
      </c>
      <c r="M29" s="517">
        <f>$C$12/$C$7</f>
        <v/>
      </c>
      <c r="N29" s="518">
        <f>$C$13/$C$7</f>
        <v/>
      </c>
      <c r="O29" s="515">
        <f>$C$32</f>
        <v/>
      </c>
      <c r="P29" s="516">
        <f>O29-Q29-R29-S29</f>
        <v/>
      </c>
      <c r="Q29" s="500">
        <f>$C$11/$C$7-$AQ$5-$AQ$11</f>
        <v/>
      </c>
      <c r="R29" s="500">
        <f>$C$12/$C$7-$AQ$6-$AQ$12</f>
        <v/>
      </c>
      <c r="S29" s="518">
        <f>$C$13/$C$7-$AQ$7-$AQ$13</f>
        <v/>
      </c>
      <c r="T29" s="693">
        <f>$C$43</f>
        <v/>
      </c>
      <c r="U29" s="694">
        <f>T29-V29-W29-X29</f>
        <v/>
      </c>
      <c r="V29" s="695">
        <f>$C$11/$C$7-$AQ$5-$AQ$11-$AQ$17</f>
        <v/>
      </c>
      <c r="W29" s="695">
        <f>$C$12/$C$7-$AQ$6-$AQ$12-$AQ$18</f>
        <v/>
      </c>
      <c r="X29" s="696">
        <f>$C$13/$C$7-$AQ$7-$AQ$13-$AQ$19</f>
        <v/>
      </c>
      <c r="Y29" s="515">
        <f>O29</f>
        <v/>
      </c>
      <c r="Z29" s="516">
        <f>P29</f>
        <v/>
      </c>
      <c r="AA29" s="517">
        <f>Q29</f>
        <v/>
      </c>
      <c r="AB29" s="517">
        <f>R29</f>
        <v/>
      </c>
      <c r="AC29" s="518">
        <f>S29</f>
        <v/>
      </c>
      <c r="AD29" s="517" t="n"/>
      <c r="AE29" s="646" t="n"/>
      <c r="AF29" s="646" t="n"/>
      <c r="AG29" s="518" t="n"/>
      <c r="AH29" s="92" t="n"/>
      <c r="AI29" s="196">
        <f>H29-G29+1</f>
        <v/>
      </c>
      <c r="AJ29" s="92" t="n"/>
      <c r="AK29" s="206" t="n"/>
      <c r="AL29" s="206" t="n"/>
      <c r="AM29" s="94" t="n"/>
      <c r="AO29" s="527" t="inlineStr">
        <is>
          <t>5회차</t>
        </is>
      </c>
      <c r="AP29" s="506" t="n">
        <v>59600</v>
      </c>
      <c r="AQ29" s="506">
        <f>AP29-($AQ$5+$AQ$11)*12</f>
        <v/>
      </c>
      <c r="AR29" s="506">
        <f>AP29-($AQ$5+$AQ$11+$AQ$17)*12-($C$11/$C$7-$AQ$5-$AQ$11-$AQ$17)*6*12/$C$7</f>
        <v/>
      </c>
      <c r="AS29" s="506">
        <f>AQ29-(SUM($Q$5:$Q$77)-SUM($V$5:$V$7,$AA$8:$AA$77))/6</f>
        <v/>
      </c>
      <c r="AU29" s="527">
        <f>SUM($V$5:$V$7,$AA$8:$AA$77)*AP29/SUM($AP$25:$AP$30)</f>
        <v/>
      </c>
      <c r="AV29" s="507">
        <f>AQ29</f>
        <v/>
      </c>
    </row>
    <row r="30">
      <c r="B30" s="9" t="inlineStr">
        <is>
          <t>(계산용) 선납 할인금 월할 보정 (V-)</t>
        </is>
      </c>
      <c r="C30" s="506">
        <f>ROUNDUP(C29,-2)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$C$16</f>
        <v/>
      </c>
      <c r="K30" s="516">
        <f>J30-L30-M30-N30</f>
        <v/>
      </c>
      <c r="L30" s="517">
        <f>$C$11/$C$7</f>
        <v/>
      </c>
      <c r="M30" s="517">
        <f>$C$12/$C$7</f>
        <v/>
      </c>
      <c r="N30" s="518">
        <f>$C$13/$C$7</f>
        <v/>
      </c>
      <c r="O30" s="515">
        <f>$C$32</f>
        <v/>
      </c>
      <c r="P30" s="516">
        <f>O30-Q30-R30-S30</f>
        <v/>
      </c>
      <c r="Q30" s="500">
        <f>$C$11/$C$7-$AQ$5-$AQ$11</f>
        <v/>
      </c>
      <c r="R30" s="500">
        <f>$C$12/$C$7-$AQ$6-$AQ$12</f>
        <v/>
      </c>
      <c r="S30" s="518">
        <f>$C$13/$C$7-$AQ$7-$AQ$13</f>
        <v/>
      </c>
      <c r="T30" s="693">
        <f>$C$43</f>
        <v/>
      </c>
      <c r="U30" s="694">
        <f>T30-V30-W30-X30</f>
        <v/>
      </c>
      <c r="V30" s="695">
        <f>$C$11/$C$7-$AQ$5-$AQ$11-$AQ$17</f>
        <v/>
      </c>
      <c r="W30" s="695">
        <f>$C$12/$C$7-$AQ$6-$AQ$12-$AQ$18</f>
        <v/>
      </c>
      <c r="X30" s="696">
        <f>$C$13/$C$7-$AQ$7-$AQ$13-$AQ$19</f>
        <v/>
      </c>
      <c r="Y30" s="515">
        <f>O30</f>
        <v/>
      </c>
      <c r="Z30" s="516">
        <f>P30</f>
        <v/>
      </c>
      <c r="AA30" s="517">
        <f>Q30</f>
        <v/>
      </c>
      <c r="AB30" s="517">
        <f>R30</f>
        <v/>
      </c>
      <c r="AC30" s="518">
        <f>S30</f>
        <v/>
      </c>
      <c r="AD30" s="517" t="n"/>
      <c r="AE30" s="646" t="n"/>
      <c r="AF30" s="646" t="n"/>
      <c r="AG30" s="518" t="n"/>
      <c r="AH30" s="92" t="n"/>
      <c r="AI30" s="196">
        <f>H30-G30+1</f>
        <v/>
      </c>
      <c r="AJ30" s="92" t="n"/>
      <c r="AK30" s="206" t="n"/>
      <c r="AL30" s="206" t="n"/>
      <c r="AM30" s="94" t="n"/>
      <c r="AO30" s="527" t="inlineStr">
        <is>
          <t>6회차</t>
        </is>
      </c>
      <c r="AP30" s="506" t="n">
        <v>93200</v>
      </c>
      <c r="AQ30" s="506">
        <f>AP30-($AQ$5+$AQ$11)*12</f>
        <v/>
      </c>
      <c r="AR30" s="506">
        <f>AP30-($AQ$5+$AQ$11+$AQ$17)*12-($C$11/$C$7-$AQ$5-$AQ$11-$AQ$17)*6*12/$C$7</f>
        <v/>
      </c>
      <c r="AS30" s="506">
        <f>AQ30-(SUM($Q$5:$Q$77)-SUM($V$5:$V$7,$AA$8:$AA$77))/6</f>
        <v/>
      </c>
      <c r="AU30" s="527">
        <f>SUM($V$5:$V$7,$AA$8:$AA$77)*AP30/SUM($AP$25:$AP$30)</f>
        <v/>
      </c>
      <c r="AV30" s="507">
        <f>AQ30</f>
        <v/>
      </c>
    </row>
    <row r="31">
      <c r="B31" s="63" t="inlineStr">
        <is>
          <t>(최종) 선납 할인금 (V-)</t>
        </is>
      </c>
      <c r="C31" s="506">
        <f>C30*C7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$C$16</f>
        <v/>
      </c>
      <c r="K31" s="516">
        <f>J31-L31-M31-N31</f>
        <v/>
      </c>
      <c r="L31" s="517">
        <f>$C$11/$C$7</f>
        <v/>
      </c>
      <c r="M31" s="517">
        <f>$C$12/$C$7</f>
        <v/>
      </c>
      <c r="N31" s="518">
        <f>$C$13/$C$7</f>
        <v/>
      </c>
      <c r="O31" s="515">
        <f>$C$32</f>
        <v/>
      </c>
      <c r="P31" s="516">
        <f>O31-Q31-R31-S31</f>
        <v/>
      </c>
      <c r="Q31" s="500">
        <f>$C$11/$C$7-$AQ$5-$AQ$11</f>
        <v/>
      </c>
      <c r="R31" s="500">
        <f>$C$12/$C$7-$AQ$6-$AQ$12</f>
        <v/>
      </c>
      <c r="S31" s="518">
        <f>$C$13/$C$7-$AQ$7-$AQ$13</f>
        <v/>
      </c>
      <c r="T31" s="693">
        <f>$C$43</f>
        <v/>
      </c>
      <c r="U31" s="694">
        <f>T31-V31-W31-X31</f>
        <v/>
      </c>
      <c r="V31" s="695">
        <f>$C$11/$C$7-$AQ$5-$AQ$11-$AQ$17</f>
        <v/>
      </c>
      <c r="W31" s="695">
        <f>$C$12/$C$7-$AQ$6-$AQ$12-$AQ$18</f>
        <v/>
      </c>
      <c r="X31" s="696">
        <f>$C$13/$C$7-$AQ$7-$AQ$13-$AQ$19</f>
        <v/>
      </c>
      <c r="Y31" s="515">
        <f>O31</f>
        <v/>
      </c>
      <c r="Z31" s="516">
        <f>P31</f>
        <v/>
      </c>
      <c r="AA31" s="517">
        <f>Q31</f>
        <v/>
      </c>
      <c r="AB31" s="517">
        <f>R31</f>
        <v/>
      </c>
      <c r="AC31" s="518">
        <f>S31</f>
        <v/>
      </c>
      <c r="AD31" s="517" t="n"/>
      <c r="AE31" s="646" t="n"/>
      <c r="AF31" s="646" t="n"/>
      <c r="AG31" s="518" t="n"/>
      <c r="AH31" s="92" t="n"/>
      <c r="AI31" s="196">
        <f>H31-G31+1</f>
        <v/>
      </c>
      <c r="AJ31" s="92" t="n"/>
      <c r="AK31" s="206" t="n"/>
      <c r="AL31" s="206" t="n"/>
      <c r="AM31" s="94" t="n"/>
      <c r="AP31" s="500">
        <f>SUM(AP25:AP30)</f>
        <v/>
      </c>
      <c r="AQ31" s="500">
        <f>SUM(AQ25:AQ30)</f>
        <v/>
      </c>
      <c r="AR31" s="500">
        <f>SUM(AR25:AR30)</f>
        <v/>
      </c>
      <c r="AS31" s="500">
        <f>SUM(AS25:AS30)</f>
        <v/>
      </c>
      <c r="AU31" s="500">
        <f>SUM(AU25:AU30)</f>
        <v/>
      </c>
      <c r="AV31" s="500">
        <f>SUM(AV25:AV30)</f>
        <v/>
      </c>
    </row>
    <row r="32">
      <c r="B32" s="9" t="inlineStr">
        <is>
          <t>(최종) 선납금+선납 할인 반영 월 구독료 (V-)</t>
        </is>
      </c>
      <c r="C32" s="506">
        <f>(C15-C27-C31)/C7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$C$16</f>
        <v/>
      </c>
      <c r="K32" s="516">
        <f>J32-L32-M32-N32</f>
        <v/>
      </c>
      <c r="L32" s="517">
        <f>$C$11/$C$7</f>
        <v/>
      </c>
      <c r="M32" s="517">
        <f>$C$12/$C$7</f>
        <v/>
      </c>
      <c r="N32" s="518">
        <f>$C$13/$C$7</f>
        <v/>
      </c>
      <c r="O32" s="515">
        <f>$C$32</f>
        <v/>
      </c>
      <c r="P32" s="516">
        <f>O32-Q32-R32-S32</f>
        <v/>
      </c>
      <c r="Q32" s="500">
        <f>$C$11/$C$7-$AQ$5-$AQ$11</f>
        <v/>
      </c>
      <c r="R32" s="500">
        <f>$C$12/$C$7-$AQ$6-$AQ$12</f>
        <v/>
      </c>
      <c r="S32" s="518">
        <f>$C$13/$C$7-$AQ$7-$AQ$13</f>
        <v/>
      </c>
      <c r="T32" s="693">
        <f>$C$43</f>
        <v/>
      </c>
      <c r="U32" s="694">
        <f>T32-V32-W32-X32</f>
        <v/>
      </c>
      <c r="V32" s="695">
        <f>$C$11/$C$7-$AQ$5-$AQ$11-$AQ$17</f>
        <v/>
      </c>
      <c r="W32" s="695">
        <f>$C$12/$C$7-$AQ$6-$AQ$12-$AQ$18</f>
        <v/>
      </c>
      <c r="X32" s="696">
        <f>$C$13/$C$7-$AQ$7-$AQ$13-$AQ$19</f>
        <v/>
      </c>
      <c r="Y32" s="515">
        <f>O32</f>
        <v/>
      </c>
      <c r="Z32" s="516">
        <f>P32</f>
        <v/>
      </c>
      <c r="AA32" s="517">
        <f>Q32</f>
        <v/>
      </c>
      <c r="AB32" s="517">
        <f>R32</f>
        <v/>
      </c>
      <c r="AC32" s="518">
        <f>S32</f>
        <v/>
      </c>
      <c r="AD32" s="517" t="n"/>
      <c r="AE32" s="646" t="n"/>
      <c r="AF32" s="646" t="n"/>
      <c r="AG32" s="518" t="n"/>
      <c r="AH32" s="92" t="n"/>
      <c r="AI32" s="196">
        <f>H32-G32+1</f>
        <v/>
      </c>
      <c r="AJ32" s="92" t="n"/>
      <c r="AK32" s="206" t="n"/>
      <c r="AL32" s="206" t="n"/>
      <c r="AM32" s="94" t="n"/>
      <c r="AS32" s="500">
        <f>SUM(V5:V7,AA8:AA77)</f>
        <v/>
      </c>
    </row>
    <row r="33">
      <c r="B33" s="9" t="inlineStr">
        <is>
          <t>(최종) 선납금+선납 할인 반영 총 구독료 (V-)</t>
        </is>
      </c>
      <c r="C33" s="506">
        <f>C32*C7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$C$16</f>
        <v/>
      </c>
      <c r="K33" s="516">
        <f>J33-L33-M33-N33</f>
        <v/>
      </c>
      <c r="L33" s="517">
        <f>$C$11/$C$7</f>
        <v/>
      </c>
      <c r="M33" s="517">
        <f>$C$12/$C$7</f>
        <v/>
      </c>
      <c r="N33" s="518">
        <f>$C$13/$C$7</f>
        <v/>
      </c>
      <c r="O33" s="515">
        <f>$C$32</f>
        <v/>
      </c>
      <c r="P33" s="516">
        <f>O33-Q33-R33-S33</f>
        <v/>
      </c>
      <c r="Q33" s="500">
        <f>$C$11/$C$7-$AQ$5-$AQ$11</f>
        <v/>
      </c>
      <c r="R33" s="500">
        <f>$C$12/$C$7-$AQ$6-$AQ$12</f>
        <v/>
      </c>
      <c r="S33" s="518">
        <f>$C$13/$C$7-$AQ$7-$AQ$13</f>
        <v/>
      </c>
      <c r="T33" s="693">
        <f>$C$43</f>
        <v/>
      </c>
      <c r="U33" s="694">
        <f>T33-V33-W33-X33</f>
        <v/>
      </c>
      <c r="V33" s="695">
        <f>$C$11/$C$7-$AQ$5-$AQ$11-$AQ$17</f>
        <v/>
      </c>
      <c r="W33" s="695">
        <f>$C$12/$C$7-$AQ$6-$AQ$12-$AQ$18</f>
        <v/>
      </c>
      <c r="X33" s="696">
        <f>$C$13/$C$7-$AQ$7-$AQ$13-$AQ$19</f>
        <v/>
      </c>
      <c r="Y33" s="515">
        <f>O33</f>
        <v/>
      </c>
      <c r="Z33" s="516">
        <f>P33</f>
        <v/>
      </c>
      <c r="AA33" s="517">
        <f>Q33</f>
        <v/>
      </c>
      <c r="AB33" s="517">
        <f>R33</f>
        <v/>
      </c>
      <c r="AC33" s="518">
        <f>S33</f>
        <v/>
      </c>
      <c r="AD33" s="517" t="n"/>
      <c r="AE33" s="646" t="n"/>
      <c r="AF33" s="646" t="n"/>
      <c r="AG33" s="518" t="n"/>
      <c r="AH33" s="92" t="n"/>
      <c r="AI33" s="196">
        <f>H33-G33+1</f>
        <v/>
      </c>
      <c r="AJ33" s="92" t="n"/>
      <c r="AK33" s="206" t="n"/>
      <c r="AL33" s="206" t="n"/>
      <c r="AM33" s="94" t="n"/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$C$16</f>
        <v/>
      </c>
      <c r="K34" s="516">
        <f>J34-L34-M34-N34</f>
        <v/>
      </c>
      <c r="L34" s="517">
        <f>$C$11/$C$7</f>
        <v/>
      </c>
      <c r="M34" s="517">
        <f>$C$12/$C$7</f>
        <v/>
      </c>
      <c r="N34" s="518">
        <f>$C$13/$C$7</f>
        <v/>
      </c>
      <c r="O34" s="515">
        <f>$C$32</f>
        <v/>
      </c>
      <c r="P34" s="516">
        <f>O34-Q34-R34-S34</f>
        <v/>
      </c>
      <c r="Q34" s="500">
        <f>$C$11/$C$7-$AQ$5-$AQ$11</f>
        <v/>
      </c>
      <c r="R34" s="500">
        <f>$C$12/$C$7-$AQ$6-$AQ$12</f>
        <v/>
      </c>
      <c r="S34" s="518">
        <f>$C$13/$C$7-$AQ$7-$AQ$13</f>
        <v/>
      </c>
      <c r="T34" s="693">
        <f>$C$43</f>
        <v/>
      </c>
      <c r="U34" s="694">
        <f>T34-V34-W34-X34</f>
        <v/>
      </c>
      <c r="V34" s="695">
        <f>$C$11/$C$7-$AQ$5-$AQ$11-$AQ$17</f>
        <v/>
      </c>
      <c r="W34" s="695">
        <f>$C$12/$C$7-$AQ$6-$AQ$12-$AQ$18</f>
        <v/>
      </c>
      <c r="X34" s="696">
        <f>$C$13/$C$7-$AQ$7-$AQ$13-$AQ$19</f>
        <v/>
      </c>
      <c r="Y34" s="515">
        <f>O34</f>
        <v/>
      </c>
      <c r="Z34" s="516">
        <f>P34</f>
        <v/>
      </c>
      <c r="AA34" s="517">
        <f>Q34</f>
        <v/>
      </c>
      <c r="AB34" s="517">
        <f>R34</f>
        <v/>
      </c>
      <c r="AC34" s="518">
        <f>S34</f>
        <v/>
      </c>
      <c r="AD34" s="517" t="n"/>
      <c r="AE34" s="646" t="n"/>
      <c r="AF34" s="646" t="n"/>
      <c r="AG34" s="518" t="n"/>
      <c r="AH34" s="92" t="n"/>
      <c r="AI34" s="196">
        <f>H34-G34+1</f>
        <v/>
      </c>
      <c r="AJ34" s="92" t="n"/>
      <c r="AK34" s="206" t="n"/>
      <c r="AL34" s="206" t="n"/>
      <c r="AM34" s="94" t="n"/>
      <c r="AO34" s="500" t="inlineStr">
        <is>
          <t>보증연장 매출</t>
        </is>
      </c>
      <c r="AV34" s="206" t="inlineStr">
        <is>
          <t>결합이 없는 경우의 매출 그대로 인식</t>
        </is>
      </c>
    </row>
    <row r="35" ht="17.45" customHeight="1" s="497">
      <c r="B35" s="9" t="inlineStr">
        <is>
          <t>선납금+선납 할인 반영 순수 구독료 (V-)</t>
        </is>
      </c>
      <c r="C35" s="506">
        <f>C33-C11-C12-C13+SUM(AU11:AU14,AU18:AU21)*C7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$C$16</f>
        <v/>
      </c>
      <c r="K35" s="516">
        <f>J35-L35-M35-N35</f>
        <v/>
      </c>
      <c r="L35" s="517">
        <f>$C$11/$C$7</f>
        <v/>
      </c>
      <c r="M35" s="517">
        <f>$C$12/$C$7</f>
        <v/>
      </c>
      <c r="N35" s="518">
        <f>$C$13/$C$7</f>
        <v/>
      </c>
      <c r="O35" s="515">
        <f>$C$32</f>
        <v/>
      </c>
      <c r="P35" s="516">
        <f>O35-Q35-R35-S35</f>
        <v/>
      </c>
      <c r="Q35" s="500">
        <f>$C$11/$C$7-$AQ$5-$AQ$11</f>
        <v/>
      </c>
      <c r="R35" s="500">
        <f>$C$12/$C$7-$AQ$6-$AQ$12</f>
        <v/>
      </c>
      <c r="S35" s="518">
        <f>$C$13/$C$7-$AQ$7-$AQ$13</f>
        <v/>
      </c>
      <c r="T35" s="693">
        <f>$C$43</f>
        <v/>
      </c>
      <c r="U35" s="694">
        <f>T35-V35-W35-X35</f>
        <v/>
      </c>
      <c r="V35" s="695">
        <f>$C$11/$C$7-$AQ$5-$AQ$11-$AQ$17</f>
        <v/>
      </c>
      <c r="W35" s="695">
        <f>$C$12/$C$7-$AQ$6-$AQ$12-$AQ$18</f>
        <v/>
      </c>
      <c r="X35" s="696">
        <f>$C$13/$C$7-$AQ$7-$AQ$13-$AQ$19</f>
        <v/>
      </c>
      <c r="Y35" s="515">
        <f>O35</f>
        <v/>
      </c>
      <c r="Z35" s="516">
        <f>P35</f>
        <v/>
      </c>
      <c r="AA35" s="517">
        <f>Q35</f>
        <v/>
      </c>
      <c r="AB35" s="517">
        <f>R35</f>
        <v/>
      </c>
      <c r="AC35" s="518">
        <f>S35</f>
        <v/>
      </c>
      <c r="AD35" s="517" t="n"/>
      <c r="AE35" s="646" t="n"/>
      <c r="AF35" s="646" t="n"/>
      <c r="AG35" s="518" t="n"/>
      <c r="AH35" s="92" t="n"/>
      <c r="AI35" s="196">
        <f>H35-G35+1</f>
        <v/>
      </c>
      <c r="AJ35" s="92" t="n"/>
      <c r="AK35" s="206" t="n"/>
      <c r="AL35" s="206" t="n"/>
      <c r="AM35" s="94" t="n"/>
      <c r="AO35" s="2" t="n"/>
      <c r="AP35" s="2" t="inlineStr">
        <is>
          <t>기존</t>
        </is>
      </c>
      <c r="AQ35" s="2" t="inlineStr">
        <is>
          <t>선납+선납할인</t>
        </is>
      </c>
      <c r="AR35" s="2" t="inlineStr">
        <is>
          <t>선납+결합할인+6개월 할인</t>
        </is>
      </c>
      <c r="AS35" s="2" t="inlineStr">
        <is>
          <t>선납+결합할인+6개월 할인 ('25.11 결합해지 시)</t>
        </is>
      </c>
      <c r="AV35" s="2" t="inlineStr">
        <is>
          <t>결합해지 시</t>
        </is>
      </c>
    </row>
    <row r="36">
      <c r="B36" s="9" t="inlineStr">
        <is>
          <t>선납금+선납 할인 반영 순수 구독료 월할 (V-)</t>
        </is>
      </c>
      <c r="C36" s="506">
        <f>C35/C7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$C$16</f>
        <v/>
      </c>
      <c r="K36" s="516">
        <f>J36-L36-M36-N36</f>
        <v/>
      </c>
      <c r="L36" s="517">
        <f>$C$11/$C$7</f>
        <v/>
      </c>
      <c r="M36" s="517">
        <f>$C$12/$C$7</f>
        <v/>
      </c>
      <c r="N36" s="518">
        <f>$C$13/$C$7</f>
        <v/>
      </c>
      <c r="O36" s="515">
        <f>$C$32</f>
        <v/>
      </c>
      <c r="P36" s="516">
        <f>O36-Q36-R36-S36</f>
        <v/>
      </c>
      <c r="Q36" s="500">
        <f>$C$11/$C$7-$AQ$5-$AQ$11</f>
        <v/>
      </c>
      <c r="R36" s="500">
        <f>$C$12/$C$7-$AQ$6-$AQ$12</f>
        <v/>
      </c>
      <c r="S36" s="518">
        <f>$C$13/$C$7-$AQ$7-$AQ$13</f>
        <v/>
      </c>
      <c r="T36" s="693">
        <f>$C$43</f>
        <v/>
      </c>
      <c r="U36" s="694">
        <f>T36-V36-W36-X36</f>
        <v/>
      </c>
      <c r="V36" s="695">
        <f>$C$11/$C$7-$AQ$5-$AQ$11-$AQ$17</f>
        <v/>
      </c>
      <c r="W36" s="695">
        <f>$C$12/$C$7-$AQ$6-$AQ$12-$AQ$18</f>
        <v/>
      </c>
      <c r="X36" s="696">
        <f>$C$13/$C$7-$AQ$7-$AQ$13-$AQ$19</f>
        <v/>
      </c>
      <c r="Y36" s="515">
        <f>O36</f>
        <v/>
      </c>
      <c r="Z36" s="516">
        <f>P36</f>
        <v/>
      </c>
      <c r="AA36" s="517">
        <f>Q36</f>
        <v/>
      </c>
      <c r="AB36" s="517">
        <f>R36</f>
        <v/>
      </c>
      <c r="AC36" s="518">
        <f>S36</f>
        <v/>
      </c>
      <c r="AD36" s="517" t="n"/>
      <c r="AE36" s="646" t="n"/>
      <c r="AF36" s="646" t="n"/>
      <c r="AG36" s="518" t="n"/>
      <c r="AH36" s="92" t="n"/>
      <c r="AI36" s="196">
        <f>H36-G36+1</f>
        <v/>
      </c>
      <c r="AJ36" s="92" t="n"/>
      <c r="AK36" s="206" t="n"/>
      <c r="AL36" s="206" t="n"/>
      <c r="AM36" s="94" t="n"/>
      <c r="AO36" s="527" t="inlineStr">
        <is>
          <t>13개월~</t>
        </is>
      </c>
      <c r="AP36" s="506">
        <f>C12/(C7-12)</f>
        <v/>
      </c>
      <c r="AQ36" s="506">
        <f>(C12-SUM(AQ6,AQ12)*C7)/(C7-12)</f>
        <v/>
      </c>
      <c r="AR36" s="506">
        <f>(C12-SUM(AQ6,AQ12,AQ18)*C7-($C$12/$C$7-$AQ$6-$AQ$12-$AQ$18)*6)/(C7-12)</f>
        <v/>
      </c>
      <c r="AS36" s="506">
        <f>(C12-SUM(AQ6,AQ12)*C7-($C$12/$C$7-$AQ$6-$AQ$12-$AQ$18)*2-($C$12/$C$7-$AQ$6-$AQ$12)*4)/(C7-12)</f>
        <v/>
      </c>
      <c r="AV36" s="2">
        <f>(C12-SUM(AQ6,AQ12)*C7-($C$12/$C$7-$AQ$6-$AQ$12)*6)/(C7-12)</f>
        <v/>
      </c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$C$16</f>
        <v/>
      </c>
      <c r="K37" s="516">
        <f>J37-L37-M37-N37</f>
        <v/>
      </c>
      <c r="L37" s="517">
        <f>$C$11/$C$7</f>
        <v/>
      </c>
      <c r="M37" s="517">
        <f>$C$12/$C$7</f>
        <v/>
      </c>
      <c r="N37" s="518">
        <f>$C$13/$C$7</f>
        <v/>
      </c>
      <c r="O37" s="515">
        <f>$C$32</f>
        <v/>
      </c>
      <c r="P37" s="516">
        <f>O37-Q37-R37-S37</f>
        <v/>
      </c>
      <c r="Q37" s="500">
        <f>$C$11/$C$7-$AQ$5-$AQ$11</f>
        <v/>
      </c>
      <c r="R37" s="500">
        <f>$C$12/$C$7-$AQ$6-$AQ$12</f>
        <v/>
      </c>
      <c r="S37" s="518">
        <f>$C$13/$C$7-$AQ$7-$AQ$13</f>
        <v/>
      </c>
      <c r="T37" s="693">
        <f>$C$43</f>
        <v/>
      </c>
      <c r="U37" s="694">
        <f>T37-V37-W37-X37</f>
        <v/>
      </c>
      <c r="V37" s="695">
        <f>$C$11/$C$7-$AQ$5-$AQ$11-$AQ$17</f>
        <v/>
      </c>
      <c r="W37" s="695">
        <f>$C$12/$C$7-$AQ$6-$AQ$12-$AQ$18</f>
        <v/>
      </c>
      <c r="X37" s="696">
        <f>$C$13/$C$7-$AQ$7-$AQ$13-$AQ$19</f>
        <v/>
      </c>
      <c r="Y37" s="515">
        <f>O37</f>
        <v/>
      </c>
      <c r="Z37" s="516">
        <f>P37</f>
        <v/>
      </c>
      <c r="AA37" s="517">
        <f>Q37</f>
        <v/>
      </c>
      <c r="AB37" s="517">
        <f>R37</f>
        <v/>
      </c>
      <c r="AC37" s="518">
        <f>S37</f>
        <v/>
      </c>
      <c r="AD37" s="517" t="n"/>
      <c r="AE37" s="646" t="n"/>
      <c r="AF37" s="646" t="n"/>
      <c r="AG37" s="518" t="n"/>
      <c r="AH37" s="92" t="n"/>
      <c r="AI37" s="196">
        <f>H37-G37+1</f>
        <v/>
      </c>
      <c r="AJ37" s="92" t="n"/>
      <c r="AK37" s="206" t="n"/>
      <c r="AL37" s="206" t="n"/>
      <c r="AM37" s="94" t="n"/>
      <c r="AQ37" s="206">
        <f>SUM(R5:R77)/(C7-12)</f>
        <v/>
      </c>
      <c r="AR37" s="206">
        <f>SUM(W5:W77)/(C7-12)</f>
        <v/>
      </c>
      <c r="AS37" s="517">
        <f>SUM(W5:W7,AB8:AB77)/(C7-12)</f>
        <v/>
      </c>
      <c r="AV37" s="539">
        <f>SUM(R5,R12:R77)/60</f>
        <v/>
      </c>
    </row>
    <row r="38">
      <c r="A38" s="176" t="n"/>
      <c r="B38" s="9" t="inlineStr">
        <is>
          <t>다품목 할인율 %</t>
        </is>
      </c>
      <c r="C38" s="288" t="n">
        <v>0.05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$C$16</f>
        <v/>
      </c>
      <c r="K38" s="516">
        <f>J38-L38-M38-N38</f>
        <v/>
      </c>
      <c r="L38" s="517">
        <f>$C$11/$C$7</f>
        <v/>
      </c>
      <c r="M38" s="517">
        <f>$C$12/$C$7</f>
        <v/>
      </c>
      <c r="N38" s="518">
        <f>$C$13/$C$7</f>
        <v/>
      </c>
      <c r="O38" s="515">
        <f>$C$32</f>
        <v/>
      </c>
      <c r="P38" s="516">
        <f>O38-Q38-R38-S38</f>
        <v/>
      </c>
      <c r="Q38" s="500">
        <f>$C$11/$C$7-$AQ$5-$AQ$11</f>
        <v/>
      </c>
      <c r="R38" s="500">
        <f>$C$12/$C$7-$AQ$6-$AQ$12</f>
        <v/>
      </c>
      <c r="S38" s="518">
        <f>$C$13/$C$7-$AQ$7-$AQ$13</f>
        <v/>
      </c>
      <c r="T38" s="693">
        <f>$C$43</f>
        <v/>
      </c>
      <c r="U38" s="694">
        <f>T38-V38-W38-X38</f>
        <v/>
      </c>
      <c r="V38" s="695">
        <f>$C$11/$C$7-$AQ$5-$AQ$11-$AQ$17</f>
        <v/>
      </c>
      <c r="W38" s="695">
        <f>$C$12/$C$7-$AQ$6-$AQ$12-$AQ$18</f>
        <v/>
      </c>
      <c r="X38" s="696">
        <f>$C$13/$C$7-$AQ$7-$AQ$13-$AQ$19</f>
        <v/>
      </c>
      <c r="Y38" s="515">
        <f>O38</f>
        <v/>
      </c>
      <c r="Z38" s="516">
        <f>P38</f>
        <v/>
      </c>
      <c r="AA38" s="517">
        <f>Q38</f>
        <v/>
      </c>
      <c r="AB38" s="517">
        <f>R38</f>
        <v/>
      </c>
      <c r="AC38" s="518">
        <f>S38</f>
        <v/>
      </c>
      <c r="AD38" s="517" t="n"/>
      <c r="AE38" s="646" t="n"/>
      <c r="AF38" s="646" t="n"/>
      <c r="AG38" s="518" t="n"/>
      <c r="AH38" s="92" t="n"/>
      <c r="AI38" s="196">
        <f>H38-G38+1</f>
        <v/>
      </c>
      <c r="AJ38" s="92" t="n"/>
      <c r="AK38" s="206" t="n"/>
      <c r="AL38" s="206" t="n"/>
      <c r="AM38" s="94" t="n"/>
    </row>
    <row r="39">
      <c r="A39" s="176" t="n"/>
      <c r="B39" s="9" t="inlineStr">
        <is>
          <t>(계산용) 할인금(v-) (총구독료 v+ 기준)</t>
        </is>
      </c>
      <c r="C39" s="506">
        <f>C17*C38/1.1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$C$16</f>
        <v/>
      </c>
      <c r="K39" s="516">
        <f>J39-L39-M39-N39</f>
        <v/>
      </c>
      <c r="L39" s="517">
        <f>$C$11/$C$7</f>
        <v/>
      </c>
      <c r="M39" s="517">
        <f>$C$12/$C$7</f>
        <v/>
      </c>
      <c r="N39" s="518">
        <f>$C$13/$C$7</f>
        <v/>
      </c>
      <c r="O39" s="515">
        <f>$C$32</f>
        <v/>
      </c>
      <c r="P39" s="516">
        <f>O39-Q39-R39-S39</f>
        <v/>
      </c>
      <c r="Q39" s="500">
        <f>$C$11/$C$7-$AQ$5-$AQ$11</f>
        <v/>
      </c>
      <c r="R39" s="500">
        <f>$C$12/$C$7-$AQ$6-$AQ$12</f>
        <v/>
      </c>
      <c r="S39" s="518">
        <f>$C$13/$C$7-$AQ$7-$AQ$13</f>
        <v/>
      </c>
      <c r="T39" s="693">
        <f>$C$43</f>
        <v/>
      </c>
      <c r="U39" s="694">
        <f>T39-V39-W39-X39</f>
        <v/>
      </c>
      <c r="V39" s="695">
        <f>$C$11/$C$7-$AQ$5-$AQ$11-$AQ$17</f>
        <v/>
      </c>
      <c r="W39" s="695">
        <f>$C$12/$C$7-$AQ$6-$AQ$12-$AQ$18</f>
        <v/>
      </c>
      <c r="X39" s="696">
        <f>$C$13/$C$7-$AQ$7-$AQ$13-$AQ$19</f>
        <v/>
      </c>
      <c r="Y39" s="515">
        <f>O39</f>
        <v/>
      </c>
      <c r="Z39" s="516">
        <f>P39</f>
        <v/>
      </c>
      <c r="AA39" s="517">
        <f>Q39</f>
        <v/>
      </c>
      <c r="AB39" s="517">
        <f>R39</f>
        <v/>
      </c>
      <c r="AC39" s="518">
        <f>S39</f>
        <v/>
      </c>
      <c r="AD39" s="517" t="n"/>
      <c r="AE39" s="646" t="n"/>
      <c r="AF39" s="646" t="n"/>
      <c r="AG39" s="518" t="n"/>
      <c r="AH39" s="92" t="n"/>
      <c r="AI39" s="196">
        <f>H39-G39+1</f>
        <v/>
      </c>
      <c r="AJ39" s="92" t="n"/>
      <c r="AK39" s="206" t="n"/>
      <c r="AL39" s="206" t="n"/>
      <c r="AM39" s="94" t="n"/>
      <c r="AS39" s="539" t="n"/>
    </row>
    <row r="40">
      <c r="A40" s="176" t="n"/>
      <c r="B40" s="9" t="inlineStr">
        <is>
          <t>(계산용) 할인금 월할 (V-)</t>
        </is>
      </c>
      <c r="C40" s="506">
        <f>C39/C7</f>
        <v/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$C$16</f>
        <v/>
      </c>
      <c r="K40" s="516">
        <f>J40-L40-M40-N40</f>
        <v/>
      </c>
      <c r="L40" s="517">
        <f>$C$11/$C$7</f>
        <v/>
      </c>
      <c r="M40" s="517">
        <f>$C$12/$C$7</f>
        <v/>
      </c>
      <c r="N40" s="518">
        <f>$C$13/$C$7</f>
        <v/>
      </c>
      <c r="O40" s="515">
        <f>$C$32</f>
        <v/>
      </c>
      <c r="P40" s="516">
        <f>O40-Q40-R40-S40</f>
        <v/>
      </c>
      <c r="Q40" s="500">
        <f>$C$11/$C$7-$AQ$5-$AQ$11</f>
        <v/>
      </c>
      <c r="R40" s="500">
        <f>$C$12/$C$7-$AQ$6-$AQ$12</f>
        <v/>
      </c>
      <c r="S40" s="518">
        <f>$C$13/$C$7-$AQ$7-$AQ$13</f>
        <v/>
      </c>
      <c r="T40" s="693">
        <f>$C$43</f>
        <v/>
      </c>
      <c r="U40" s="694">
        <f>T40-V40-W40-X40</f>
        <v/>
      </c>
      <c r="V40" s="695">
        <f>$C$11/$C$7-$AQ$5-$AQ$11-$AQ$17</f>
        <v/>
      </c>
      <c r="W40" s="695">
        <f>$C$12/$C$7-$AQ$6-$AQ$12-$AQ$18</f>
        <v/>
      </c>
      <c r="X40" s="696">
        <f>$C$13/$C$7-$AQ$7-$AQ$13-$AQ$19</f>
        <v/>
      </c>
      <c r="Y40" s="515">
        <f>O40</f>
        <v/>
      </c>
      <c r="Z40" s="516">
        <f>P40</f>
        <v/>
      </c>
      <c r="AA40" s="517">
        <f>Q40</f>
        <v/>
      </c>
      <c r="AB40" s="517">
        <f>R40</f>
        <v/>
      </c>
      <c r="AC40" s="518">
        <f>S40</f>
        <v/>
      </c>
      <c r="AD40" s="517" t="n"/>
      <c r="AE40" s="646" t="n"/>
      <c r="AF40" s="646" t="n"/>
      <c r="AG40" s="518" t="n"/>
      <c r="AH40" s="92" t="n"/>
      <c r="AI40" s="196">
        <f>H40-G40+1</f>
        <v/>
      </c>
      <c r="AJ40" s="92" t="n"/>
      <c r="AK40" s="206" t="n"/>
      <c r="AL40" s="206" t="n"/>
      <c r="AM40" s="94" t="n"/>
      <c r="AO40" s="206" t="inlineStr">
        <is>
          <t>재설치 매출</t>
        </is>
      </c>
      <c r="AV40" s="206" t="inlineStr">
        <is>
          <t>결합이 없는 경우의 매출 그대로 인식</t>
        </is>
      </c>
    </row>
    <row r="41">
      <c r="A41" s="176" t="n"/>
      <c r="B41" s="9" t="inlineStr">
        <is>
          <t>(계산용) 할인금 월할 보정 (V-)</t>
        </is>
      </c>
      <c r="C41" s="506">
        <f>ROUNDUP(C40,-2)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$C$16</f>
        <v/>
      </c>
      <c r="K41" s="516">
        <f>J41-L41-M41-N41</f>
        <v/>
      </c>
      <c r="L41" s="517">
        <f>$C$11/$C$7</f>
        <v/>
      </c>
      <c r="M41" s="517">
        <f>$C$12/$C$7</f>
        <v/>
      </c>
      <c r="N41" s="518">
        <f>$C$13/$C$7</f>
        <v/>
      </c>
      <c r="O41" s="515">
        <f>$C$32</f>
        <v/>
      </c>
      <c r="P41" s="516">
        <f>O41-Q41-R41-S41</f>
        <v/>
      </c>
      <c r="Q41" s="500">
        <f>$C$11/$C$7-$AQ$5-$AQ$11</f>
        <v/>
      </c>
      <c r="R41" s="500">
        <f>$C$12/$C$7-$AQ$6-$AQ$12</f>
        <v/>
      </c>
      <c r="S41" s="518">
        <f>$C$13/$C$7-$AQ$7-$AQ$13</f>
        <v/>
      </c>
      <c r="T41" s="693">
        <f>$C$43</f>
        <v/>
      </c>
      <c r="U41" s="694">
        <f>T41-V41-W41-X41</f>
        <v/>
      </c>
      <c r="V41" s="695">
        <f>$C$11/$C$7-$AQ$5-$AQ$11-$AQ$17</f>
        <v/>
      </c>
      <c r="W41" s="695">
        <f>$C$12/$C$7-$AQ$6-$AQ$12-$AQ$18</f>
        <v/>
      </c>
      <c r="X41" s="696">
        <f>$C$13/$C$7-$AQ$7-$AQ$13-$AQ$19</f>
        <v/>
      </c>
      <c r="Y41" s="515">
        <f>O41</f>
        <v/>
      </c>
      <c r="Z41" s="516">
        <f>P41</f>
        <v/>
      </c>
      <c r="AA41" s="517">
        <f>Q41</f>
        <v/>
      </c>
      <c r="AB41" s="517">
        <f>R41</f>
        <v/>
      </c>
      <c r="AC41" s="518">
        <f>S41</f>
        <v/>
      </c>
      <c r="AD41" s="517" t="n"/>
      <c r="AE41" s="646" t="n"/>
      <c r="AF41" s="646" t="n"/>
      <c r="AG41" s="518" t="n"/>
      <c r="AH41" s="92" t="n"/>
      <c r="AI41" s="196">
        <f>H41-G41+1</f>
        <v/>
      </c>
      <c r="AJ41" s="92" t="n"/>
      <c r="AK41" s="206" t="n"/>
      <c r="AL41" s="206" t="n"/>
      <c r="AM41" s="94" t="n"/>
      <c r="AO41" s="2" t="n"/>
      <c r="AP41" s="2" t="inlineStr">
        <is>
          <t>기존</t>
        </is>
      </c>
      <c r="AQ41" s="2" t="inlineStr">
        <is>
          <t>선납+선납할인</t>
        </is>
      </c>
      <c r="AR41" s="2" t="inlineStr">
        <is>
          <t>선납+결합할인+6개월 할인</t>
        </is>
      </c>
      <c r="AS41" s="2" t="inlineStr">
        <is>
          <t>선납+결합할인+6개월 할인 ('25.11 결합해지 후)</t>
        </is>
      </c>
      <c r="AV41" s="2" t="inlineStr">
        <is>
          <t>결합해지 후</t>
        </is>
      </c>
    </row>
    <row r="42">
      <c r="A42" s="176" t="n"/>
      <c r="B42" s="63" t="inlineStr">
        <is>
          <t>(최종) 할인금 (V-)</t>
        </is>
      </c>
      <c r="C42" s="506">
        <f>C41*C7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$C$16</f>
        <v/>
      </c>
      <c r="K42" s="516">
        <f>J42-L42-M42-N42</f>
        <v/>
      </c>
      <c r="L42" s="517">
        <f>$C$11/$C$7</f>
        <v/>
      </c>
      <c r="M42" s="517">
        <f>$C$12/$C$7</f>
        <v/>
      </c>
      <c r="N42" s="518">
        <f>$C$13/$C$7</f>
        <v/>
      </c>
      <c r="O42" s="515">
        <f>$C$32</f>
        <v/>
      </c>
      <c r="P42" s="516">
        <f>O42-Q42-R42-S42</f>
        <v/>
      </c>
      <c r="Q42" s="500">
        <f>$C$11/$C$7-$AQ$5-$AQ$11</f>
        <v/>
      </c>
      <c r="R42" s="500">
        <f>$C$12/$C$7-$AQ$6-$AQ$12</f>
        <v/>
      </c>
      <c r="S42" s="518">
        <f>$C$13/$C$7-$AQ$7-$AQ$13</f>
        <v/>
      </c>
      <c r="T42" s="693">
        <f>$C$43</f>
        <v/>
      </c>
      <c r="U42" s="694">
        <f>T42-V42-W42-X42</f>
        <v/>
      </c>
      <c r="V42" s="695">
        <f>$C$11/$C$7-$AQ$5-$AQ$11-$AQ$17</f>
        <v/>
      </c>
      <c r="W42" s="695">
        <f>$C$12/$C$7-$AQ$6-$AQ$12-$AQ$18</f>
        <v/>
      </c>
      <c r="X42" s="696">
        <f>$C$13/$C$7-$AQ$7-$AQ$13-$AQ$19</f>
        <v/>
      </c>
      <c r="Y42" s="515">
        <f>O42</f>
        <v/>
      </c>
      <c r="Z42" s="516">
        <f>P42</f>
        <v/>
      </c>
      <c r="AA42" s="517">
        <f>Q42</f>
        <v/>
      </c>
      <c r="AB42" s="517">
        <f>R42</f>
        <v/>
      </c>
      <c r="AC42" s="518">
        <f>S42</f>
        <v/>
      </c>
      <c r="AD42" s="517" t="n"/>
      <c r="AE42" s="646" t="n"/>
      <c r="AF42" s="646" t="n"/>
      <c r="AG42" s="518" t="n"/>
      <c r="AH42" s="92" t="n"/>
      <c r="AI42" s="196">
        <f>H42-G42+1</f>
        <v/>
      </c>
      <c r="AJ42" s="92" t="n"/>
      <c r="AK42" s="206" t="n"/>
      <c r="AL42" s="206" t="n"/>
      <c r="AM42" s="94" t="n"/>
      <c r="AO42" s="2" t="inlineStr">
        <is>
          <t>재설치 발생시</t>
        </is>
      </c>
      <c r="AP42" s="527">
        <f>C13</f>
        <v/>
      </c>
      <c r="AQ42" s="527">
        <f>AP42-(AQ7+AQ13)*C7</f>
        <v/>
      </c>
      <c r="AR42" s="527">
        <f>AP42-(AQ7+AQ13+AQ19)*C7-($C$13/$C$7-$AQ$7-$AQ$13-$AQ$19)*6</f>
        <v/>
      </c>
      <c r="AS42" s="527">
        <f>SUM(X5:X7,AC8:AC77)</f>
        <v/>
      </c>
      <c r="AV42" s="507">
        <f>AP42-(AQ7+AQ13)*C7-($C$13/$C$7-$AQ$7-$AQ$13)*6</f>
        <v/>
      </c>
    </row>
    <row r="43">
      <c r="A43" s="176" t="n"/>
      <c r="B43" s="184" t="inlineStr">
        <is>
          <t>(최종) 선납금+선납 할인+다품목 할인 반영 월 구독료 (V-)</t>
        </is>
      </c>
      <c r="C43" s="506">
        <f>(C15-C27-C31-C42)/C7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$C$16</f>
        <v/>
      </c>
      <c r="K43" s="516">
        <f>J43-L43-M43-N43</f>
        <v/>
      </c>
      <c r="L43" s="517">
        <f>$C$11/$C$7</f>
        <v/>
      </c>
      <c r="M43" s="517">
        <f>$C$12/$C$7</f>
        <v/>
      </c>
      <c r="N43" s="518">
        <f>$C$13/$C$7</f>
        <v/>
      </c>
      <c r="O43" s="515">
        <f>$C$32</f>
        <v/>
      </c>
      <c r="P43" s="516">
        <f>O43-Q43-R43-S43</f>
        <v/>
      </c>
      <c r="Q43" s="500">
        <f>$C$11/$C$7-$AQ$5-$AQ$11</f>
        <v/>
      </c>
      <c r="R43" s="500">
        <f>$C$12/$C$7-$AQ$6-$AQ$12</f>
        <v/>
      </c>
      <c r="S43" s="518">
        <f>$C$13/$C$7-$AQ$7-$AQ$13</f>
        <v/>
      </c>
      <c r="T43" s="693">
        <f>$C$43</f>
        <v/>
      </c>
      <c r="U43" s="694">
        <f>T43-V43-W43-X43</f>
        <v/>
      </c>
      <c r="V43" s="695">
        <f>$C$11/$C$7-$AQ$5-$AQ$11-$AQ$17</f>
        <v/>
      </c>
      <c r="W43" s="695">
        <f>$C$12/$C$7-$AQ$6-$AQ$12-$AQ$18</f>
        <v/>
      </c>
      <c r="X43" s="696">
        <f>$C$13/$C$7-$AQ$7-$AQ$13-$AQ$19</f>
        <v/>
      </c>
      <c r="Y43" s="515">
        <f>O43</f>
        <v/>
      </c>
      <c r="Z43" s="516">
        <f>P43</f>
        <v/>
      </c>
      <c r="AA43" s="517">
        <f>Q43</f>
        <v/>
      </c>
      <c r="AB43" s="517">
        <f>R43</f>
        <v/>
      </c>
      <c r="AC43" s="518">
        <f>S43</f>
        <v/>
      </c>
      <c r="AD43" s="517" t="n"/>
      <c r="AE43" s="646" t="n"/>
      <c r="AF43" s="646" t="n"/>
      <c r="AG43" s="518" t="n"/>
      <c r="AH43" s="92" t="n"/>
      <c r="AI43" s="196">
        <f>H43-G43+1</f>
        <v/>
      </c>
      <c r="AJ43" s="92" t="n"/>
      <c r="AK43" s="206" t="n"/>
      <c r="AL43" s="206" t="n"/>
      <c r="AM43" s="94" t="n"/>
      <c r="AR43" s="500">
        <f>SUM(X5:X77)</f>
        <v/>
      </c>
      <c r="AV43" s="500">
        <f>SUM(S5,S12:S77)</f>
        <v/>
      </c>
    </row>
    <row r="44">
      <c r="A44" s="176" t="n"/>
      <c r="B44" s="184" t="inlineStr">
        <is>
          <t>(최종) 선납금+선납 할인+다품목 할인 반영 총 구독료 (V-)</t>
        </is>
      </c>
      <c r="C44" s="506">
        <f>C43*C7</f>
        <v/>
      </c>
      <c r="D44" s="505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$C$16</f>
        <v/>
      </c>
      <c r="K44" s="516">
        <f>J44-L44-M44-N44</f>
        <v/>
      </c>
      <c r="L44" s="517">
        <f>$C$11/$C$7</f>
        <v/>
      </c>
      <c r="M44" s="517">
        <f>$C$12/$C$7</f>
        <v/>
      </c>
      <c r="N44" s="518">
        <f>$C$13/$C$7</f>
        <v/>
      </c>
      <c r="O44" s="515">
        <f>$C$32</f>
        <v/>
      </c>
      <c r="P44" s="516">
        <f>O44-Q44-R44-S44</f>
        <v/>
      </c>
      <c r="Q44" s="500">
        <f>$C$11/$C$7-$AQ$5-$AQ$11</f>
        <v/>
      </c>
      <c r="R44" s="500">
        <f>$C$12/$C$7-$AQ$6-$AQ$12</f>
        <v/>
      </c>
      <c r="S44" s="518">
        <f>$C$13/$C$7-$AQ$7-$AQ$13</f>
        <v/>
      </c>
      <c r="T44" s="693">
        <f>$C$43</f>
        <v/>
      </c>
      <c r="U44" s="694">
        <f>T44-V44-W44-X44</f>
        <v/>
      </c>
      <c r="V44" s="695">
        <f>$C$11/$C$7-$AQ$5-$AQ$11-$AQ$17</f>
        <v/>
      </c>
      <c r="W44" s="695">
        <f>$C$12/$C$7-$AQ$6-$AQ$12-$AQ$18</f>
        <v/>
      </c>
      <c r="X44" s="696">
        <f>$C$13/$C$7-$AQ$7-$AQ$13-$AQ$19</f>
        <v/>
      </c>
      <c r="Y44" s="515">
        <f>O44</f>
        <v/>
      </c>
      <c r="Z44" s="516">
        <f>P44</f>
        <v/>
      </c>
      <c r="AA44" s="517">
        <f>Q44</f>
        <v/>
      </c>
      <c r="AB44" s="517">
        <f>R44</f>
        <v/>
      </c>
      <c r="AC44" s="518">
        <f>S44</f>
        <v/>
      </c>
      <c r="AD44" s="517" t="n"/>
      <c r="AE44" s="646" t="n"/>
      <c r="AF44" s="646" t="n"/>
      <c r="AG44" s="518" t="n"/>
      <c r="AH44" s="92" t="n"/>
      <c r="AI44" s="196">
        <f>H44-G44+1</f>
        <v/>
      </c>
      <c r="AJ44" s="92" t="n"/>
      <c r="AK44" s="206" t="n"/>
      <c r="AL44" s="206" t="n"/>
      <c r="AM44" s="94" t="n"/>
    </row>
    <row r="45">
      <c r="B45" s="199" t="n"/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$C$16</f>
        <v/>
      </c>
      <c r="K45" s="516">
        <f>J45-L45-M45-N45</f>
        <v/>
      </c>
      <c r="L45" s="517">
        <f>$C$11/$C$7</f>
        <v/>
      </c>
      <c r="M45" s="517">
        <f>$C$12/$C$7</f>
        <v/>
      </c>
      <c r="N45" s="518">
        <f>$C$13/$C$7</f>
        <v/>
      </c>
      <c r="O45" s="515">
        <f>$C$32</f>
        <v/>
      </c>
      <c r="P45" s="516">
        <f>O45-Q45-R45-S45</f>
        <v/>
      </c>
      <c r="Q45" s="500">
        <f>$C$11/$C$7-$AQ$5-$AQ$11</f>
        <v/>
      </c>
      <c r="R45" s="500">
        <f>$C$12/$C$7-$AQ$6-$AQ$12</f>
        <v/>
      </c>
      <c r="S45" s="518">
        <f>$C$13/$C$7-$AQ$7-$AQ$13</f>
        <v/>
      </c>
      <c r="T45" s="693">
        <f>$C$43</f>
        <v/>
      </c>
      <c r="U45" s="694">
        <f>T45-V45-W45-X45</f>
        <v/>
      </c>
      <c r="V45" s="695">
        <f>$C$11/$C$7-$AQ$5-$AQ$11-$AQ$17</f>
        <v/>
      </c>
      <c r="W45" s="695">
        <f>$C$12/$C$7-$AQ$6-$AQ$12-$AQ$18</f>
        <v/>
      </c>
      <c r="X45" s="696">
        <f>$C$13/$C$7-$AQ$7-$AQ$13-$AQ$19</f>
        <v/>
      </c>
      <c r="Y45" s="515">
        <f>O45</f>
        <v/>
      </c>
      <c r="Z45" s="516">
        <f>P45</f>
        <v/>
      </c>
      <c r="AA45" s="517">
        <f>Q45</f>
        <v/>
      </c>
      <c r="AB45" s="517">
        <f>R45</f>
        <v/>
      </c>
      <c r="AC45" s="518">
        <f>S45</f>
        <v/>
      </c>
      <c r="AD45" s="517" t="n"/>
      <c r="AE45" s="646" t="n"/>
      <c r="AF45" s="646" t="n"/>
      <c r="AG45" s="518" t="n"/>
      <c r="AH45" s="92" t="n"/>
      <c r="AI45" s="196">
        <f>H45-G45+1</f>
        <v/>
      </c>
      <c r="AJ45" s="92" t="n"/>
      <c r="AK45" s="206" t="n"/>
      <c r="AL45" s="206" t="n"/>
      <c r="AM45" s="94" t="n"/>
    </row>
    <row r="46">
      <c r="B46" s="199" t="n"/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$C$16</f>
        <v/>
      </c>
      <c r="K46" s="516">
        <f>J46-L46-M46-N46</f>
        <v/>
      </c>
      <c r="L46" s="517">
        <f>$C$11/$C$7</f>
        <v/>
      </c>
      <c r="M46" s="517">
        <f>$C$12/$C$7</f>
        <v/>
      </c>
      <c r="N46" s="518">
        <f>$C$13/$C$7</f>
        <v/>
      </c>
      <c r="O46" s="515">
        <f>$C$32</f>
        <v/>
      </c>
      <c r="P46" s="516">
        <f>O46-Q46-R46-S46</f>
        <v/>
      </c>
      <c r="Q46" s="500">
        <f>$C$11/$C$7-$AQ$5-$AQ$11</f>
        <v/>
      </c>
      <c r="R46" s="500">
        <f>$C$12/$C$7-$AQ$6-$AQ$12</f>
        <v/>
      </c>
      <c r="S46" s="518">
        <f>$C$13/$C$7-$AQ$7-$AQ$13</f>
        <v/>
      </c>
      <c r="T46" s="693">
        <f>$C$43</f>
        <v/>
      </c>
      <c r="U46" s="694">
        <f>T46-V46-W46-X46</f>
        <v/>
      </c>
      <c r="V46" s="695">
        <f>$C$11/$C$7-$AQ$5-$AQ$11-$AQ$17</f>
        <v/>
      </c>
      <c r="W46" s="695">
        <f>$C$12/$C$7-$AQ$6-$AQ$12-$AQ$18</f>
        <v/>
      </c>
      <c r="X46" s="696">
        <f>$C$13/$C$7-$AQ$7-$AQ$13-$AQ$19</f>
        <v/>
      </c>
      <c r="Y46" s="515">
        <f>O46</f>
        <v/>
      </c>
      <c r="Z46" s="516">
        <f>P46</f>
        <v/>
      </c>
      <c r="AA46" s="517">
        <f>Q46</f>
        <v/>
      </c>
      <c r="AB46" s="517">
        <f>R46</f>
        <v/>
      </c>
      <c r="AC46" s="518">
        <f>S46</f>
        <v/>
      </c>
      <c r="AD46" s="517" t="n"/>
      <c r="AE46" s="646" t="n"/>
      <c r="AF46" s="646" t="n"/>
      <c r="AG46" s="518" t="n"/>
      <c r="AH46" s="92" t="n"/>
      <c r="AI46" s="196">
        <f>H46-G46+1</f>
        <v/>
      </c>
      <c r="AJ46" s="92" t="n"/>
      <c r="AK46" s="206" t="n"/>
      <c r="AL46" s="206" t="n"/>
      <c r="AM46" s="94" t="n"/>
    </row>
    <row r="47">
      <c r="A47" s="206" t="n"/>
      <c r="B47" s="199" t="n"/>
      <c r="C47" s="185" t="n"/>
      <c r="D47" s="206" t="n"/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$C$16</f>
        <v/>
      </c>
      <c r="K47" s="516">
        <f>J47-L47-M47-N47</f>
        <v/>
      </c>
      <c r="L47" s="517">
        <f>$C$11/$C$7</f>
        <v/>
      </c>
      <c r="M47" s="517">
        <f>$C$12/$C$7</f>
        <v/>
      </c>
      <c r="N47" s="518">
        <f>$C$13/$C$7</f>
        <v/>
      </c>
      <c r="O47" s="515">
        <f>$C$32</f>
        <v/>
      </c>
      <c r="P47" s="516">
        <f>O47-Q47-R47-S47</f>
        <v/>
      </c>
      <c r="Q47" s="500">
        <f>$C$11/$C$7-$AQ$5-$AQ$11</f>
        <v/>
      </c>
      <c r="R47" s="500">
        <f>$C$12/$C$7-$AQ$6-$AQ$12</f>
        <v/>
      </c>
      <c r="S47" s="518">
        <f>$C$13/$C$7-$AQ$7-$AQ$13</f>
        <v/>
      </c>
      <c r="T47" s="693">
        <f>$C$43</f>
        <v/>
      </c>
      <c r="U47" s="694">
        <f>T47-V47-W47-X47</f>
        <v/>
      </c>
      <c r="V47" s="695">
        <f>$C$11/$C$7-$AQ$5-$AQ$11-$AQ$17</f>
        <v/>
      </c>
      <c r="W47" s="695">
        <f>$C$12/$C$7-$AQ$6-$AQ$12-$AQ$18</f>
        <v/>
      </c>
      <c r="X47" s="696">
        <f>$C$13/$C$7-$AQ$7-$AQ$13-$AQ$19</f>
        <v/>
      </c>
      <c r="Y47" s="515">
        <f>O47</f>
        <v/>
      </c>
      <c r="Z47" s="516">
        <f>P47</f>
        <v/>
      </c>
      <c r="AA47" s="517">
        <f>Q47</f>
        <v/>
      </c>
      <c r="AB47" s="517">
        <f>R47</f>
        <v/>
      </c>
      <c r="AC47" s="518">
        <f>S47</f>
        <v/>
      </c>
      <c r="AD47" s="517" t="n"/>
      <c r="AE47" s="646" t="n"/>
      <c r="AF47" s="646" t="n"/>
      <c r="AG47" s="518" t="n"/>
      <c r="AH47" s="92" t="n"/>
      <c r="AI47" s="196">
        <f>H47-G47+1</f>
        <v/>
      </c>
      <c r="AJ47" s="92" t="n"/>
      <c r="AK47" s="206" t="n"/>
      <c r="AL47" s="206" t="n"/>
      <c r="AM47" s="94" t="n"/>
    </row>
    <row r="48">
      <c r="A48" s="206" t="n"/>
      <c r="B48" s="199" t="n"/>
      <c r="C48" s="185" t="n"/>
      <c r="D48" s="206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$C$16</f>
        <v/>
      </c>
      <c r="K48" s="516">
        <f>J48-L48-M48-N48</f>
        <v/>
      </c>
      <c r="L48" s="517">
        <f>$C$11/$C$7</f>
        <v/>
      </c>
      <c r="M48" s="517">
        <f>$C$12/$C$7</f>
        <v/>
      </c>
      <c r="N48" s="518">
        <f>$C$13/$C$7</f>
        <v/>
      </c>
      <c r="O48" s="515">
        <f>$C$32</f>
        <v/>
      </c>
      <c r="P48" s="516">
        <f>O48-Q48-R48-S48</f>
        <v/>
      </c>
      <c r="Q48" s="500">
        <f>$C$11/$C$7-$AQ$5-$AQ$11</f>
        <v/>
      </c>
      <c r="R48" s="500">
        <f>$C$12/$C$7-$AQ$6-$AQ$12</f>
        <v/>
      </c>
      <c r="S48" s="518">
        <f>$C$13/$C$7-$AQ$7-$AQ$13</f>
        <v/>
      </c>
      <c r="T48" s="693">
        <f>$C$43</f>
        <v/>
      </c>
      <c r="U48" s="694">
        <f>T48-V48-W48-X48</f>
        <v/>
      </c>
      <c r="V48" s="695">
        <f>$C$11/$C$7-$AQ$5-$AQ$11-$AQ$17</f>
        <v/>
      </c>
      <c r="W48" s="695">
        <f>$C$12/$C$7-$AQ$6-$AQ$12-$AQ$18</f>
        <v/>
      </c>
      <c r="X48" s="696">
        <f>$C$13/$C$7-$AQ$7-$AQ$13-$AQ$19</f>
        <v/>
      </c>
      <c r="Y48" s="515">
        <f>O48</f>
        <v/>
      </c>
      <c r="Z48" s="516">
        <f>P48</f>
        <v/>
      </c>
      <c r="AA48" s="517">
        <f>Q48</f>
        <v/>
      </c>
      <c r="AB48" s="517">
        <f>R48</f>
        <v/>
      </c>
      <c r="AC48" s="518">
        <f>S48</f>
        <v/>
      </c>
      <c r="AD48" s="517" t="n"/>
      <c r="AE48" s="646" t="n"/>
      <c r="AF48" s="646" t="n"/>
      <c r="AG48" s="518" t="n"/>
      <c r="AH48" s="92" t="n"/>
      <c r="AI48" s="196">
        <f>H48-G48+1</f>
        <v/>
      </c>
      <c r="AJ48" s="92" t="n"/>
      <c r="AK48" s="206" t="n"/>
      <c r="AL48" s="206" t="n"/>
      <c r="AM48" s="94" t="n"/>
    </row>
    <row r="49">
      <c r="A49" s="206" t="n"/>
      <c r="B49" s="495" t="n"/>
      <c r="C49" s="702" t="n"/>
      <c r="D49" s="206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$C$16</f>
        <v/>
      </c>
      <c r="K49" s="516">
        <f>J49-L49-M49-N49</f>
        <v/>
      </c>
      <c r="L49" s="517">
        <f>$C$11/$C$7</f>
        <v/>
      </c>
      <c r="M49" s="517">
        <f>$C$12/$C$7</f>
        <v/>
      </c>
      <c r="N49" s="518">
        <f>$C$13/$C$7</f>
        <v/>
      </c>
      <c r="O49" s="515">
        <f>$C$32</f>
        <v/>
      </c>
      <c r="P49" s="516">
        <f>O49-Q49-R49-S49</f>
        <v/>
      </c>
      <c r="Q49" s="500">
        <f>$C$11/$C$7-$AQ$5-$AQ$11</f>
        <v/>
      </c>
      <c r="R49" s="500">
        <f>$C$12/$C$7-$AQ$6-$AQ$12</f>
        <v/>
      </c>
      <c r="S49" s="518">
        <f>$C$13/$C$7-$AQ$7-$AQ$13</f>
        <v/>
      </c>
      <c r="T49" s="693">
        <f>$C$43</f>
        <v/>
      </c>
      <c r="U49" s="694">
        <f>T49-V49-W49-X49</f>
        <v/>
      </c>
      <c r="V49" s="695">
        <f>$C$11/$C$7-$AQ$5-$AQ$11-$AQ$17</f>
        <v/>
      </c>
      <c r="W49" s="695">
        <f>$C$12/$C$7-$AQ$6-$AQ$12-$AQ$18</f>
        <v/>
      </c>
      <c r="X49" s="696">
        <f>$C$13/$C$7-$AQ$7-$AQ$13-$AQ$19</f>
        <v/>
      </c>
      <c r="Y49" s="515">
        <f>O49</f>
        <v/>
      </c>
      <c r="Z49" s="516">
        <f>P49</f>
        <v/>
      </c>
      <c r="AA49" s="517">
        <f>Q49</f>
        <v/>
      </c>
      <c r="AB49" s="517">
        <f>R49</f>
        <v/>
      </c>
      <c r="AC49" s="518">
        <f>S49</f>
        <v/>
      </c>
      <c r="AD49" s="517" t="n"/>
      <c r="AE49" s="646" t="n"/>
      <c r="AF49" s="646" t="n"/>
      <c r="AG49" s="518" t="n"/>
      <c r="AH49" s="92" t="n"/>
      <c r="AI49" s="196">
        <f>H49-G49+1</f>
        <v/>
      </c>
      <c r="AJ49" s="92" t="n"/>
      <c r="AK49" s="206" t="n"/>
      <c r="AL49" s="206" t="n"/>
      <c r="AM49" s="94" t="n"/>
    </row>
    <row r="50">
      <c r="A50" s="206" t="n"/>
      <c r="B50" s="495" t="n"/>
      <c r="C50" s="702" t="n"/>
      <c r="D50" s="206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$C$16</f>
        <v/>
      </c>
      <c r="K50" s="516">
        <f>J50-L50-M50-N50</f>
        <v/>
      </c>
      <c r="L50" s="517">
        <f>$C$11/$C$7</f>
        <v/>
      </c>
      <c r="M50" s="517">
        <f>$C$12/$C$7</f>
        <v/>
      </c>
      <c r="N50" s="518">
        <f>$C$13/$C$7</f>
        <v/>
      </c>
      <c r="O50" s="515">
        <f>$C$32</f>
        <v/>
      </c>
      <c r="P50" s="516">
        <f>O50-Q50-R50-S50</f>
        <v/>
      </c>
      <c r="Q50" s="500">
        <f>$C$11/$C$7-$AQ$5-$AQ$11</f>
        <v/>
      </c>
      <c r="R50" s="500">
        <f>$C$12/$C$7-$AQ$6-$AQ$12</f>
        <v/>
      </c>
      <c r="S50" s="518">
        <f>$C$13/$C$7-$AQ$7-$AQ$13</f>
        <v/>
      </c>
      <c r="T50" s="693">
        <f>$C$43</f>
        <v/>
      </c>
      <c r="U50" s="694">
        <f>T50-V50-W50-X50</f>
        <v/>
      </c>
      <c r="V50" s="695">
        <f>$C$11/$C$7-$AQ$5-$AQ$11-$AQ$17</f>
        <v/>
      </c>
      <c r="W50" s="695">
        <f>$C$12/$C$7-$AQ$6-$AQ$12-$AQ$18</f>
        <v/>
      </c>
      <c r="X50" s="696">
        <f>$C$13/$C$7-$AQ$7-$AQ$13-$AQ$19</f>
        <v/>
      </c>
      <c r="Y50" s="515">
        <f>O50</f>
        <v/>
      </c>
      <c r="Z50" s="516">
        <f>P50</f>
        <v/>
      </c>
      <c r="AA50" s="517">
        <f>Q50</f>
        <v/>
      </c>
      <c r="AB50" s="517">
        <f>R50</f>
        <v/>
      </c>
      <c r="AC50" s="518">
        <f>S50</f>
        <v/>
      </c>
      <c r="AD50" s="517" t="n"/>
      <c r="AE50" s="646" t="n"/>
      <c r="AF50" s="646" t="n"/>
      <c r="AG50" s="518" t="n"/>
      <c r="AH50" s="92" t="n"/>
      <c r="AI50" s="196">
        <f>H50-G50+1</f>
        <v/>
      </c>
      <c r="AJ50" s="92" t="n"/>
      <c r="AK50" s="206" t="n"/>
      <c r="AL50" s="206" t="n"/>
      <c r="AM50" s="94" t="n"/>
    </row>
    <row r="51">
      <c r="A51" s="206" t="n"/>
      <c r="B51" s="495" t="n"/>
      <c r="C51" s="702" t="n"/>
      <c r="D51" s="206" t="n"/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$C$16</f>
        <v/>
      </c>
      <c r="K51" s="516">
        <f>J51-L51-M51-N51</f>
        <v/>
      </c>
      <c r="L51" s="517">
        <f>$C$11/$C$7</f>
        <v/>
      </c>
      <c r="M51" s="517">
        <f>$C$12/$C$7</f>
        <v/>
      </c>
      <c r="N51" s="518">
        <f>$C$13/$C$7</f>
        <v/>
      </c>
      <c r="O51" s="515">
        <f>$C$32</f>
        <v/>
      </c>
      <c r="P51" s="516">
        <f>O51-Q51-R51-S51</f>
        <v/>
      </c>
      <c r="Q51" s="500">
        <f>$C$11/$C$7-$AQ$5-$AQ$11</f>
        <v/>
      </c>
      <c r="R51" s="500">
        <f>$C$12/$C$7-$AQ$6-$AQ$12</f>
        <v/>
      </c>
      <c r="S51" s="518">
        <f>$C$13/$C$7-$AQ$7-$AQ$13</f>
        <v/>
      </c>
      <c r="T51" s="693">
        <f>$C$43</f>
        <v/>
      </c>
      <c r="U51" s="694">
        <f>T51-V51-W51-X51</f>
        <v/>
      </c>
      <c r="V51" s="695">
        <f>$C$11/$C$7-$AQ$5-$AQ$11-$AQ$17</f>
        <v/>
      </c>
      <c r="W51" s="695">
        <f>$C$12/$C$7-$AQ$6-$AQ$12-$AQ$18</f>
        <v/>
      </c>
      <c r="X51" s="696">
        <f>$C$13/$C$7-$AQ$7-$AQ$13-$AQ$19</f>
        <v/>
      </c>
      <c r="Y51" s="515">
        <f>O51</f>
        <v/>
      </c>
      <c r="Z51" s="516">
        <f>P51</f>
        <v/>
      </c>
      <c r="AA51" s="517">
        <f>Q51</f>
        <v/>
      </c>
      <c r="AB51" s="517">
        <f>R51</f>
        <v/>
      </c>
      <c r="AC51" s="518">
        <f>S51</f>
        <v/>
      </c>
      <c r="AD51" s="517" t="n"/>
      <c r="AE51" s="646" t="n"/>
      <c r="AF51" s="646" t="n"/>
      <c r="AG51" s="518" t="n"/>
      <c r="AH51" s="92" t="n"/>
      <c r="AI51" s="196">
        <f>H51-G51+1</f>
        <v/>
      </c>
      <c r="AJ51" s="92" t="n"/>
      <c r="AK51" s="206" t="n"/>
      <c r="AL51" s="206" t="n"/>
      <c r="AM51" s="94" t="n"/>
    </row>
    <row r="52">
      <c r="A52" s="206" t="n"/>
      <c r="B52" s="495" t="n"/>
      <c r="C52" s="185" t="n"/>
      <c r="D52" s="206" t="n"/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$C$16</f>
        <v/>
      </c>
      <c r="K52" s="516">
        <f>J52-L52-M52-N52</f>
        <v/>
      </c>
      <c r="L52" s="517">
        <f>$C$11/$C$7</f>
        <v/>
      </c>
      <c r="M52" s="517">
        <f>$C$12/$C$7</f>
        <v/>
      </c>
      <c r="N52" s="518">
        <f>$C$13/$C$7</f>
        <v/>
      </c>
      <c r="O52" s="515">
        <f>$C$32</f>
        <v/>
      </c>
      <c r="P52" s="516">
        <f>O52-Q52-R52-S52</f>
        <v/>
      </c>
      <c r="Q52" s="500">
        <f>$C$11/$C$7-$AQ$5-$AQ$11</f>
        <v/>
      </c>
      <c r="R52" s="500">
        <f>$C$12/$C$7-$AQ$6-$AQ$12</f>
        <v/>
      </c>
      <c r="S52" s="518">
        <f>$C$13/$C$7-$AQ$7-$AQ$13</f>
        <v/>
      </c>
      <c r="T52" s="693">
        <f>$C$43</f>
        <v/>
      </c>
      <c r="U52" s="694">
        <f>T52-V52-W52-X52</f>
        <v/>
      </c>
      <c r="V52" s="695">
        <f>$C$11/$C$7-$AQ$5-$AQ$11-$AQ$17</f>
        <v/>
      </c>
      <c r="W52" s="695">
        <f>$C$12/$C$7-$AQ$6-$AQ$12-$AQ$18</f>
        <v/>
      </c>
      <c r="X52" s="696">
        <f>$C$13/$C$7-$AQ$7-$AQ$13-$AQ$19</f>
        <v/>
      </c>
      <c r="Y52" s="515">
        <f>O52</f>
        <v/>
      </c>
      <c r="Z52" s="516">
        <f>P52</f>
        <v/>
      </c>
      <c r="AA52" s="517">
        <f>Q52</f>
        <v/>
      </c>
      <c r="AB52" s="517">
        <f>R52</f>
        <v/>
      </c>
      <c r="AC52" s="518">
        <f>S52</f>
        <v/>
      </c>
      <c r="AD52" s="517" t="n"/>
      <c r="AE52" s="646" t="n"/>
      <c r="AF52" s="646" t="n"/>
      <c r="AG52" s="518" t="n"/>
      <c r="AH52" s="92" t="n"/>
      <c r="AI52" s="196">
        <f>H52-G52+1</f>
        <v/>
      </c>
      <c r="AJ52" s="92" t="n"/>
      <c r="AK52" s="206" t="n"/>
      <c r="AL52" s="206" t="n"/>
      <c r="AM52" s="94" t="n"/>
    </row>
    <row r="53">
      <c r="A53" s="206" t="n"/>
      <c r="B53" s="495" t="n"/>
      <c r="C53" s="697" t="n"/>
      <c r="D53" s="206" t="n"/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$C$16</f>
        <v/>
      </c>
      <c r="K53" s="516">
        <f>J53-L53-M53-N53</f>
        <v/>
      </c>
      <c r="L53" s="517">
        <f>$C$11/$C$7</f>
        <v/>
      </c>
      <c r="M53" s="517">
        <f>$C$12/$C$7</f>
        <v/>
      </c>
      <c r="N53" s="518">
        <f>$C$13/$C$7</f>
        <v/>
      </c>
      <c r="O53" s="515">
        <f>$C$32</f>
        <v/>
      </c>
      <c r="P53" s="516">
        <f>O53-Q53-R53-S53</f>
        <v/>
      </c>
      <c r="Q53" s="500">
        <f>$C$11/$C$7-$AQ$5-$AQ$11</f>
        <v/>
      </c>
      <c r="R53" s="500">
        <f>$C$12/$C$7-$AQ$6-$AQ$12</f>
        <v/>
      </c>
      <c r="S53" s="518">
        <f>$C$13/$C$7-$AQ$7-$AQ$13</f>
        <v/>
      </c>
      <c r="T53" s="693">
        <f>$C$43</f>
        <v/>
      </c>
      <c r="U53" s="694">
        <f>T53-V53-W53-X53</f>
        <v/>
      </c>
      <c r="V53" s="695">
        <f>$C$11/$C$7-$AQ$5-$AQ$11-$AQ$17</f>
        <v/>
      </c>
      <c r="W53" s="695">
        <f>$C$12/$C$7-$AQ$6-$AQ$12-$AQ$18</f>
        <v/>
      </c>
      <c r="X53" s="696">
        <f>$C$13/$C$7-$AQ$7-$AQ$13-$AQ$19</f>
        <v/>
      </c>
      <c r="Y53" s="515">
        <f>O53</f>
        <v/>
      </c>
      <c r="Z53" s="516">
        <f>P53</f>
        <v/>
      </c>
      <c r="AA53" s="517">
        <f>Q53</f>
        <v/>
      </c>
      <c r="AB53" s="517">
        <f>R53</f>
        <v/>
      </c>
      <c r="AC53" s="518">
        <f>S53</f>
        <v/>
      </c>
      <c r="AD53" s="517" t="n"/>
      <c r="AE53" s="646" t="n"/>
      <c r="AF53" s="646" t="n"/>
      <c r="AG53" s="518" t="n"/>
      <c r="AH53" s="92" t="n"/>
      <c r="AI53" s="196">
        <f>H53-G53+1</f>
        <v/>
      </c>
      <c r="AJ53" s="92" t="n"/>
      <c r="AK53" s="206" t="n"/>
      <c r="AL53" s="206" t="n"/>
      <c r="AM53" s="94" t="n"/>
    </row>
    <row r="54">
      <c r="A54" s="206" t="n"/>
      <c r="B54" s="495" t="n"/>
      <c r="C54" s="697" t="n"/>
      <c r="D54" s="206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$C$16</f>
        <v/>
      </c>
      <c r="K54" s="516">
        <f>J54-L54-M54-N54</f>
        <v/>
      </c>
      <c r="L54" s="517">
        <f>$C$11/$C$7</f>
        <v/>
      </c>
      <c r="M54" s="517">
        <f>$C$12/$C$7</f>
        <v/>
      </c>
      <c r="N54" s="518">
        <f>$C$13/$C$7</f>
        <v/>
      </c>
      <c r="O54" s="515">
        <f>$C$32</f>
        <v/>
      </c>
      <c r="P54" s="516">
        <f>O54-Q54-R54-S54</f>
        <v/>
      </c>
      <c r="Q54" s="500">
        <f>$C$11/$C$7-$AQ$5-$AQ$11</f>
        <v/>
      </c>
      <c r="R54" s="500">
        <f>$C$12/$C$7-$AQ$6-$AQ$12</f>
        <v/>
      </c>
      <c r="S54" s="518">
        <f>$C$13/$C$7-$AQ$7-$AQ$13</f>
        <v/>
      </c>
      <c r="T54" s="693">
        <f>$C$43</f>
        <v/>
      </c>
      <c r="U54" s="694">
        <f>T54-V54-W54-X54</f>
        <v/>
      </c>
      <c r="V54" s="695">
        <f>$C$11/$C$7-$AQ$5-$AQ$11-$AQ$17</f>
        <v/>
      </c>
      <c r="W54" s="695">
        <f>$C$12/$C$7-$AQ$6-$AQ$12-$AQ$18</f>
        <v/>
      </c>
      <c r="X54" s="696">
        <f>$C$13/$C$7-$AQ$7-$AQ$13-$AQ$19</f>
        <v/>
      </c>
      <c r="Y54" s="515">
        <f>O54</f>
        <v/>
      </c>
      <c r="Z54" s="516">
        <f>P54</f>
        <v/>
      </c>
      <c r="AA54" s="517">
        <f>Q54</f>
        <v/>
      </c>
      <c r="AB54" s="517">
        <f>R54</f>
        <v/>
      </c>
      <c r="AC54" s="518">
        <f>S54</f>
        <v/>
      </c>
      <c r="AD54" s="517" t="n"/>
      <c r="AE54" s="646" t="n"/>
      <c r="AF54" s="646" t="n"/>
      <c r="AG54" s="518" t="n"/>
      <c r="AH54" s="92" t="n"/>
      <c r="AI54" s="196">
        <f>H54-G54+1</f>
        <v/>
      </c>
      <c r="AJ54" s="92" t="n"/>
      <c r="AK54" s="206" t="n"/>
      <c r="AL54" s="206" t="n"/>
      <c r="AM54" s="94" t="n"/>
    </row>
    <row r="55">
      <c r="A55" s="206" t="n"/>
      <c r="B55" s="495" t="n"/>
      <c r="C55" s="697" t="n"/>
      <c r="D55" s="206" t="n"/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$C$16</f>
        <v/>
      </c>
      <c r="K55" s="516">
        <f>J55-L55-M55-N55</f>
        <v/>
      </c>
      <c r="L55" s="517">
        <f>$C$11/$C$7</f>
        <v/>
      </c>
      <c r="M55" s="517">
        <f>$C$12/$C$7</f>
        <v/>
      </c>
      <c r="N55" s="518">
        <f>$C$13/$C$7</f>
        <v/>
      </c>
      <c r="O55" s="515">
        <f>$C$32</f>
        <v/>
      </c>
      <c r="P55" s="516">
        <f>O55-Q55-R55-S55</f>
        <v/>
      </c>
      <c r="Q55" s="500">
        <f>$C$11/$C$7-$AQ$5-$AQ$11</f>
        <v/>
      </c>
      <c r="R55" s="500">
        <f>$C$12/$C$7-$AQ$6-$AQ$12</f>
        <v/>
      </c>
      <c r="S55" s="518">
        <f>$C$13/$C$7-$AQ$7-$AQ$13</f>
        <v/>
      </c>
      <c r="T55" s="693">
        <f>$C$43</f>
        <v/>
      </c>
      <c r="U55" s="694">
        <f>T55-V55-W55-X55</f>
        <v/>
      </c>
      <c r="V55" s="695">
        <f>$C$11/$C$7-$AQ$5-$AQ$11-$AQ$17</f>
        <v/>
      </c>
      <c r="W55" s="695">
        <f>$C$12/$C$7-$AQ$6-$AQ$12-$AQ$18</f>
        <v/>
      </c>
      <c r="X55" s="696">
        <f>$C$13/$C$7-$AQ$7-$AQ$13-$AQ$19</f>
        <v/>
      </c>
      <c r="Y55" s="515">
        <f>O55</f>
        <v/>
      </c>
      <c r="Z55" s="516">
        <f>P55</f>
        <v/>
      </c>
      <c r="AA55" s="517">
        <f>Q55</f>
        <v/>
      </c>
      <c r="AB55" s="517">
        <f>R55</f>
        <v/>
      </c>
      <c r="AC55" s="518">
        <f>S55</f>
        <v/>
      </c>
      <c r="AD55" s="517" t="n"/>
      <c r="AE55" s="646" t="n"/>
      <c r="AF55" s="646" t="n"/>
      <c r="AG55" s="518" t="n"/>
      <c r="AH55" s="92" t="n"/>
      <c r="AI55" s="196">
        <f>H55-G55+1</f>
        <v/>
      </c>
      <c r="AJ55" s="92" t="n"/>
      <c r="AK55" s="206" t="n"/>
      <c r="AL55" s="500" t="n"/>
      <c r="AM55" s="94" t="n"/>
    </row>
    <row r="56">
      <c r="A56" s="206" t="n"/>
      <c r="B56" s="495" t="n"/>
      <c r="C56" s="500" t="n"/>
      <c r="D56" s="206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$C$16</f>
        <v/>
      </c>
      <c r="K56" s="516">
        <f>J56-L56-M56-N56</f>
        <v/>
      </c>
      <c r="L56" s="517">
        <f>$C$11/$C$7</f>
        <v/>
      </c>
      <c r="M56" s="517">
        <f>$C$12/$C$7</f>
        <v/>
      </c>
      <c r="N56" s="518">
        <f>$C$13/$C$7</f>
        <v/>
      </c>
      <c r="O56" s="515">
        <f>$C$32</f>
        <v/>
      </c>
      <c r="P56" s="516">
        <f>O56-Q56-R56-S56</f>
        <v/>
      </c>
      <c r="Q56" s="500">
        <f>$C$11/$C$7-$AQ$5-$AQ$11</f>
        <v/>
      </c>
      <c r="R56" s="500">
        <f>$C$12/$C$7-$AQ$6-$AQ$12</f>
        <v/>
      </c>
      <c r="S56" s="518">
        <f>$C$13/$C$7-$AQ$7-$AQ$13</f>
        <v/>
      </c>
      <c r="T56" s="693">
        <f>$C$43</f>
        <v/>
      </c>
      <c r="U56" s="694">
        <f>T56-V56-W56-X56</f>
        <v/>
      </c>
      <c r="V56" s="695">
        <f>$C$11/$C$7-$AQ$5-$AQ$11-$AQ$17</f>
        <v/>
      </c>
      <c r="W56" s="695">
        <f>$C$12/$C$7-$AQ$6-$AQ$12-$AQ$18</f>
        <v/>
      </c>
      <c r="X56" s="696">
        <f>$C$13/$C$7-$AQ$7-$AQ$13-$AQ$19</f>
        <v/>
      </c>
      <c r="Y56" s="515">
        <f>O56</f>
        <v/>
      </c>
      <c r="Z56" s="516">
        <f>P56</f>
        <v/>
      </c>
      <c r="AA56" s="517">
        <f>Q56</f>
        <v/>
      </c>
      <c r="AB56" s="517">
        <f>R56</f>
        <v/>
      </c>
      <c r="AC56" s="518">
        <f>S56</f>
        <v/>
      </c>
      <c r="AD56" s="517" t="n"/>
      <c r="AE56" s="646" t="n"/>
      <c r="AF56" s="646" t="n"/>
      <c r="AG56" s="518" t="n"/>
      <c r="AH56" s="92" t="n"/>
      <c r="AI56" s="196">
        <f>H56-G56+1</f>
        <v/>
      </c>
      <c r="AJ56" s="92" t="n"/>
      <c r="AK56" s="206" t="n"/>
      <c r="AL56" s="206" t="n"/>
      <c r="AM56" s="94" t="n"/>
    </row>
    <row r="57">
      <c r="A57" s="206" t="n"/>
      <c r="B57" s="495" t="n"/>
      <c r="C57" s="697" t="n"/>
      <c r="D57" s="206" t="n"/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$C$16</f>
        <v/>
      </c>
      <c r="K57" s="516">
        <f>J57-L57-M57-N57</f>
        <v/>
      </c>
      <c r="L57" s="517">
        <f>$C$11/$C$7</f>
        <v/>
      </c>
      <c r="M57" s="517">
        <f>$C$12/$C$7</f>
        <v/>
      </c>
      <c r="N57" s="518">
        <f>$C$13/$C$7</f>
        <v/>
      </c>
      <c r="O57" s="515">
        <f>$C$32</f>
        <v/>
      </c>
      <c r="P57" s="516">
        <f>O57-Q57-R57-S57</f>
        <v/>
      </c>
      <c r="Q57" s="500">
        <f>$C$11/$C$7-$AQ$5-$AQ$11</f>
        <v/>
      </c>
      <c r="R57" s="500">
        <f>$C$12/$C$7-$AQ$6-$AQ$12</f>
        <v/>
      </c>
      <c r="S57" s="518">
        <f>$C$13/$C$7-$AQ$7-$AQ$13</f>
        <v/>
      </c>
      <c r="T57" s="693">
        <f>$C$43</f>
        <v/>
      </c>
      <c r="U57" s="694">
        <f>T57-V57-W57-X57</f>
        <v/>
      </c>
      <c r="V57" s="695">
        <f>$C$11/$C$7-$AQ$5-$AQ$11-$AQ$17</f>
        <v/>
      </c>
      <c r="W57" s="695">
        <f>$C$12/$C$7-$AQ$6-$AQ$12-$AQ$18</f>
        <v/>
      </c>
      <c r="X57" s="696">
        <f>$C$13/$C$7-$AQ$7-$AQ$13-$AQ$19</f>
        <v/>
      </c>
      <c r="Y57" s="515">
        <f>O57</f>
        <v/>
      </c>
      <c r="Z57" s="516">
        <f>P57</f>
        <v/>
      </c>
      <c r="AA57" s="517">
        <f>Q57</f>
        <v/>
      </c>
      <c r="AB57" s="517">
        <f>R57</f>
        <v/>
      </c>
      <c r="AC57" s="518">
        <f>S57</f>
        <v/>
      </c>
      <c r="AD57" s="517" t="n"/>
      <c r="AE57" s="646" t="n"/>
      <c r="AF57" s="646" t="n"/>
      <c r="AG57" s="518" t="n"/>
      <c r="AH57" s="92" t="n"/>
      <c r="AI57" s="196">
        <f>H57-G57+1</f>
        <v/>
      </c>
      <c r="AJ57" s="92" t="n"/>
      <c r="AK57" s="206" t="n"/>
      <c r="AM57" s="94" t="n"/>
    </row>
    <row r="58">
      <c r="A58" s="206" t="n"/>
      <c r="B58" s="495" t="n"/>
      <c r="C58" s="697" t="n"/>
      <c r="D58" s="505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$C$16</f>
        <v/>
      </c>
      <c r="K58" s="516">
        <f>J58-L58-M58-N58</f>
        <v/>
      </c>
      <c r="L58" s="517">
        <f>$C$11/$C$7</f>
        <v/>
      </c>
      <c r="M58" s="517">
        <f>$C$12/$C$7</f>
        <v/>
      </c>
      <c r="N58" s="518">
        <f>$C$13/$C$7</f>
        <v/>
      </c>
      <c r="O58" s="515">
        <f>$C$32</f>
        <v/>
      </c>
      <c r="P58" s="516">
        <f>O58-Q58-R58-S58</f>
        <v/>
      </c>
      <c r="Q58" s="500">
        <f>$C$11/$C$7-$AQ$5-$AQ$11</f>
        <v/>
      </c>
      <c r="R58" s="500">
        <f>$C$12/$C$7-$AQ$6-$AQ$12</f>
        <v/>
      </c>
      <c r="S58" s="518">
        <f>$C$13/$C$7-$AQ$7-$AQ$13</f>
        <v/>
      </c>
      <c r="T58" s="693">
        <f>$C$43</f>
        <v/>
      </c>
      <c r="U58" s="694">
        <f>T58-V58-W58-X58</f>
        <v/>
      </c>
      <c r="V58" s="695">
        <f>$C$11/$C$7-$AQ$5-$AQ$11-$AQ$17</f>
        <v/>
      </c>
      <c r="W58" s="695">
        <f>$C$12/$C$7-$AQ$6-$AQ$12-$AQ$18</f>
        <v/>
      </c>
      <c r="X58" s="696">
        <f>$C$13/$C$7-$AQ$7-$AQ$13-$AQ$19</f>
        <v/>
      </c>
      <c r="Y58" s="515">
        <f>O58</f>
        <v/>
      </c>
      <c r="Z58" s="516">
        <f>P58</f>
        <v/>
      </c>
      <c r="AA58" s="517">
        <f>Q58</f>
        <v/>
      </c>
      <c r="AB58" s="517">
        <f>R58</f>
        <v/>
      </c>
      <c r="AC58" s="518">
        <f>S58</f>
        <v/>
      </c>
      <c r="AD58" s="517" t="n"/>
      <c r="AE58" s="646" t="n"/>
      <c r="AF58" s="646" t="n"/>
      <c r="AG58" s="518" t="n"/>
      <c r="AH58" s="92" t="n"/>
      <c r="AI58" s="196">
        <f>H58-G58+1</f>
        <v/>
      </c>
      <c r="AJ58" s="92" t="n"/>
      <c r="AK58" s="206" t="n"/>
      <c r="AL58" s="200" t="n"/>
      <c r="AM58" s="94" t="n"/>
    </row>
    <row r="59">
      <c r="A59" s="206" t="n"/>
      <c r="B59" s="495" t="n"/>
      <c r="C59" s="697" t="n"/>
      <c r="D59" s="206" t="n"/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$C$16</f>
        <v/>
      </c>
      <c r="K59" s="516">
        <f>J59-L59-M59-N59</f>
        <v/>
      </c>
      <c r="L59" s="517">
        <f>$C$11/$C$7</f>
        <v/>
      </c>
      <c r="M59" s="517">
        <f>$C$12/$C$7</f>
        <v/>
      </c>
      <c r="N59" s="518">
        <f>$C$13/$C$7</f>
        <v/>
      </c>
      <c r="O59" s="515">
        <f>$C$32</f>
        <v/>
      </c>
      <c r="P59" s="516">
        <f>O59-Q59-R59-S59</f>
        <v/>
      </c>
      <c r="Q59" s="500">
        <f>$C$11/$C$7-$AQ$5-$AQ$11</f>
        <v/>
      </c>
      <c r="R59" s="500">
        <f>$C$12/$C$7-$AQ$6-$AQ$12</f>
        <v/>
      </c>
      <c r="S59" s="518">
        <f>$C$13/$C$7-$AQ$7-$AQ$13</f>
        <v/>
      </c>
      <c r="T59" s="693">
        <f>$C$43</f>
        <v/>
      </c>
      <c r="U59" s="694">
        <f>T59-V59-W59-X59</f>
        <v/>
      </c>
      <c r="V59" s="695">
        <f>$C$11/$C$7-$AQ$5-$AQ$11-$AQ$17</f>
        <v/>
      </c>
      <c r="W59" s="695">
        <f>$C$12/$C$7-$AQ$6-$AQ$12-$AQ$18</f>
        <v/>
      </c>
      <c r="X59" s="696">
        <f>$C$13/$C$7-$AQ$7-$AQ$13-$AQ$19</f>
        <v/>
      </c>
      <c r="Y59" s="515">
        <f>O59</f>
        <v/>
      </c>
      <c r="Z59" s="516">
        <f>P59</f>
        <v/>
      </c>
      <c r="AA59" s="517">
        <f>Q59</f>
        <v/>
      </c>
      <c r="AB59" s="517">
        <f>R59</f>
        <v/>
      </c>
      <c r="AC59" s="518">
        <f>S59</f>
        <v/>
      </c>
      <c r="AD59" s="517" t="n"/>
      <c r="AE59" s="646" t="n"/>
      <c r="AF59" s="646" t="n"/>
      <c r="AG59" s="518" t="n"/>
      <c r="AH59" s="92" t="n"/>
      <c r="AI59" s="196">
        <f>H59-G59+1</f>
        <v/>
      </c>
      <c r="AJ59" s="92" t="n"/>
      <c r="AK59" s="206" t="n"/>
      <c r="AL59" s="206" t="inlineStr">
        <is>
          <t>* 중도해지 시점에 선납할인 혜택 회수, 6개월 할인혜택 회수 (실제 받은 할인금 기준)</t>
        </is>
      </c>
      <c r="AM59" s="94" t="n"/>
    </row>
    <row r="60">
      <c r="A60" s="206" t="n"/>
      <c r="B60" s="206" t="n"/>
      <c r="C60" s="206" t="n"/>
      <c r="D60" s="206" t="n"/>
      <c r="E60" s="203" t="inlineStr">
        <is>
          <t>* 중도해지 발생</t>
        </is>
      </c>
      <c r="F60" s="80" t="inlineStr">
        <is>
          <t>56회차</t>
        </is>
      </c>
      <c r="G60" s="81">
        <f>H59+1</f>
        <v/>
      </c>
      <c r="H60" s="81">
        <f>EOMONTH(G60,0)</f>
        <v/>
      </c>
      <c r="I60" s="82">
        <f>EDATE(I59,1)</f>
        <v/>
      </c>
      <c r="J60" s="630">
        <f>$C$16</f>
        <v/>
      </c>
      <c r="K60" s="631">
        <f>J60-L60-M60-N60</f>
        <v/>
      </c>
      <c r="L60" s="632">
        <f>$C$11/$C$7</f>
        <v/>
      </c>
      <c r="M60" s="632">
        <f>$C$12/$C$7</f>
        <v/>
      </c>
      <c r="N60" s="633">
        <f>$C$13/$C$7</f>
        <v/>
      </c>
      <c r="O60" s="630">
        <f>$C$32</f>
        <v/>
      </c>
      <c r="P60" s="631">
        <f>O60-Q60-R60-S60</f>
        <v/>
      </c>
      <c r="Q60" s="634">
        <f>$C$11/$C$7-$AQ$5-$AQ$11</f>
        <v/>
      </c>
      <c r="R60" s="634">
        <f>$C$12/$C$7-$AQ$6-$AQ$12</f>
        <v/>
      </c>
      <c r="S60" s="633">
        <f>$C$13/$C$7-$AQ$7-$AQ$13</f>
        <v/>
      </c>
      <c r="T60" s="703">
        <f>$C$43</f>
        <v/>
      </c>
      <c r="U60" s="704">
        <f>T60-V60-W60-X60</f>
        <v/>
      </c>
      <c r="V60" s="705">
        <f>$C$11/$C$7-$AQ$5-$AQ$11-$AQ$17</f>
        <v/>
      </c>
      <c r="W60" s="705">
        <f>$C$12/$C$7-$AQ$6-$AQ$12-$AQ$18</f>
        <v/>
      </c>
      <c r="X60" s="706">
        <f>$C$13/$C$7-$AQ$7-$AQ$13-$AQ$19</f>
        <v/>
      </c>
      <c r="Y60" s="630">
        <f>O60</f>
        <v/>
      </c>
      <c r="Z60" s="631">
        <f>P60</f>
        <v/>
      </c>
      <c r="AA60" s="632">
        <f>Q60</f>
        <v/>
      </c>
      <c r="AB60" s="632">
        <f>R60</f>
        <v/>
      </c>
      <c r="AC60" s="633">
        <f>S60</f>
        <v/>
      </c>
      <c r="AD60" s="632" t="n"/>
      <c r="AE60" s="647" t="n"/>
      <c r="AF60" s="647" t="n"/>
      <c r="AG60" s="633" t="n"/>
      <c r="AH60" s="99" t="n">
        <v>47590</v>
      </c>
      <c r="AI60" s="415">
        <f>AH60-G60</f>
        <v/>
      </c>
      <c r="AJ60" s="647">
        <f>ROUNDDOWN(((C15*1.1)*(C8-SUM(AI5:AI60))/C8)*10%,-1)</f>
        <v/>
      </c>
      <c r="AK60" s="632">
        <f>ROUNDDOWN(Y60*AI60/DAY(H60),-2)</f>
        <v/>
      </c>
      <c r="AL60" s="648">
        <f>ROUNDDOWN(C31*SUM(AI5:AI60)/C8,-2)+ROUNDDOWN(COUNTIF(Y8:Y60,0)*C32,-2)+ROUNDDOWN(COUNTIF(T5:T7,0)*C43,-2)</f>
        <v/>
      </c>
      <c r="AM60" s="638">
        <f>-ROUNDUP((C27*(C8-SUM(AI5:AI60))/C8),-2)</f>
        <v/>
      </c>
    </row>
    <row r="61">
      <c r="A61" s="487" t="n"/>
      <c r="B61" s="495" t="n"/>
      <c r="C61" s="188" t="n"/>
      <c r="D61" s="206" t="n"/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$C$16</f>
        <v/>
      </c>
      <c r="K61" s="516">
        <f>J61-L61-M61-N61</f>
        <v/>
      </c>
      <c r="L61" s="517">
        <f>$C$11/$C$7</f>
        <v/>
      </c>
      <c r="M61" s="517">
        <f>$C$12/$C$7</f>
        <v/>
      </c>
      <c r="N61" s="518">
        <f>$C$13/$C$7</f>
        <v/>
      </c>
      <c r="O61" s="515">
        <f>$C$32</f>
        <v/>
      </c>
      <c r="P61" s="516">
        <f>O61-Q61-R61-S61</f>
        <v/>
      </c>
      <c r="Q61" s="500">
        <f>$C$11/$C$7-$AQ$5-$AQ$11</f>
        <v/>
      </c>
      <c r="R61" s="500">
        <f>$C$12/$C$7-$AQ$6-$AQ$12</f>
        <v/>
      </c>
      <c r="S61" s="518">
        <f>$C$13/$C$7-$AQ$7-$AQ$13</f>
        <v/>
      </c>
      <c r="T61" s="693">
        <f>$C$43</f>
        <v/>
      </c>
      <c r="U61" s="694">
        <f>T61-V61-W61-X61</f>
        <v/>
      </c>
      <c r="V61" s="695">
        <f>$C$11/$C$7-$AQ$5-$AQ$11-$AQ$17</f>
        <v/>
      </c>
      <c r="W61" s="695">
        <f>$C$12/$C$7-$AQ$6-$AQ$12-$AQ$18</f>
        <v/>
      </c>
      <c r="X61" s="696">
        <f>$C$13/$C$7-$AQ$7-$AQ$13-$AQ$19</f>
        <v/>
      </c>
      <c r="Y61" s="515">
        <f>O61</f>
        <v/>
      </c>
      <c r="Z61" s="516">
        <f>P61</f>
        <v/>
      </c>
      <c r="AA61" s="517">
        <f>Q61</f>
        <v/>
      </c>
      <c r="AB61" s="517">
        <f>R61</f>
        <v/>
      </c>
      <c r="AC61" s="518">
        <f>S61</f>
        <v/>
      </c>
      <c r="AD61" s="517" t="n"/>
      <c r="AE61" s="646" t="n"/>
      <c r="AF61" s="646" t="n"/>
      <c r="AG61" s="518" t="n"/>
      <c r="AH61" s="92" t="n"/>
      <c r="AI61" s="196" t="inlineStr">
        <is>
          <t>* 사용일 기준: 제품판정일 전날까지 사용</t>
        </is>
      </c>
      <c r="AJ61" s="92" t="n"/>
      <c r="AK61" s="206" t="n"/>
      <c r="AL61" s="206" t="n"/>
      <c r="AM61" s="94" t="n"/>
    </row>
    <row r="62">
      <c r="B62" s="495" t="n"/>
      <c r="C62" s="517" t="n"/>
      <c r="D62" s="206" t="n"/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$C$16</f>
        <v/>
      </c>
      <c r="K62" s="516">
        <f>J62-L62-M62-N62</f>
        <v/>
      </c>
      <c r="L62" s="517">
        <f>$C$11/$C$7</f>
        <v/>
      </c>
      <c r="M62" s="517">
        <f>$C$12/$C$7</f>
        <v/>
      </c>
      <c r="N62" s="518">
        <f>$C$13/$C$7</f>
        <v/>
      </c>
      <c r="O62" s="515">
        <f>$C$32</f>
        <v/>
      </c>
      <c r="P62" s="516">
        <f>O62-Q62-R62-S62</f>
        <v/>
      </c>
      <c r="Q62" s="500">
        <f>$C$11/$C$7-$AQ$5-$AQ$11</f>
        <v/>
      </c>
      <c r="R62" s="500">
        <f>$C$12/$C$7-$AQ$6-$AQ$12</f>
        <v/>
      </c>
      <c r="S62" s="518">
        <f>$C$13/$C$7-$AQ$7-$AQ$13</f>
        <v/>
      </c>
      <c r="T62" s="693">
        <f>$C$43</f>
        <v/>
      </c>
      <c r="U62" s="694">
        <f>T62-V62-W62-X62</f>
        <v/>
      </c>
      <c r="V62" s="695">
        <f>$C$11/$C$7-$AQ$5-$AQ$11-$AQ$17</f>
        <v/>
      </c>
      <c r="W62" s="695">
        <f>$C$12/$C$7-$AQ$6-$AQ$12-$AQ$18</f>
        <v/>
      </c>
      <c r="X62" s="696">
        <f>$C$13/$C$7-$AQ$7-$AQ$13-$AQ$19</f>
        <v/>
      </c>
      <c r="Y62" s="515">
        <f>O62</f>
        <v/>
      </c>
      <c r="Z62" s="516">
        <f>P62</f>
        <v/>
      </c>
      <c r="AA62" s="517">
        <f>Q62</f>
        <v/>
      </c>
      <c r="AB62" s="517">
        <f>R62</f>
        <v/>
      </c>
      <c r="AC62" s="518">
        <f>S62</f>
        <v/>
      </c>
      <c r="AD62" s="517" t="n"/>
      <c r="AE62" s="646" t="n"/>
      <c r="AF62" s="646" t="n"/>
      <c r="AG62" s="518" t="n"/>
      <c r="AH62" s="92" t="n"/>
      <c r="AI62" s="196" t="n"/>
      <c r="AJ62" s="92" t="n"/>
      <c r="AK62" s="206" t="n"/>
      <c r="AL62" s="206" t="n"/>
      <c r="AM62" s="94" t="n"/>
    </row>
    <row r="63">
      <c r="B63" s="495" t="n"/>
      <c r="C63" s="517" t="n"/>
      <c r="D63" s="206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$C$16</f>
        <v/>
      </c>
      <c r="K63" s="516">
        <f>J63-L63-M63-N63</f>
        <v/>
      </c>
      <c r="L63" s="517">
        <f>$C$11/$C$7</f>
        <v/>
      </c>
      <c r="M63" s="517">
        <f>$C$12/$C$7</f>
        <v/>
      </c>
      <c r="N63" s="518">
        <f>$C$13/$C$7</f>
        <v/>
      </c>
      <c r="O63" s="515">
        <f>$C$32</f>
        <v/>
      </c>
      <c r="P63" s="516">
        <f>O63-Q63-R63-S63</f>
        <v/>
      </c>
      <c r="Q63" s="500">
        <f>$C$11/$C$7-$AQ$5-$AQ$11</f>
        <v/>
      </c>
      <c r="R63" s="500">
        <f>$C$12/$C$7-$AQ$6-$AQ$12</f>
        <v/>
      </c>
      <c r="S63" s="518">
        <f>$C$13/$C$7-$AQ$7-$AQ$13</f>
        <v/>
      </c>
      <c r="T63" s="693">
        <f>$C$43</f>
        <v/>
      </c>
      <c r="U63" s="694">
        <f>T63-V63-W63-X63</f>
        <v/>
      </c>
      <c r="V63" s="695">
        <f>$C$11/$C$7-$AQ$5-$AQ$11-$AQ$17</f>
        <v/>
      </c>
      <c r="W63" s="695">
        <f>$C$12/$C$7-$AQ$6-$AQ$12-$AQ$18</f>
        <v/>
      </c>
      <c r="X63" s="696">
        <f>$C$13/$C$7-$AQ$7-$AQ$13-$AQ$19</f>
        <v/>
      </c>
      <c r="Y63" s="515">
        <f>O63</f>
        <v/>
      </c>
      <c r="Z63" s="516">
        <f>P63</f>
        <v/>
      </c>
      <c r="AA63" s="517">
        <f>Q63</f>
        <v/>
      </c>
      <c r="AB63" s="517">
        <f>R63</f>
        <v/>
      </c>
      <c r="AC63" s="518">
        <f>S63</f>
        <v/>
      </c>
      <c r="AD63" s="517" t="n"/>
      <c r="AE63" s="646" t="n"/>
      <c r="AF63" s="646" t="n"/>
      <c r="AG63" s="518" t="n"/>
      <c r="AH63" s="92" t="n"/>
      <c r="AI63" s="196" t="n"/>
      <c r="AJ63" s="92" t="n"/>
      <c r="AK63" s="206" t="n"/>
      <c r="AL63" s="206" t="n"/>
      <c r="AM63" s="94" t="n"/>
    </row>
    <row r="64">
      <c r="B64" s="495" t="n"/>
      <c r="C64" s="517" t="n"/>
      <c r="D64" s="206" t="n"/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$C$16</f>
        <v/>
      </c>
      <c r="K64" s="516">
        <f>J64-L64-M64-N64</f>
        <v/>
      </c>
      <c r="L64" s="517">
        <f>$C$11/$C$7</f>
        <v/>
      </c>
      <c r="M64" s="517">
        <f>$C$12/$C$7</f>
        <v/>
      </c>
      <c r="N64" s="518">
        <f>$C$13/$C$7</f>
        <v/>
      </c>
      <c r="O64" s="515">
        <f>$C$32</f>
        <v/>
      </c>
      <c r="P64" s="516">
        <f>O64-Q64-R64-S64</f>
        <v/>
      </c>
      <c r="Q64" s="500">
        <f>$C$11/$C$7-$AQ$5-$AQ$11</f>
        <v/>
      </c>
      <c r="R64" s="500">
        <f>$C$12/$C$7-$AQ$6-$AQ$12</f>
        <v/>
      </c>
      <c r="S64" s="518">
        <f>$C$13/$C$7-$AQ$7-$AQ$13</f>
        <v/>
      </c>
      <c r="T64" s="693">
        <f>$C$43</f>
        <v/>
      </c>
      <c r="U64" s="694">
        <f>T64-V64-W64-X64</f>
        <v/>
      </c>
      <c r="V64" s="695">
        <f>$C$11/$C$7-$AQ$5-$AQ$11-$AQ$17</f>
        <v/>
      </c>
      <c r="W64" s="695">
        <f>$C$12/$C$7-$AQ$6-$AQ$12-$AQ$18</f>
        <v/>
      </c>
      <c r="X64" s="696">
        <f>$C$13/$C$7-$AQ$7-$AQ$13-$AQ$19</f>
        <v/>
      </c>
      <c r="Y64" s="515">
        <f>O64</f>
        <v/>
      </c>
      <c r="Z64" s="516">
        <f>P64</f>
        <v/>
      </c>
      <c r="AA64" s="517">
        <f>Q64</f>
        <v/>
      </c>
      <c r="AB64" s="517">
        <f>R64</f>
        <v/>
      </c>
      <c r="AC64" s="518">
        <f>S64</f>
        <v/>
      </c>
      <c r="AD64" s="517" t="n"/>
      <c r="AE64" s="646" t="n"/>
      <c r="AF64" s="646" t="n"/>
      <c r="AG64" s="518" t="n"/>
      <c r="AH64" s="92" t="n"/>
      <c r="AI64" s="196" t="n"/>
      <c r="AJ64" s="92" t="n"/>
      <c r="AK64" s="206" t="n"/>
      <c r="AL64" s="206" t="n"/>
      <c r="AM64" s="94" t="n"/>
    </row>
    <row r="65">
      <c r="B65" s="495" t="n"/>
      <c r="C65" s="517" t="n"/>
      <c r="D65" s="206" t="n"/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$C$16</f>
        <v/>
      </c>
      <c r="K65" s="516">
        <f>J65-L65-M65-N65</f>
        <v/>
      </c>
      <c r="L65" s="517">
        <f>$C$11/$C$7</f>
        <v/>
      </c>
      <c r="M65" s="517">
        <f>$C$12/$C$7</f>
        <v/>
      </c>
      <c r="N65" s="518">
        <f>$C$13/$C$7</f>
        <v/>
      </c>
      <c r="O65" s="515">
        <f>$C$32</f>
        <v/>
      </c>
      <c r="P65" s="516">
        <f>O65-Q65-R65-S65</f>
        <v/>
      </c>
      <c r="Q65" s="500">
        <f>$C$11/$C$7-$AQ$5-$AQ$11</f>
        <v/>
      </c>
      <c r="R65" s="500">
        <f>$C$12/$C$7-$AQ$6-$AQ$12</f>
        <v/>
      </c>
      <c r="S65" s="518">
        <f>$C$13/$C$7-$AQ$7-$AQ$13</f>
        <v/>
      </c>
      <c r="T65" s="693">
        <f>$C$43</f>
        <v/>
      </c>
      <c r="U65" s="694">
        <f>T65-V65-W65-X65</f>
        <v/>
      </c>
      <c r="V65" s="695">
        <f>$C$11/$C$7-$AQ$5-$AQ$11-$AQ$17</f>
        <v/>
      </c>
      <c r="W65" s="695">
        <f>$C$12/$C$7-$AQ$6-$AQ$12-$AQ$18</f>
        <v/>
      </c>
      <c r="X65" s="696">
        <f>$C$13/$C$7-$AQ$7-$AQ$13-$AQ$19</f>
        <v/>
      </c>
      <c r="Y65" s="515">
        <f>O65</f>
        <v/>
      </c>
      <c r="Z65" s="516">
        <f>P65</f>
        <v/>
      </c>
      <c r="AA65" s="517">
        <f>Q65</f>
        <v/>
      </c>
      <c r="AB65" s="517">
        <f>R65</f>
        <v/>
      </c>
      <c r="AC65" s="518">
        <f>S65</f>
        <v/>
      </c>
      <c r="AD65" s="517" t="n"/>
      <c r="AE65" s="646" t="n"/>
      <c r="AF65" s="646" t="n"/>
      <c r="AG65" s="518" t="n"/>
      <c r="AH65" s="92" t="n"/>
      <c r="AI65" s="196" t="n"/>
      <c r="AJ65" s="92" t="n"/>
      <c r="AK65" s="206" t="n"/>
      <c r="AL65" s="206" t="n"/>
      <c r="AM65" s="94" t="n"/>
    </row>
    <row r="66">
      <c r="B66" s="495" t="n"/>
      <c r="C66" s="517" t="n"/>
      <c r="D66" s="206" t="n"/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$C$16</f>
        <v/>
      </c>
      <c r="K66" s="516">
        <f>J66-L66-M66-N66</f>
        <v/>
      </c>
      <c r="L66" s="517">
        <f>$C$11/$C$7</f>
        <v/>
      </c>
      <c r="M66" s="517">
        <f>$C$12/$C$7</f>
        <v/>
      </c>
      <c r="N66" s="518">
        <f>$C$13/$C$7</f>
        <v/>
      </c>
      <c r="O66" s="515">
        <f>$C$32</f>
        <v/>
      </c>
      <c r="P66" s="516">
        <f>O66-Q66-R66-S66</f>
        <v/>
      </c>
      <c r="Q66" s="500">
        <f>$C$11/$C$7-$AQ$5-$AQ$11</f>
        <v/>
      </c>
      <c r="R66" s="500">
        <f>$C$12/$C$7-$AQ$6-$AQ$12</f>
        <v/>
      </c>
      <c r="S66" s="518">
        <f>$C$13/$C$7-$AQ$7-$AQ$13</f>
        <v/>
      </c>
      <c r="T66" s="693">
        <f>$C$43</f>
        <v/>
      </c>
      <c r="U66" s="694">
        <f>T66-V66-W66-X66</f>
        <v/>
      </c>
      <c r="V66" s="695">
        <f>$C$11/$C$7-$AQ$5-$AQ$11-$AQ$17</f>
        <v/>
      </c>
      <c r="W66" s="695">
        <f>$C$12/$C$7-$AQ$6-$AQ$12-$AQ$18</f>
        <v/>
      </c>
      <c r="X66" s="696">
        <f>$C$13/$C$7-$AQ$7-$AQ$13-$AQ$19</f>
        <v/>
      </c>
      <c r="Y66" s="515">
        <f>O66</f>
        <v/>
      </c>
      <c r="Z66" s="516">
        <f>P66</f>
        <v/>
      </c>
      <c r="AA66" s="517">
        <f>Q66</f>
        <v/>
      </c>
      <c r="AB66" s="517">
        <f>R66</f>
        <v/>
      </c>
      <c r="AC66" s="518">
        <f>S66</f>
        <v/>
      </c>
      <c r="AD66" s="517" t="n"/>
      <c r="AE66" s="646" t="n"/>
      <c r="AF66" s="646" t="n"/>
      <c r="AG66" s="518" t="n"/>
      <c r="AH66" s="92" t="n"/>
      <c r="AI66" s="196" t="n"/>
      <c r="AJ66" s="92" t="n"/>
      <c r="AK66" s="206" t="n"/>
      <c r="AL66" s="206" t="n"/>
      <c r="AM66" s="94" t="n"/>
    </row>
    <row r="67">
      <c r="B67" s="495" t="n"/>
      <c r="C67" s="517" t="n"/>
      <c r="D67" s="206" t="n"/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$C$16</f>
        <v/>
      </c>
      <c r="K67" s="516">
        <f>J67-L67-M67-N67</f>
        <v/>
      </c>
      <c r="L67" s="517">
        <f>$C$11/$C$7</f>
        <v/>
      </c>
      <c r="M67" s="517">
        <f>$C$12/$C$7</f>
        <v/>
      </c>
      <c r="N67" s="518">
        <f>$C$13/$C$7</f>
        <v/>
      </c>
      <c r="O67" s="515">
        <f>$C$32</f>
        <v/>
      </c>
      <c r="P67" s="516">
        <f>O67-Q67-R67-S67</f>
        <v/>
      </c>
      <c r="Q67" s="500">
        <f>$C$11/$C$7-$AQ$5-$AQ$11</f>
        <v/>
      </c>
      <c r="R67" s="500">
        <f>$C$12/$C$7-$AQ$6-$AQ$12</f>
        <v/>
      </c>
      <c r="S67" s="518">
        <f>$C$13/$C$7-$AQ$7-$AQ$13</f>
        <v/>
      </c>
      <c r="T67" s="693">
        <f>$C$43</f>
        <v/>
      </c>
      <c r="U67" s="694">
        <f>T67-V67-W67-X67</f>
        <v/>
      </c>
      <c r="V67" s="695">
        <f>$C$11/$C$7-$AQ$5-$AQ$11-$AQ$17</f>
        <v/>
      </c>
      <c r="W67" s="695">
        <f>$C$12/$C$7-$AQ$6-$AQ$12-$AQ$18</f>
        <v/>
      </c>
      <c r="X67" s="696">
        <f>$C$13/$C$7-$AQ$7-$AQ$13-$AQ$19</f>
        <v/>
      </c>
      <c r="Y67" s="515">
        <f>O67</f>
        <v/>
      </c>
      <c r="Z67" s="516">
        <f>P67</f>
        <v/>
      </c>
      <c r="AA67" s="517">
        <f>Q67</f>
        <v/>
      </c>
      <c r="AB67" s="517">
        <f>R67</f>
        <v/>
      </c>
      <c r="AC67" s="518">
        <f>S67</f>
        <v/>
      </c>
      <c r="AD67" s="517" t="n"/>
      <c r="AE67" s="646" t="n"/>
      <c r="AF67" s="646" t="n"/>
      <c r="AG67" s="518" t="n"/>
      <c r="AH67" s="92" t="n"/>
      <c r="AI67" s="196" t="n"/>
      <c r="AJ67" s="92" t="n"/>
      <c r="AK67" s="206" t="n"/>
      <c r="AL67" s="206" t="n"/>
      <c r="AM67" s="94" t="n"/>
    </row>
    <row r="68">
      <c r="A68" s="206" t="n"/>
      <c r="B68" s="495" t="n"/>
      <c r="C68" s="517" t="n"/>
      <c r="D68" s="206" t="n"/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$C$16</f>
        <v/>
      </c>
      <c r="K68" s="516">
        <f>J68-L68-M68-N68</f>
        <v/>
      </c>
      <c r="L68" s="517">
        <f>$C$11/$C$7</f>
        <v/>
      </c>
      <c r="M68" s="517">
        <f>$C$12/$C$7</f>
        <v/>
      </c>
      <c r="N68" s="518">
        <f>$C$13/$C$7</f>
        <v/>
      </c>
      <c r="O68" s="515">
        <f>$C$32</f>
        <v/>
      </c>
      <c r="P68" s="516">
        <f>O68-Q68-R68-S68</f>
        <v/>
      </c>
      <c r="Q68" s="500">
        <f>$C$11/$C$7-$AQ$5-$AQ$11</f>
        <v/>
      </c>
      <c r="R68" s="500">
        <f>$C$12/$C$7-$AQ$6-$AQ$12</f>
        <v/>
      </c>
      <c r="S68" s="518">
        <f>$C$13/$C$7-$AQ$7-$AQ$13</f>
        <v/>
      </c>
      <c r="T68" s="693">
        <f>$C$43</f>
        <v/>
      </c>
      <c r="U68" s="694">
        <f>T68-V68-W68-X68</f>
        <v/>
      </c>
      <c r="V68" s="695">
        <f>$C$11/$C$7-$AQ$5-$AQ$11-$AQ$17</f>
        <v/>
      </c>
      <c r="W68" s="695">
        <f>$C$12/$C$7-$AQ$6-$AQ$12-$AQ$18</f>
        <v/>
      </c>
      <c r="X68" s="696">
        <f>$C$13/$C$7-$AQ$7-$AQ$13-$AQ$19</f>
        <v/>
      </c>
      <c r="Y68" s="515">
        <f>O68</f>
        <v/>
      </c>
      <c r="Z68" s="516">
        <f>P68</f>
        <v/>
      </c>
      <c r="AA68" s="517">
        <f>Q68</f>
        <v/>
      </c>
      <c r="AB68" s="517">
        <f>R68</f>
        <v/>
      </c>
      <c r="AC68" s="518">
        <f>S68</f>
        <v/>
      </c>
      <c r="AD68" s="517" t="n"/>
      <c r="AE68" s="646" t="n"/>
      <c r="AF68" s="646" t="n"/>
      <c r="AG68" s="518" t="n"/>
      <c r="AH68" s="92" t="n"/>
      <c r="AI68" s="196" t="n"/>
      <c r="AJ68" s="92" t="n"/>
      <c r="AK68" s="206" t="n"/>
      <c r="AL68" s="206" t="n"/>
      <c r="AM68" s="94" t="n"/>
    </row>
    <row r="69">
      <c r="A69" s="206" t="n"/>
      <c r="B69" s="495" t="n"/>
      <c r="C69" s="517" t="n"/>
      <c r="D69" s="206" t="n"/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$C$16</f>
        <v/>
      </c>
      <c r="K69" s="516">
        <f>J69-L69-M69-N69</f>
        <v/>
      </c>
      <c r="L69" s="517">
        <f>$C$11/$C$7</f>
        <v/>
      </c>
      <c r="M69" s="517">
        <f>$C$12/$C$7</f>
        <v/>
      </c>
      <c r="N69" s="518">
        <f>$C$13/$C$7</f>
        <v/>
      </c>
      <c r="O69" s="515">
        <f>$C$32</f>
        <v/>
      </c>
      <c r="P69" s="516">
        <f>O69-Q69-R69-S69</f>
        <v/>
      </c>
      <c r="Q69" s="500">
        <f>$C$11/$C$7-$AQ$5-$AQ$11</f>
        <v/>
      </c>
      <c r="R69" s="500">
        <f>$C$12/$C$7-$AQ$6-$AQ$12</f>
        <v/>
      </c>
      <c r="S69" s="518">
        <f>$C$13/$C$7-$AQ$7-$AQ$13</f>
        <v/>
      </c>
      <c r="T69" s="693">
        <f>$C$43</f>
        <v/>
      </c>
      <c r="U69" s="694">
        <f>T69-V69-W69-X69</f>
        <v/>
      </c>
      <c r="V69" s="695">
        <f>$C$11/$C$7-$AQ$5-$AQ$11-$AQ$17</f>
        <v/>
      </c>
      <c r="W69" s="695">
        <f>$C$12/$C$7-$AQ$6-$AQ$12-$AQ$18</f>
        <v/>
      </c>
      <c r="X69" s="696">
        <f>$C$13/$C$7-$AQ$7-$AQ$13-$AQ$19</f>
        <v/>
      </c>
      <c r="Y69" s="515">
        <f>O69</f>
        <v/>
      </c>
      <c r="Z69" s="516">
        <f>P69</f>
        <v/>
      </c>
      <c r="AA69" s="517">
        <f>Q69</f>
        <v/>
      </c>
      <c r="AB69" s="517">
        <f>R69</f>
        <v/>
      </c>
      <c r="AC69" s="518">
        <f>S69</f>
        <v/>
      </c>
      <c r="AD69" s="517" t="n"/>
      <c r="AE69" s="646" t="n"/>
      <c r="AF69" s="646" t="n"/>
      <c r="AG69" s="518" t="n"/>
      <c r="AH69" s="92" t="n"/>
      <c r="AI69" s="196" t="n"/>
      <c r="AJ69" s="92" t="n"/>
      <c r="AK69" s="206" t="n"/>
      <c r="AL69" s="206" t="n"/>
      <c r="AM69" s="94" t="n"/>
    </row>
    <row r="70">
      <c r="A70" s="206" t="n"/>
      <c r="B70" s="495" t="n"/>
      <c r="C70" s="517" t="n"/>
      <c r="D70" s="206" t="n"/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$C$16</f>
        <v/>
      </c>
      <c r="K70" s="516">
        <f>J70-L70-M70-N70</f>
        <v/>
      </c>
      <c r="L70" s="517">
        <f>$C$11/$C$7</f>
        <v/>
      </c>
      <c r="M70" s="517">
        <f>$C$12/$C$7</f>
        <v/>
      </c>
      <c r="N70" s="518">
        <f>$C$13/$C$7</f>
        <v/>
      </c>
      <c r="O70" s="515">
        <f>$C$32</f>
        <v/>
      </c>
      <c r="P70" s="516">
        <f>O70-Q70-R70-S70</f>
        <v/>
      </c>
      <c r="Q70" s="500">
        <f>$C$11/$C$7-$AQ$5-$AQ$11</f>
        <v/>
      </c>
      <c r="R70" s="500">
        <f>$C$12/$C$7-$AQ$6-$AQ$12</f>
        <v/>
      </c>
      <c r="S70" s="518">
        <f>$C$13/$C$7-$AQ$7-$AQ$13</f>
        <v/>
      </c>
      <c r="T70" s="693">
        <f>$C$43</f>
        <v/>
      </c>
      <c r="U70" s="694">
        <f>T70-V70-W70-X70</f>
        <v/>
      </c>
      <c r="V70" s="695">
        <f>$C$11/$C$7-$AQ$5-$AQ$11-$AQ$17</f>
        <v/>
      </c>
      <c r="W70" s="695">
        <f>$C$12/$C$7-$AQ$6-$AQ$12-$AQ$18</f>
        <v/>
      </c>
      <c r="X70" s="696">
        <f>$C$13/$C$7-$AQ$7-$AQ$13-$AQ$19</f>
        <v/>
      </c>
      <c r="Y70" s="515">
        <f>O70</f>
        <v/>
      </c>
      <c r="Z70" s="516">
        <f>P70</f>
        <v/>
      </c>
      <c r="AA70" s="517">
        <f>Q70</f>
        <v/>
      </c>
      <c r="AB70" s="517">
        <f>R70</f>
        <v/>
      </c>
      <c r="AC70" s="518">
        <f>S70</f>
        <v/>
      </c>
      <c r="AD70" s="517" t="n"/>
      <c r="AE70" s="646" t="n"/>
      <c r="AF70" s="646" t="n"/>
      <c r="AG70" s="518" t="n"/>
      <c r="AH70" s="92" t="n"/>
      <c r="AI70" s="196" t="n"/>
      <c r="AJ70" s="92" t="n"/>
      <c r="AK70" s="206" t="n"/>
      <c r="AL70" s="206" t="n"/>
      <c r="AM70" s="94" t="n"/>
    </row>
    <row r="71">
      <c r="A71" s="206" t="n"/>
      <c r="B71" s="495" t="n"/>
      <c r="C71" s="517" t="n"/>
      <c r="D71" s="206" t="n"/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$C$16</f>
        <v/>
      </c>
      <c r="K71" s="516">
        <f>J71-L71-M71-N71</f>
        <v/>
      </c>
      <c r="L71" s="517">
        <f>$C$11/$C$7</f>
        <v/>
      </c>
      <c r="M71" s="517">
        <f>$C$12/$C$7</f>
        <v/>
      </c>
      <c r="N71" s="518">
        <f>$C$13/$C$7</f>
        <v/>
      </c>
      <c r="O71" s="515">
        <f>$C$32</f>
        <v/>
      </c>
      <c r="P71" s="516">
        <f>O71-Q71-R71-S71</f>
        <v/>
      </c>
      <c r="Q71" s="500">
        <f>$C$11/$C$7-$AQ$5-$AQ$11</f>
        <v/>
      </c>
      <c r="R71" s="500">
        <f>$C$12/$C$7-$AQ$6-$AQ$12</f>
        <v/>
      </c>
      <c r="S71" s="518">
        <f>$C$13/$C$7-$AQ$7-$AQ$13</f>
        <v/>
      </c>
      <c r="T71" s="693">
        <f>$C$43</f>
        <v/>
      </c>
      <c r="U71" s="694">
        <f>T71-V71-W71-X71</f>
        <v/>
      </c>
      <c r="V71" s="695">
        <f>$C$11/$C$7-$AQ$5-$AQ$11-$AQ$17</f>
        <v/>
      </c>
      <c r="W71" s="695">
        <f>$C$12/$C$7-$AQ$6-$AQ$12-$AQ$18</f>
        <v/>
      </c>
      <c r="X71" s="696">
        <f>$C$13/$C$7-$AQ$7-$AQ$13-$AQ$19</f>
        <v/>
      </c>
      <c r="Y71" s="515">
        <f>O71</f>
        <v/>
      </c>
      <c r="Z71" s="516">
        <f>P71</f>
        <v/>
      </c>
      <c r="AA71" s="517">
        <f>Q71</f>
        <v/>
      </c>
      <c r="AB71" s="517">
        <f>R71</f>
        <v/>
      </c>
      <c r="AC71" s="518">
        <f>S71</f>
        <v/>
      </c>
      <c r="AD71" s="517" t="n"/>
      <c r="AE71" s="646" t="n"/>
      <c r="AF71" s="646" t="n"/>
      <c r="AG71" s="518" t="n"/>
      <c r="AH71" s="92" t="n"/>
      <c r="AI71" s="196" t="n"/>
      <c r="AJ71" s="92" t="n"/>
      <c r="AK71" s="206" t="n"/>
      <c r="AL71" s="206" t="n"/>
      <c r="AM71" s="94" t="n"/>
    </row>
    <row r="72">
      <c r="A72" s="206" t="n"/>
      <c r="B72" s="495" t="n"/>
      <c r="C72" s="517" t="n"/>
      <c r="D72" s="206" t="n"/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$C$16</f>
        <v/>
      </c>
      <c r="K72" s="516">
        <f>J72-L72-M72-N72</f>
        <v/>
      </c>
      <c r="L72" s="517">
        <f>$C$11/$C$7</f>
        <v/>
      </c>
      <c r="M72" s="517">
        <f>$C$12/$C$7</f>
        <v/>
      </c>
      <c r="N72" s="518">
        <f>$C$13/$C$7</f>
        <v/>
      </c>
      <c r="O72" s="515">
        <f>$C$32</f>
        <v/>
      </c>
      <c r="P72" s="516">
        <f>O72-Q72-R72-S72</f>
        <v/>
      </c>
      <c r="Q72" s="500">
        <f>$C$11/$C$7-$AQ$5-$AQ$11</f>
        <v/>
      </c>
      <c r="R72" s="500">
        <f>$C$12/$C$7-$AQ$6-$AQ$12</f>
        <v/>
      </c>
      <c r="S72" s="518">
        <f>$C$13/$C$7-$AQ$7-$AQ$13</f>
        <v/>
      </c>
      <c r="T72" s="693">
        <f>$C$43</f>
        <v/>
      </c>
      <c r="U72" s="694">
        <f>T72-V72-W72-X72</f>
        <v/>
      </c>
      <c r="V72" s="695">
        <f>$C$11/$C$7-$AQ$5-$AQ$11-$AQ$17</f>
        <v/>
      </c>
      <c r="W72" s="695">
        <f>$C$12/$C$7-$AQ$6-$AQ$12-$AQ$18</f>
        <v/>
      </c>
      <c r="X72" s="696">
        <f>$C$13/$C$7-$AQ$7-$AQ$13-$AQ$19</f>
        <v/>
      </c>
      <c r="Y72" s="515">
        <f>O72</f>
        <v/>
      </c>
      <c r="Z72" s="516">
        <f>P72</f>
        <v/>
      </c>
      <c r="AA72" s="517">
        <f>Q72</f>
        <v/>
      </c>
      <c r="AB72" s="517">
        <f>R72</f>
        <v/>
      </c>
      <c r="AC72" s="518">
        <f>S72</f>
        <v/>
      </c>
      <c r="AD72" s="517" t="n"/>
      <c r="AE72" s="646" t="n"/>
      <c r="AF72" s="646" t="n"/>
      <c r="AG72" s="518" t="n"/>
      <c r="AH72" s="92" t="n"/>
      <c r="AI72" s="196" t="n"/>
      <c r="AJ72" s="92" t="n"/>
      <c r="AK72" s="206" t="n"/>
      <c r="AL72" s="206" t="n"/>
      <c r="AM72" s="94" t="n"/>
    </row>
    <row r="73">
      <c r="A73" s="206" t="n"/>
      <c r="B73" s="495" t="n"/>
      <c r="C73" s="517" t="n"/>
      <c r="D73" s="206" t="n"/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$C$16</f>
        <v/>
      </c>
      <c r="K73" s="516">
        <f>J73-L73-M73-N73</f>
        <v/>
      </c>
      <c r="L73" s="517">
        <f>$C$11/$C$7</f>
        <v/>
      </c>
      <c r="M73" s="517">
        <f>$C$12/$C$7</f>
        <v/>
      </c>
      <c r="N73" s="518">
        <f>$C$13/$C$7</f>
        <v/>
      </c>
      <c r="O73" s="515">
        <f>$C$32</f>
        <v/>
      </c>
      <c r="P73" s="516">
        <f>O73-Q73-R73-S73</f>
        <v/>
      </c>
      <c r="Q73" s="500">
        <f>$C$11/$C$7-$AQ$5-$AQ$11</f>
        <v/>
      </c>
      <c r="R73" s="500">
        <f>$C$12/$C$7-$AQ$6-$AQ$12</f>
        <v/>
      </c>
      <c r="S73" s="518">
        <f>$C$13/$C$7-$AQ$7-$AQ$13</f>
        <v/>
      </c>
      <c r="T73" s="693">
        <f>$C$43</f>
        <v/>
      </c>
      <c r="U73" s="694">
        <f>T73-V73-W73-X73</f>
        <v/>
      </c>
      <c r="V73" s="695">
        <f>$C$11/$C$7-$AQ$5-$AQ$11-$AQ$17</f>
        <v/>
      </c>
      <c r="W73" s="695">
        <f>$C$12/$C$7-$AQ$6-$AQ$12-$AQ$18</f>
        <v/>
      </c>
      <c r="X73" s="696">
        <f>$C$13/$C$7-$AQ$7-$AQ$13-$AQ$19</f>
        <v/>
      </c>
      <c r="Y73" s="515">
        <f>O73</f>
        <v/>
      </c>
      <c r="Z73" s="516">
        <f>P73</f>
        <v/>
      </c>
      <c r="AA73" s="517">
        <f>Q73</f>
        <v/>
      </c>
      <c r="AB73" s="517">
        <f>R73</f>
        <v/>
      </c>
      <c r="AC73" s="518">
        <f>S73</f>
        <v/>
      </c>
      <c r="AD73" s="517" t="n"/>
      <c r="AE73" s="646" t="n"/>
      <c r="AF73" s="646" t="n"/>
      <c r="AG73" s="518" t="n"/>
      <c r="AH73" s="92" t="n"/>
      <c r="AI73" s="196" t="n"/>
      <c r="AJ73" s="92" t="n"/>
      <c r="AK73" s="206" t="n"/>
      <c r="AL73" s="206" t="n"/>
      <c r="AM73" s="94" t="n"/>
    </row>
    <row r="74">
      <c r="A74" s="206" t="n"/>
      <c r="B74" s="206" t="n"/>
      <c r="C74" s="206" t="n"/>
      <c r="D74" s="206" t="n"/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$C$16</f>
        <v/>
      </c>
      <c r="K74" s="516">
        <f>J74-L74-M74-N74</f>
        <v/>
      </c>
      <c r="L74" s="517">
        <f>$C$11/$C$7</f>
        <v/>
      </c>
      <c r="M74" s="517">
        <f>$C$12/$C$7</f>
        <v/>
      </c>
      <c r="N74" s="518">
        <f>$C$13/$C$7</f>
        <v/>
      </c>
      <c r="O74" s="515">
        <f>$C$32</f>
        <v/>
      </c>
      <c r="P74" s="516">
        <f>O74-Q74-R74-S74</f>
        <v/>
      </c>
      <c r="Q74" s="500">
        <f>$C$11/$C$7-$AQ$5-$AQ$11</f>
        <v/>
      </c>
      <c r="R74" s="500">
        <f>$C$12/$C$7-$AQ$6-$AQ$12</f>
        <v/>
      </c>
      <c r="S74" s="518">
        <f>$C$13/$C$7-$AQ$7-$AQ$13</f>
        <v/>
      </c>
      <c r="T74" s="693">
        <f>$C$43</f>
        <v/>
      </c>
      <c r="U74" s="694">
        <f>T74-V74-W74-X74</f>
        <v/>
      </c>
      <c r="V74" s="695">
        <f>$C$11/$C$7-$AQ$5-$AQ$11-$AQ$17</f>
        <v/>
      </c>
      <c r="W74" s="695">
        <f>$C$12/$C$7-$AQ$6-$AQ$12-$AQ$18</f>
        <v/>
      </c>
      <c r="X74" s="696">
        <f>$C$13/$C$7-$AQ$7-$AQ$13-$AQ$19</f>
        <v/>
      </c>
      <c r="Y74" s="515">
        <f>O74</f>
        <v/>
      </c>
      <c r="Z74" s="516">
        <f>P74</f>
        <v/>
      </c>
      <c r="AA74" s="517">
        <f>Q74</f>
        <v/>
      </c>
      <c r="AB74" s="517">
        <f>R74</f>
        <v/>
      </c>
      <c r="AC74" s="518">
        <f>S74</f>
        <v/>
      </c>
      <c r="AD74" s="517" t="n"/>
      <c r="AE74" s="646" t="n"/>
      <c r="AF74" s="646" t="n"/>
      <c r="AG74" s="518" t="n"/>
      <c r="AH74" s="92" t="n"/>
      <c r="AI74" s="196" t="n"/>
      <c r="AJ74" s="92" t="n"/>
      <c r="AK74" s="206" t="n"/>
      <c r="AL74" s="206" t="n"/>
      <c r="AM74" s="94" t="n"/>
    </row>
    <row r="75">
      <c r="A75" s="206" t="n"/>
      <c r="B75" s="495" t="n"/>
      <c r="C75" s="517" t="n"/>
      <c r="D75" s="206" t="n"/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$C$16</f>
        <v/>
      </c>
      <c r="K75" s="516">
        <f>J75-L75-M75-N75</f>
        <v/>
      </c>
      <c r="L75" s="517">
        <f>$C$11/$C$7</f>
        <v/>
      </c>
      <c r="M75" s="517">
        <f>$C$12/$C$7</f>
        <v/>
      </c>
      <c r="N75" s="518">
        <f>$C$13/$C$7</f>
        <v/>
      </c>
      <c r="O75" s="515">
        <f>$C$32</f>
        <v/>
      </c>
      <c r="P75" s="516">
        <f>O75-Q75-R75-S75</f>
        <v/>
      </c>
      <c r="Q75" s="500">
        <f>$C$11/$C$7-$AQ$5-$AQ$11</f>
        <v/>
      </c>
      <c r="R75" s="500">
        <f>$C$12/$C$7-$AQ$6-$AQ$12</f>
        <v/>
      </c>
      <c r="S75" s="518">
        <f>$C$13/$C$7-$AQ$7-$AQ$13</f>
        <v/>
      </c>
      <c r="T75" s="693">
        <f>$C$43</f>
        <v/>
      </c>
      <c r="U75" s="694">
        <f>T75-V75-W75-X75</f>
        <v/>
      </c>
      <c r="V75" s="695">
        <f>$C$11/$C$7-$AQ$5-$AQ$11-$AQ$17</f>
        <v/>
      </c>
      <c r="W75" s="695">
        <f>$C$12/$C$7-$AQ$6-$AQ$12-$AQ$18</f>
        <v/>
      </c>
      <c r="X75" s="696">
        <f>$C$13/$C$7-$AQ$7-$AQ$13-$AQ$19</f>
        <v/>
      </c>
      <c r="Y75" s="515">
        <f>O75</f>
        <v/>
      </c>
      <c r="Z75" s="516">
        <f>P75</f>
        <v/>
      </c>
      <c r="AA75" s="517">
        <f>Q75</f>
        <v/>
      </c>
      <c r="AB75" s="517">
        <f>R75</f>
        <v/>
      </c>
      <c r="AC75" s="518">
        <f>S75</f>
        <v/>
      </c>
      <c r="AD75" s="517" t="n"/>
      <c r="AE75" s="646" t="n"/>
      <c r="AF75" s="646" t="n"/>
      <c r="AG75" s="518" t="n"/>
      <c r="AH75" s="92" t="n"/>
      <c r="AI75" s="196" t="n"/>
      <c r="AJ75" s="92" t="n"/>
      <c r="AK75" s="206" t="n"/>
      <c r="AL75" s="206" t="n"/>
      <c r="AM75" s="94" t="n"/>
    </row>
    <row r="76">
      <c r="A76" s="206" t="n"/>
      <c r="B76" s="495" t="n"/>
      <c r="C76" s="517" t="n"/>
      <c r="D76" s="206" t="n"/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$C$16</f>
        <v/>
      </c>
      <c r="K76" s="516">
        <f>J76-L76-M76-N76</f>
        <v/>
      </c>
      <c r="L76" s="517">
        <f>$C$11/$C$7</f>
        <v/>
      </c>
      <c r="M76" s="517">
        <f>$C$12/$C$7</f>
        <v/>
      </c>
      <c r="N76" s="518">
        <f>$C$13/$C$7</f>
        <v/>
      </c>
      <c r="O76" s="515">
        <f>$C$32</f>
        <v/>
      </c>
      <c r="P76" s="516">
        <f>O76-Q76-R76-S76</f>
        <v/>
      </c>
      <c r="Q76" s="500">
        <f>$C$11/$C$7-$AQ$5-$AQ$11</f>
        <v/>
      </c>
      <c r="R76" s="500">
        <f>$C$12/$C$7-$AQ$6-$AQ$12</f>
        <v/>
      </c>
      <c r="S76" s="518">
        <f>$C$13/$C$7-$AQ$7-$AQ$13</f>
        <v/>
      </c>
      <c r="T76" s="693">
        <f>$C$43</f>
        <v/>
      </c>
      <c r="U76" s="694">
        <f>T76-V76-W76-X76</f>
        <v/>
      </c>
      <c r="V76" s="695">
        <f>$C$11/$C$7-$AQ$5-$AQ$11-$AQ$17</f>
        <v/>
      </c>
      <c r="W76" s="695">
        <f>$C$12/$C$7-$AQ$6-$AQ$12-$AQ$18</f>
        <v/>
      </c>
      <c r="X76" s="696">
        <f>$C$13/$C$7-$AQ$7-$AQ$13-$AQ$19</f>
        <v/>
      </c>
      <c r="Y76" s="515">
        <f>O76</f>
        <v/>
      </c>
      <c r="Z76" s="516">
        <f>P76</f>
        <v/>
      </c>
      <c r="AA76" s="517">
        <f>Q76</f>
        <v/>
      </c>
      <c r="AB76" s="517">
        <f>R76</f>
        <v/>
      </c>
      <c r="AC76" s="518">
        <f>S76</f>
        <v/>
      </c>
      <c r="AD76" s="517" t="n"/>
      <c r="AE76" s="646" t="n"/>
      <c r="AF76" s="646" t="n"/>
      <c r="AG76" s="518" t="n"/>
      <c r="AH76" s="92" t="n"/>
      <c r="AI76" s="196" t="n"/>
      <c r="AJ76" s="92" t="n"/>
      <c r="AK76" s="206" t="n"/>
      <c r="AL76" s="206" t="n"/>
      <c r="AM76" s="94" t="n"/>
    </row>
    <row r="77">
      <c r="A77" s="206" t="n"/>
      <c r="B77" s="206" t="n"/>
      <c r="C77" s="206" t="n"/>
      <c r="D77" s="206" t="n"/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$C$16-J5</f>
        <v/>
      </c>
      <c r="K77" s="588">
        <f>J77-L77-M77-N77</f>
        <v/>
      </c>
      <c r="L77" s="640">
        <f>$C$11/$C$7-L5</f>
        <v/>
      </c>
      <c r="M77" s="640">
        <f>$C$12/$C$7-M5</f>
        <v/>
      </c>
      <c r="N77" s="641">
        <f>$C$13/$C$7-N5</f>
        <v/>
      </c>
      <c r="O77" s="581">
        <f>$C$32-O5</f>
        <v/>
      </c>
      <c r="P77" s="588">
        <f>O77-Q77-R77-S77</f>
        <v/>
      </c>
      <c r="Q77" s="589">
        <f>($C$11/$C$7-$AQ$5-$AQ$11)-Q5</f>
        <v/>
      </c>
      <c r="R77" s="589">
        <f>($C$12/$C$7-$AQ$6-$AQ$12)-R5</f>
        <v/>
      </c>
      <c r="S77" s="641">
        <f>$C$13/$C$7-$AQ$7-$AQ$13-S5</f>
        <v/>
      </c>
      <c r="T77" s="707">
        <f>$C$43-T5</f>
        <v/>
      </c>
      <c r="U77" s="708">
        <f>T77-V77-W77-X77</f>
        <v/>
      </c>
      <c r="V77" s="709">
        <f>($C$11/$C$7-$AQ$5-$AQ$11-$AQ$17)-V5</f>
        <v/>
      </c>
      <c r="W77" s="709">
        <f>($C$12/$C$7-$AQ$6-$AQ$12-$AQ$18)-W5</f>
        <v/>
      </c>
      <c r="X77" s="710">
        <f>$C$13/$C$7-$AQ$7-$AQ$13-$AQ$19-X5</f>
        <v/>
      </c>
      <c r="Y77" s="581">
        <f>$C$32-ROUNDDOWN($C$32*(H5-G5+1)/DAY(H5),-2)</f>
        <v/>
      </c>
      <c r="Z77" s="588">
        <f>Y77-AA77-AB77</f>
        <v/>
      </c>
      <c r="AA77" s="640">
        <f>$C$11/$C$7-ROUNDDOWN((C11/C7)*(H5-G5+1)/DAY(H5),-2)</f>
        <v/>
      </c>
      <c r="AB77" s="640">
        <f>$C$12/$C$7-ROUNDDOWN((C12/C7)*(H5-G5+1)/DAY(H5),-2)</f>
        <v/>
      </c>
      <c r="AC77" s="641">
        <f>S77</f>
        <v/>
      </c>
      <c r="AD77" s="640" t="n"/>
      <c r="AE77" s="653" t="n"/>
      <c r="AF77" s="653" t="n"/>
      <c r="AG77" s="641" t="n"/>
      <c r="AH77" s="59" t="n"/>
      <c r="AI77" s="12" t="n"/>
      <c r="AJ77" s="59" t="n"/>
      <c r="AK77" s="95" t="n"/>
      <c r="AL77" s="95" t="n"/>
      <c r="AM77" s="97" t="n"/>
    </row>
    <row r="78">
      <c r="A78" s="487" t="n"/>
      <c r="B78" s="495" t="n"/>
      <c r="C78" s="188" t="n"/>
      <c r="D78" s="206" t="n"/>
      <c r="N78" s="517" t="n"/>
      <c r="P78" s="500" t="n"/>
      <c r="S78" s="517" t="n"/>
      <c r="T78" s="517" t="n"/>
      <c r="U78" s="500" t="n"/>
      <c r="V78" s="517" t="n"/>
      <c r="W78" s="517" t="n"/>
      <c r="X78" s="517" t="n"/>
      <c r="Y78" s="206" t="inlineStr">
        <is>
          <t>* 선납+선납할인 적용 시의 (월 구독료 - 1회차 청구비용) 금액 청구</t>
        </is>
      </c>
    </row>
    <row r="79">
      <c r="B79" s="495" t="n"/>
      <c r="C79" s="517" t="n"/>
      <c r="D79" s="206" t="n"/>
    </row>
    <row r="80">
      <c r="B80" s="495" t="n"/>
      <c r="C80" s="517" t="n"/>
      <c r="D80" s="206" t="n"/>
    </row>
    <row r="81">
      <c r="B81" s="495" t="n"/>
      <c r="C81" s="517" t="n"/>
      <c r="D81" s="206" t="n"/>
      <c r="Y81" s="500" t="n"/>
      <c r="Z81" s="500" t="n"/>
    </row>
    <row r="82">
      <c r="B82" s="495" t="n"/>
      <c r="C82" s="517" t="n"/>
      <c r="D82" s="206" t="n"/>
      <c r="Y82" s="500" t="n"/>
      <c r="Z82" s="517" t="n"/>
    </row>
    <row r="83">
      <c r="B83" s="495" t="n"/>
      <c r="C83" s="517" t="n"/>
      <c r="D83" s="206" t="n"/>
      <c r="Y83" s="500" t="n"/>
      <c r="Z83" s="500" t="n"/>
    </row>
    <row r="84">
      <c r="B84" s="495" t="n"/>
      <c r="C84" s="517" t="n"/>
      <c r="D84" s="505" t="n"/>
    </row>
    <row r="85">
      <c r="A85" s="206" t="n"/>
      <c r="B85" s="206" t="n"/>
      <c r="C85" s="206" t="n"/>
      <c r="D85" s="206" t="n"/>
    </row>
    <row r="86">
      <c r="A86" s="206" t="n"/>
      <c r="B86" s="206" t="n"/>
      <c r="C86" s="206" t="n"/>
      <c r="D86" s="206" t="n"/>
    </row>
    <row r="87">
      <c r="A87" s="206" t="n"/>
      <c r="B87" s="206" t="n"/>
      <c r="C87" s="206" t="n"/>
      <c r="D87" s="206" t="n"/>
    </row>
    <row r="88">
      <c r="A88" s="206" t="n"/>
      <c r="B88" s="206" t="n"/>
      <c r="C88" s="206" t="n"/>
      <c r="D88" s="206" t="n"/>
    </row>
    <row r="89">
      <c r="A89" s="206" t="n"/>
      <c r="B89" s="206" t="n"/>
      <c r="C89" s="206" t="n"/>
      <c r="D89" s="206" t="n"/>
    </row>
    <row r="90">
      <c r="A90" s="206" t="n"/>
      <c r="B90" s="206" t="n"/>
      <c r="C90" s="206" t="n"/>
      <c r="D90" s="206" t="n"/>
    </row>
  </sheetData>
  <mergeCells count="2">
    <mergeCell ref="A78:A84"/>
    <mergeCell ref="A61:A67"/>
  </mergeCell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tabColor rgb="000F9ED5"/>
    <outlinePr summaryBelow="1" summaryRight="1"/>
    <pageSetUpPr/>
  </sheetPr>
  <dimension ref="A2:AE78"/>
  <sheetViews>
    <sheetView showGridLines="0" zoomScale="60" zoomScaleNormal="60" workbookViewId="0">
      <selection activeCell="E6" sqref="E6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outlineLevel="1" width="11.1875" customWidth="1" style="497" min="14" max="14"/>
    <col outlineLevel="1" width="10.875" customWidth="1" style="497" min="15" max="16"/>
    <col outlineLevel="1" width="9.375" customWidth="1" style="497" min="17" max="17"/>
    <col width="11.1875" bestFit="1" customWidth="1" style="497" min="18" max="18"/>
    <col width="7.375" bestFit="1" customWidth="1" style="497" min="19" max="19"/>
    <col width="24" bestFit="1" customWidth="1" style="497" min="20" max="20"/>
    <col hidden="1" width="11.875" customWidth="1" style="497" min="21" max="21"/>
    <col width="11.875" bestFit="1" customWidth="1" style="497" min="22" max="22"/>
    <col width="10.6875" bestFit="1" customWidth="1" style="497" min="23" max="23"/>
    <col width="13" bestFit="1" customWidth="1" style="497" min="24" max="24"/>
    <col width="11.125" bestFit="1" customWidth="1" style="497" min="26" max="26"/>
    <col width="12.375" bestFit="1" customWidth="1" style="497" min="30" max="30"/>
    <col width="11.125" bestFit="1" customWidth="1" style="497" min="31" max="31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T2" s="206" t="inlineStr">
        <is>
          <t xml:space="preserve">* 기본 구독료 기준 보상 </t>
        </is>
      </c>
      <c r="U2" s="206" t="inlineStr">
        <is>
          <t>* 할인여부 무관 기본구독료 기준 보상</t>
        </is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75" t="inlineStr">
        <is>
          <t>선납+선납할인 시</t>
        </is>
      </c>
      <c r="O3" s="76" t="n"/>
      <c r="P3" s="76" t="n"/>
      <c r="Q3" s="76" t="n"/>
      <c r="R3" s="75" t="inlineStr">
        <is>
          <t>AS 미사용 기간 보상</t>
        </is>
      </c>
      <c r="S3" s="70" t="n"/>
      <c r="T3" s="70" t="n"/>
      <c r="U3" s="70" t="n"/>
      <c r="V3" s="7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26" t="inlineStr">
        <is>
          <t>AS 기간</t>
        </is>
      </c>
      <c r="S4" s="9" t="inlineStr">
        <is>
          <t>경과일</t>
        </is>
      </c>
      <c r="T4" s="9" t="inlineStr">
        <is>
          <t>미사용기간분</t>
        </is>
      </c>
      <c r="U4" s="15" t="inlineStr">
        <is>
          <t>할인금</t>
        </is>
      </c>
      <c r="V4" s="9" t="inlineStr">
        <is>
          <t>최종 보상금</t>
        </is>
      </c>
      <c r="X4" s="122" t="inlineStr">
        <is>
          <t>미사용기간분</t>
        </is>
      </c>
      <c r="Y4" s="121" t="n"/>
      <c r="Z4" s="123" t="n"/>
      <c r="AA4" s="123" t="n"/>
      <c r="AB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ROUNDDOWN(($C$11/$C$7-Z13-Z18)*(H5-G5+1)/DAY(H5),-2)</f>
        <v/>
      </c>
      <c r="Q5" s="519">
        <f>ROUNDDOWN(($C$12/$C$7-Z14-Z19)*(H5-G5+1)/DAY(H5),-2)</f>
        <v/>
      </c>
      <c r="R5" s="55" t="n"/>
      <c r="S5" s="54" t="n"/>
      <c r="T5" s="54" t="n"/>
      <c r="U5" s="626" t="n"/>
      <c r="V5" s="574" t="n"/>
      <c r="X5" s="125" t="n"/>
      <c r="Y5" s="26" t="inlineStr">
        <is>
          <t>제품</t>
        </is>
      </c>
      <c r="Z5" s="15" t="inlineStr">
        <is>
          <t>케어</t>
        </is>
      </c>
      <c r="AA5" s="15" t="inlineStr">
        <is>
          <t>보증</t>
        </is>
      </c>
      <c r="AB5" s="27" t="inlineStr">
        <is>
          <t>선납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$C$11/$C$7-$Z$13-$Z$18</f>
        <v/>
      </c>
      <c r="Q6" s="519">
        <f>$C$12/$C$7-$Z$14-$Z$19</f>
        <v/>
      </c>
      <c r="R6" s="92" t="n"/>
      <c r="S6" s="196" t="n"/>
      <c r="T6" s="196" t="n"/>
      <c r="U6" s="206" t="n"/>
      <c r="V6" s="196" t="n"/>
      <c r="X6" s="527">
        <f>T23</f>
        <v/>
      </c>
      <c r="Y6" s="506">
        <f>X6-SUM(Z6:AB6)</f>
        <v/>
      </c>
      <c r="Z6" s="506">
        <f>ROUNDUP(L23*S23/DAY(H23),-2)</f>
        <v/>
      </c>
      <c r="AA6" s="506">
        <f>ROUNDUP(M23*S23/DAY(H23),-2)</f>
        <v/>
      </c>
      <c r="AB6" s="506">
        <f>ROUNDUP(($C$26/$C$7)*S23/DAY(H23),-2)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$C$11/$C$7-$Z$13-$Z$18</f>
        <v/>
      </c>
      <c r="Q7" s="519">
        <f>$C$12/$C$7-$Z$14-$Z$19</f>
        <v/>
      </c>
      <c r="R7" s="92" t="n"/>
      <c r="S7" s="196" t="n"/>
      <c r="T7" s="196" t="n"/>
      <c r="U7" s="206" t="n"/>
      <c r="V7" s="196" t="n"/>
      <c r="X7" s="527">
        <f>T24</f>
        <v/>
      </c>
      <c r="Y7" s="506">
        <f>X7-SUM(Z7:AB7)</f>
        <v/>
      </c>
      <c r="Z7" s="506">
        <f>ROUNDUP(L24*S24/DAY(H24),-2)</f>
        <v/>
      </c>
      <c r="AA7" s="506">
        <f>ROUNDUP(M24*S24/DAY(H24),-2)</f>
        <v/>
      </c>
      <c r="AB7" s="506">
        <f>ROUNDUP(($C$26/$C$7)*S24/DAY(H24),-2)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$C$11/$C$7-$Z$13-$Z$18</f>
        <v/>
      </c>
      <c r="Q8" s="519">
        <f>$C$12/$C$7-$Z$14-$Z$19</f>
        <v/>
      </c>
      <c r="R8" s="92" t="n"/>
      <c r="S8" s="196" t="n"/>
      <c r="T8" s="196" t="n"/>
      <c r="U8" s="206" t="n"/>
      <c r="V8" s="196" t="n"/>
      <c r="AB8" s="206" t="inlineStr">
        <is>
          <t>* 차후 중도해지 발생으로 선납환불 시, 이미 보상으로 환불된 선납포션 제외필요</t>
        </is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$C$11/$C$7-$Z$13-$Z$18</f>
        <v/>
      </c>
      <c r="Q9" s="519">
        <f>$C$12/$C$7-$Z$14-$Z$19</f>
        <v/>
      </c>
      <c r="R9" s="92" t="n"/>
      <c r="S9" s="196" t="n"/>
      <c r="T9" s="196" t="n"/>
      <c r="U9" s="206" t="n"/>
      <c r="V9" s="196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$C$11/$C$7-$Z$13-$Z$18</f>
        <v/>
      </c>
      <c r="Q10" s="519">
        <f>$C$12/$C$7-$Z$14-$Z$19</f>
        <v/>
      </c>
      <c r="R10" s="92" t="n"/>
      <c r="S10" s="196" t="n"/>
      <c r="T10" s="196" t="n"/>
      <c r="U10" s="206" t="n"/>
      <c r="V10" s="196" t="n"/>
      <c r="X10" s="206" t="inlineStr">
        <is>
          <t>v- 100단위 조정</t>
        </is>
      </c>
      <c r="AB10" s="206" t="inlineStr">
        <is>
          <t>v- 소수점만 제거</t>
        </is>
      </c>
      <c r="AE10" s="206" t="inlineStr">
        <is>
          <t>V+</t>
        </is>
      </c>
    </row>
    <row r="11">
      <c r="B11" s="9" t="inlineStr">
        <is>
          <t>케어서비스(v-)</t>
        </is>
      </c>
      <c r="C11" s="526">
        <f>5900*72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$C$11/$C$7-$Z$13-$Z$18</f>
        <v/>
      </c>
      <c r="Q11" s="519">
        <f>$C$12/$C$7-$Z$14-$Z$19</f>
        <v/>
      </c>
      <c r="R11" s="92" t="n"/>
      <c r="S11" s="196" t="n"/>
      <c r="T11" s="196" t="n"/>
      <c r="U11" s="206" t="n"/>
      <c r="V11" s="196" t="n"/>
      <c r="X11" s="378" t="inlineStr">
        <is>
          <t>월 선납금(v-)</t>
        </is>
      </c>
      <c r="Y11" s="251" t="n"/>
      <c r="Z11" s="504">
        <f>$C$26/$C$7</f>
        <v/>
      </c>
      <c r="AB11" s="378" t="inlineStr">
        <is>
          <t>월 선납금(v-)</t>
        </is>
      </c>
      <c r="AC11" s="251" t="n"/>
      <c r="AD11" s="504">
        <f>$C$26/$C$7</f>
        <v/>
      </c>
      <c r="AE11" s="505">
        <f>AD11*1.1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$C$11/$C$7-$Z$13-$Z$18</f>
        <v/>
      </c>
      <c r="Q12" s="519">
        <f>$C$12/$C$7-$Z$14-$Z$19</f>
        <v/>
      </c>
      <c r="R12" s="92" t="n"/>
      <c r="S12" s="196" t="n"/>
      <c r="T12" s="196" t="n"/>
      <c r="U12" s="206" t="n"/>
      <c r="V12" s="196" t="n"/>
      <c r="X12" s="375" t="n"/>
      <c r="Y12" s="506" t="inlineStr">
        <is>
          <t>제품</t>
        </is>
      </c>
      <c r="Z12" s="507">
        <f>Z11-Z13-Z14</f>
        <v/>
      </c>
      <c r="AB12" s="375" t="n"/>
      <c r="AC12" s="506" t="inlineStr">
        <is>
          <t>제품</t>
        </is>
      </c>
      <c r="AD12" s="507">
        <f>AD11-AD13-AD14</f>
        <v/>
      </c>
      <c r="AE12" s="505">
        <f>ROUND(AD12*1.1,)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$C$11/$C$7-$Z$13-$Z$18</f>
        <v/>
      </c>
      <c r="Q13" s="519">
        <f>$C$12/$C$7-$Z$14-$Z$19</f>
        <v/>
      </c>
      <c r="R13" s="92" t="n"/>
      <c r="S13" s="196" t="n"/>
      <c r="T13" s="196" t="n"/>
      <c r="U13" s="206" t="n"/>
      <c r="V13" s="196" t="n"/>
      <c r="X13" s="375" t="n"/>
      <c r="Y13" s="506" t="inlineStr">
        <is>
          <t>케어</t>
        </is>
      </c>
      <c r="Z13" s="507">
        <f>ROUND(Z11*C11/$C$14,-2)</f>
        <v/>
      </c>
      <c r="AB13" s="375" t="n"/>
      <c r="AC13" s="506" t="inlineStr">
        <is>
          <t>케어</t>
        </is>
      </c>
      <c r="AD13" s="507">
        <f>ROUND(AD11*$C$11/$C$14,0)</f>
        <v/>
      </c>
      <c r="AE13" s="505">
        <f>ROUND(AD13*1.1,)</f>
        <v/>
      </c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$C$11/$C$7-$Z$13-$Z$18</f>
        <v/>
      </c>
      <c r="Q14" s="519">
        <f>$C$12/$C$7-$Z$14-$Z$19</f>
        <v/>
      </c>
      <c r="R14" s="92" t="n"/>
      <c r="S14" s="196" t="n"/>
      <c r="T14" s="196" t="n"/>
      <c r="U14" s="206" t="n"/>
      <c r="V14" s="196" t="n"/>
      <c r="X14" s="376" t="n"/>
      <c r="Y14" s="524" t="inlineStr">
        <is>
          <t>보증</t>
        </is>
      </c>
      <c r="Z14" s="507">
        <f>ROUND(Z11*C12/$C$14,-2)</f>
        <v/>
      </c>
      <c r="AB14" s="376" t="n"/>
      <c r="AC14" s="524" t="inlineStr">
        <is>
          <t>보증</t>
        </is>
      </c>
      <c r="AD14" s="507">
        <f>ROUND(AD11*$C$12/$C$14,0)</f>
        <v/>
      </c>
      <c r="AE14" s="505">
        <f>ROUND(AD14*1.1,)</f>
        <v/>
      </c>
    </row>
    <row r="15">
      <c r="B15" s="9" t="inlineStr">
        <is>
          <t>월구독료(v-)</t>
        </is>
      </c>
      <c r="C15" s="526">
        <f>C14/C7</f>
        <v/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$C$11/$C$7-$Z$13-$Z$18</f>
        <v/>
      </c>
      <c r="Q15" s="519">
        <f>$C$12/$C$7-$Z$14-$Z$19</f>
        <v/>
      </c>
      <c r="R15" s="92" t="n"/>
      <c r="S15" s="196" t="n"/>
      <c r="T15" s="196" t="n"/>
      <c r="U15" s="206" t="n"/>
      <c r="V15" s="196" t="n"/>
      <c r="X15" s="399" t="n"/>
      <c r="Y15" s="500" t="n"/>
      <c r="Z15" s="206" t="n"/>
      <c r="AB15" s="399" t="n"/>
      <c r="AC15" s="500" t="n"/>
      <c r="AD15" s="206" t="n"/>
      <c r="AE15" s="505" t="n"/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$C$11/$C$7-$Z$13-$Z$18</f>
        <v/>
      </c>
      <c r="Q16" s="519">
        <f>$C$12/$C$7-$Z$14-$Z$19</f>
        <v/>
      </c>
      <c r="R16" s="92" t="n"/>
      <c r="S16" s="196" t="n"/>
      <c r="T16" s="196" t="n"/>
      <c r="U16" s="206" t="n"/>
      <c r="V16" s="196" t="n"/>
      <c r="X16" s="378" t="inlineStr">
        <is>
          <t>월 선납할인(V-)</t>
        </is>
      </c>
      <c r="Y16" s="251" t="n"/>
      <c r="Z16" s="525">
        <f>$C$30/$C$7</f>
        <v/>
      </c>
      <c r="AB16" s="378" t="inlineStr">
        <is>
          <t>월 선납할인(V-)</t>
        </is>
      </c>
      <c r="AC16" s="251" t="n"/>
      <c r="AD16" s="525">
        <f>$C$30/$C$7</f>
        <v/>
      </c>
      <c r="AE16" s="505">
        <f>AD16*1.1</f>
        <v/>
      </c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$C$11/$C$7-$Z$13-$Z$18</f>
        <v/>
      </c>
      <c r="Q17" s="519">
        <f>$C$12/$C$7-$Z$14-$Z$19</f>
        <v/>
      </c>
      <c r="R17" s="92" t="n"/>
      <c r="S17" s="196" t="n"/>
      <c r="T17" s="196" t="n"/>
      <c r="U17" s="206" t="n"/>
      <c r="V17" s="196" t="n"/>
      <c r="X17" s="375" t="n"/>
      <c r="Y17" s="506" t="inlineStr">
        <is>
          <t>제품</t>
        </is>
      </c>
      <c r="Z17" s="507">
        <f>Z16-Z18-Z19</f>
        <v/>
      </c>
      <c r="AB17" s="375" t="n"/>
      <c r="AC17" s="506" t="inlineStr">
        <is>
          <t>제품</t>
        </is>
      </c>
      <c r="AD17" s="507">
        <f>AD16-AD18-AD19</f>
        <v/>
      </c>
      <c r="AE17" s="505">
        <f>ROUND(AD17*1.1,)</f>
        <v/>
      </c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$C$11/$C$7-$Z$13-$Z$18</f>
        <v/>
      </c>
      <c r="Q18" s="519">
        <f>$C$12/$C$7-$Z$14-$Z$19</f>
        <v/>
      </c>
      <c r="R18" s="92" t="n"/>
      <c r="S18" s="196" t="n"/>
      <c r="T18" s="196" t="n"/>
      <c r="U18" s="206" t="n"/>
      <c r="V18" s="196" t="n"/>
      <c r="X18" s="375" t="n"/>
      <c r="Y18" s="506" t="inlineStr">
        <is>
          <t>케어</t>
        </is>
      </c>
      <c r="Z18" s="507">
        <f>ROUND(Z16*$C$11/$C$14,-2)</f>
        <v/>
      </c>
      <c r="AB18" s="375" t="n"/>
      <c r="AC18" s="506" t="inlineStr">
        <is>
          <t>케어</t>
        </is>
      </c>
      <c r="AD18" s="507">
        <f>ROUND(AD16*$C$11/$C$14,0)</f>
        <v/>
      </c>
      <c r="AE18" s="505">
        <f>ROUND(AD18*1.1,)</f>
        <v/>
      </c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$C$11/$C$7-$Z$13-$Z$18</f>
        <v/>
      </c>
      <c r="Q19" s="519">
        <f>$C$12/$C$7-$Z$14-$Z$19</f>
        <v/>
      </c>
      <c r="R19" s="92" t="n"/>
      <c r="S19" s="196" t="n"/>
      <c r="T19" s="196" t="n"/>
      <c r="U19" s="206" t="n"/>
      <c r="V19" s="196" t="n"/>
      <c r="X19" s="376" t="n"/>
      <c r="Y19" s="524" t="inlineStr">
        <is>
          <t>보증</t>
        </is>
      </c>
      <c r="Z19" s="507">
        <f>ROUND(Z16*$C$12/$C$14,-2)</f>
        <v/>
      </c>
      <c r="AB19" s="376" t="n"/>
      <c r="AC19" s="524" t="inlineStr">
        <is>
          <t>보증</t>
        </is>
      </c>
      <c r="AD19" s="507">
        <f>ROUND(AD16*$C$12/$C$14,0)</f>
        <v/>
      </c>
      <c r="AE19" s="505">
        <f>ROUND(AD19*1.1,)</f>
        <v/>
      </c>
    </row>
    <row r="20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$C$11/$C$7-$Z$13-$Z$18</f>
        <v/>
      </c>
      <c r="Q20" s="519">
        <f>$C$12/$C$7-$Z$14-$Z$19</f>
        <v/>
      </c>
      <c r="R20" s="92" t="n"/>
      <c r="S20" s="196" t="n"/>
      <c r="T20" s="196" t="n"/>
      <c r="U20" s="206" t="n"/>
      <c r="V20" s="196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$C$11/$C$7-$Z$13-$Z$18</f>
        <v/>
      </c>
      <c r="Q21" s="519">
        <f>$C$12/$C$7-$Z$14-$Z$19</f>
        <v/>
      </c>
      <c r="R21" s="92" t="n"/>
      <c r="S21" s="196" t="n"/>
      <c r="T21" s="196" t="n"/>
      <c r="U21" s="206" t="n"/>
      <c r="V21" s="196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$C$11/$C$7-$Z$13-$Z$18</f>
        <v/>
      </c>
      <c r="Q22" s="519">
        <f>$C$12/$C$7-$Z$14-$Z$19</f>
        <v/>
      </c>
      <c r="R22" s="92" t="n"/>
      <c r="S22" s="196" t="n"/>
      <c r="T22" s="196" t="inlineStr">
        <is>
          <t>* 고객에게 돌려주는 보상금은 ROUNDUP</t>
        </is>
      </c>
      <c r="U22" s="206" t="n"/>
      <c r="V22" s="196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$C$11/$C$7-$Z$13-$Z$18</f>
        <v/>
      </c>
      <c r="Q23" s="519">
        <f>$C$12/$C$7-$Z$14-$Z$19</f>
        <v/>
      </c>
      <c r="R23" s="99" t="n">
        <v>46448</v>
      </c>
      <c r="S23" s="415">
        <f>H23-R23+1</f>
        <v/>
      </c>
      <c r="T23" s="630">
        <f>ROUNDUP($J$23*S23/DAY(H23),-2)</f>
        <v/>
      </c>
      <c r="U23" s="632" t="n"/>
      <c r="V23" s="735">
        <f>T23</f>
        <v/>
      </c>
      <c r="W23" s="500">
        <f>SUM(T23:T24)</f>
        <v/>
      </c>
      <c r="X23" s="517">
        <f>ROUNDUP(C14*(S23+S24)/C8,-2)</f>
        <v/>
      </c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$C$31</f>
        <v/>
      </c>
      <c r="O24" s="516">
        <f>N24-P24-Q24</f>
        <v/>
      </c>
      <c r="P24" s="500">
        <f>$C$11/$C$7-$Z$13-$Z$18</f>
        <v/>
      </c>
      <c r="Q24" s="519">
        <f>$C$12/$C$7-$Z$14-$Z$19</f>
        <v/>
      </c>
      <c r="R24" s="99" t="n">
        <v>46482</v>
      </c>
      <c r="S24" s="415">
        <f>R24-G24+1</f>
        <v/>
      </c>
      <c r="T24" s="630">
        <f>ROUNDUP($J$24*S24/DAY(H24),-2)</f>
        <v/>
      </c>
      <c r="U24" s="632" t="n"/>
      <c r="V24" s="735">
        <f>T24</f>
        <v/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$C$11/$C$7-$Z$13-$Z$18</f>
        <v/>
      </c>
      <c r="Q25" s="519">
        <f>$C$12/$C$7-$Z$14-$Z$19</f>
        <v/>
      </c>
      <c r="R25" s="92" t="n"/>
      <c r="S25" s="196" t="n"/>
      <c r="T25" s="196" t="inlineStr">
        <is>
          <t>* 선납 여부 무관 기본 구독료 기준으로 미사용기간분 계산 (선납 일부 환불)</t>
        </is>
      </c>
      <c r="U25" s="539" t="n"/>
      <c r="V25" s="196" t="n"/>
    </row>
    <row r="26">
      <c r="A26" s="176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$C$11/$C$7-$Z$13-$Z$18</f>
        <v/>
      </c>
      <c r="Q26" s="519">
        <f>$C$12/$C$7-$Z$14-$Z$19</f>
        <v/>
      </c>
      <c r="R26" s="92" t="n"/>
      <c r="S26" s="196" t="n"/>
      <c r="T26" s="196" t="n"/>
      <c r="U26" s="206" t="n"/>
      <c r="V26" s="196" t="n"/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$C$11/$C$7-$Z$13-$Z$18</f>
        <v/>
      </c>
      <c r="Q27" s="519">
        <f>$C$12/$C$7-$Z$14-$Z$19</f>
        <v/>
      </c>
      <c r="R27" s="92" t="n"/>
      <c r="S27" s="196" t="n"/>
      <c r="T27" s="196" t="n"/>
      <c r="U27" s="206" t="n"/>
      <c r="V27" s="196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$C$11/$C$7-$Z$13-$Z$18</f>
        <v/>
      </c>
      <c r="Q28" s="519">
        <f>$C$12/$C$7-$Z$14-$Z$19</f>
        <v/>
      </c>
      <c r="R28" s="92" t="n"/>
      <c r="S28" s="196" t="n"/>
      <c r="T28" s="196" t="n"/>
      <c r="U28" s="206" t="n"/>
      <c r="V28" s="196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$C$11/$C$7-$Z$13-$Z$18</f>
        <v/>
      </c>
      <c r="Q29" s="519">
        <f>$C$12/$C$7-$Z$14-$Z$19</f>
        <v/>
      </c>
      <c r="R29" s="92" t="n"/>
      <c r="S29" s="196" t="n"/>
      <c r="T29" s="196" t="n"/>
      <c r="U29" s="206" t="n"/>
      <c r="V29" s="196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$C$11/$C$7-$Z$13-$Z$18</f>
        <v/>
      </c>
      <c r="Q30" s="519">
        <f>$C$12/$C$7-$Z$14-$Z$19</f>
        <v/>
      </c>
      <c r="R30" s="92" t="n"/>
      <c r="S30" s="196" t="n"/>
      <c r="T30" s="196" t="n"/>
      <c r="U30" s="206" t="n"/>
      <c r="V30" s="196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$C$11/$C$7-$Z$13-$Z$18</f>
        <v/>
      </c>
      <c r="Q31" s="519">
        <f>$C$12/$C$7-$Z$14-$Z$19</f>
        <v/>
      </c>
      <c r="R31" s="92" t="n"/>
      <c r="S31" s="196" t="n"/>
      <c r="T31" s="196" t="n"/>
      <c r="U31" s="206" t="n"/>
      <c r="V31" s="196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$C$11/$C$7-$Z$13-$Z$18</f>
        <v/>
      </c>
      <c r="Q32" s="519">
        <f>$C$12/$C$7-$Z$14-$Z$19</f>
        <v/>
      </c>
      <c r="R32" s="92" t="n"/>
      <c r="S32" s="196" t="n"/>
      <c r="T32" s="196" t="n"/>
      <c r="U32" s="206" t="n"/>
      <c r="V32" s="196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$C$11/$C$7-$Z$13-$Z$18</f>
        <v/>
      </c>
      <c r="Q33" s="519">
        <f>$C$12/$C$7-$Z$14-$Z$19</f>
        <v/>
      </c>
      <c r="R33" s="92" t="n"/>
      <c r="S33" s="196" t="n"/>
      <c r="T33" s="196" t="n"/>
      <c r="U33" s="206" t="n"/>
      <c r="V33" s="196" t="n"/>
    </row>
    <row r="34">
      <c r="B34" s="9" t="inlineStr">
        <is>
          <t>선납금+선납 할인 반영 순수 구독료 (V-)</t>
        </is>
      </c>
      <c r="C34" s="506">
        <f>C32-C11-C12+SUM(Z13:Z14,Z18:Z19)*C7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$C$11/$C$7-$Z$13-$Z$18</f>
        <v/>
      </c>
      <c r="Q34" s="519">
        <f>$C$12/$C$7-$Z$14-$Z$19</f>
        <v/>
      </c>
      <c r="R34" s="92" t="n"/>
      <c r="S34" s="196" t="n"/>
      <c r="T34" s="196" t="n"/>
      <c r="U34" s="206" t="n"/>
      <c r="V34" s="196" t="n"/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$C$11/$C$7-$Z$13-$Z$18</f>
        <v/>
      </c>
      <c r="Q35" s="519">
        <f>$C$12/$C$7-$Z$14-$Z$19</f>
        <v/>
      </c>
      <c r="R35" s="92" t="n"/>
      <c r="S35" s="196" t="n"/>
      <c r="T35" s="196" t="n"/>
      <c r="U35" s="206" t="n"/>
      <c r="V35" s="196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$C$11/$C$7-$Z$13-$Z$18</f>
        <v/>
      </c>
      <c r="Q36" s="519">
        <f>$C$12/$C$7-$Z$14-$Z$19</f>
        <v/>
      </c>
      <c r="R36" s="92" t="n"/>
      <c r="S36" s="196" t="n"/>
      <c r="T36" s="196" t="n"/>
      <c r="U36" s="206" t="n"/>
      <c r="V36" s="196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$C$11/$C$7-$Z$13-$Z$18</f>
        <v/>
      </c>
      <c r="Q37" s="519">
        <f>$C$12/$C$7-$Z$14-$Z$19</f>
        <v/>
      </c>
      <c r="R37" s="92" t="n"/>
      <c r="S37" s="196" t="n"/>
      <c r="T37" s="196" t="n"/>
      <c r="U37" s="206" t="n"/>
      <c r="V37" s="196" t="n"/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$C$11/$C$7-$Z$13-$Z$18</f>
        <v/>
      </c>
      <c r="Q38" s="519">
        <f>$C$12/$C$7-$Z$14-$Z$19</f>
        <v/>
      </c>
      <c r="R38" s="92" t="n"/>
      <c r="S38" s="196" t="n"/>
      <c r="T38" s="196" t="n"/>
      <c r="U38" s="206" t="n"/>
      <c r="V38" s="196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$C$11/$C$7-$Z$13-$Z$18</f>
        <v/>
      </c>
      <c r="Q39" s="519">
        <f>$C$12/$C$7-$Z$14-$Z$19</f>
        <v/>
      </c>
      <c r="R39" s="92" t="n"/>
      <c r="S39" s="196" t="n"/>
      <c r="T39" s="196" t="n"/>
      <c r="U39" s="206" t="n"/>
      <c r="V39" s="196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$C$11/$C$7-$Z$13-$Z$18</f>
        <v/>
      </c>
      <c r="Q40" s="519">
        <f>$C$12/$C$7-$Z$14-$Z$19</f>
        <v/>
      </c>
      <c r="R40" s="92" t="n"/>
      <c r="S40" s="196" t="n"/>
      <c r="T40" s="196" t="n"/>
      <c r="U40" s="206" t="n"/>
      <c r="V40" s="196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$C$11/$C$7-$Z$13-$Z$18</f>
        <v/>
      </c>
      <c r="Q41" s="519">
        <f>$C$12/$C$7-$Z$14-$Z$19</f>
        <v/>
      </c>
      <c r="R41" s="92" t="n"/>
      <c r="S41" s="196" t="n"/>
      <c r="T41" s="196" t="n"/>
      <c r="U41" s="206" t="n"/>
      <c r="V41" s="196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$C$11/$C$7-$Z$13-$Z$18</f>
        <v/>
      </c>
      <c r="Q42" s="519">
        <f>$C$12/$C$7-$Z$14-$Z$19</f>
        <v/>
      </c>
      <c r="R42" s="92" t="n"/>
      <c r="S42" s="196" t="n"/>
      <c r="T42" s="196" t="n"/>
      <c r="U42" s="206" t="n"/>
      <c r="V42" s="196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$C$11/$C$7-$Z$13-$Z$18</f>
        <v/>
      </c>
      <c r="Q43" s="519">
        <f>$C$12/$C$7-$Z$14-$Z$19</f>
        <v/>
      </c>
      <c r="R43" s="92" t="n"/>
      <c r="S43" s="196" t="n"/>
      <c r="T43" s="196" t="n"/>
      <c r="U43" s="206" t="n"/>
      <c r="V43" s="196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$C$11/$C$7-$Z$13-$Z$18</f>
        <v/>
      </c>
      <c r="Q44" s="519">
        <f>$C$12/$C$7-$Z$14-$Z$19</f>
        <v/>
      </c>
      <c r="R44" s="92" t="n"/>
      <c r="S44" s="196" t="n"/>
      <c r="T44" s="196" t="n"/>
      <c r="U44" s="206" t="n"/>
      <c r="V44" s="196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$C$11/$C$7-$Z$13-$Z$18</f>
        <v/>
      </c>
      <c r="Q45" s="519">
        <f>$C$12/$C$7-$Z$14-$Z$19</f>
        <v/>
      </c>
      <c r="R45" s="92" t="n"/>
      <c r="S45" s="196" t="n"/>
      <c r="T45" s="196" t="n"/>
      <c r="U45" s="206" t="n"/>
      <c r="V45" s="196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$C$11/$C$7-$Z$13-$Z$18</f>
        <v/>
      </c>
      <c r="Q46" s="519">
        <f>$C$12/$C$7-$Z$14-$Z$19</f>
        <v/>
      </c>
      <c r="R46" s="92" t="n"/>
      <c r="S46" s="196" t="n"/>
      <c r="T46" s="196" t="n"/>
      <c r="U46" s="206" t="n"/>
      <c r="V46" s="196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$C$11/$C$7-$Z$13-$Z$18</f>
        <v/>
      </c>
      <c r="Q47" s="519">
        <f>$C$12/$C$7-$Z$14-$Z$19</f>
        <v/>
      </c>
      <c r="R47" s="92" t="n"/>
      <c r="S47" s="196" t="n"/>
      <c r="T47" s="196" t="n"/>
      <c r="U47" s="206" t="n"/>
      <c r="V47" s="196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$C$11/$C$7-$Z$13-$Z$18</f>
        <v/>
      </c>
      <c r="Q48" s="519">
        <f>$C$12/$C$7-$Z$14-$Z$19</f>
        <v/>
      </c>
      <c r="R48" s="92" t="n"/>
      <c r="S48" s="196" t="n"/>
      <c r="T48" s="196" t="n"/>
      <c r="U48" s="206" t="n"/>
      <c r="V48" s="196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$C$11/$C$7-$Z$13-$Z$18</f>
        <v/>
      </c>
      <c r="Q49" s="519">
        <f>$C$12/$C$7-$Z$14-$Z$19</f>
        <v/>
      </c>
      <c r="R49" s="92" t="n"/>
      <c r="S49" s="196" t="n"/>
      <c r="T49" s="196" t="n"/>
      <c r="U49" s="206" t="n"/>
      <c r="V49" s="196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$C$11/$C$7-$Z$13-$Z$18</f>
        <v/>
      </c>
      <c r="Q50" s="519">
        <f>$C$12/$C$7-$Z$14-$Z$19</f>
        <v/>
      </c>
      <c r="R50" s="92" t="n"/>
      <c r="S50" s="196" t="n"/>
      <c r="T50" s="196" t="n"/>
      <c r="U50" s="206" t="n"/>
      <c r="V50" s="196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$C$11/$C$7-$Z$13-$Z$18</f>
        <v/>
      </c>
      <c r="Q51" s="519">
        <f>$C$12/$C$7-$Z$14-$Z$19</f>
        <v/>
      </c>
      <c r="R51" s="92" t="n"/>
      <c r="S51" s="196" t="n"/>
      <c r="T51" s="196" t="n"/>
      <c r="U51" s="206" t="n"/>
      <c r="V51" s="196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$C$11/$C$7-$Z$13-$Z$18</f>
        <v/>
      </c>
      <c r="Q52" s="519">
        <f>$C$12/$C$7-$Z$14-$Z$19</f>
        <v/>
      </c>
      <c r="R52" s="92" t="n"/>
      <c r="S52" s="196" t="n"/>
      <c r="T52" s="196" t="n"/>
      <c r="U52" s="206" t="n"/>
      <c r="V52" s="196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$C$11/$C$7-$Z$13-$Z$18</f>
        <v/>
      </c>
      <c r="Q53" s="519">
        <f>$C$12/$C$7-$Z$14-$Z$19</f>
        <v/>
      </c>
      <c r="R53" s="92" t="n"/>
      <c r="S53" s="196" t="n"/>
      <c r="T53" s="196" t="n"/>
      <c r="U53" s="206" t="n"/>
      <c r="V53" s="196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$C$11/$C$7-$Z$13-$Z$18</f>
        <v/>
      </c>
      <c r="Q54" s="519">
        <f>$C$12/$C$7-$Z$14-$Z$19</f>
        <v/>
      </c>
      <c r="R54" s="92" t="n"/>
      <c r="S54" s="196" t="n"/>
      <c r="T54" s="196" t="n"/>
      <c r="U54" s="206" t="n"/>
      <c r="V54" s="196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$C$11/$C$7-$Z$13-$Z$18</f>
        <v/>
      </c>
      <c r="Q55" s="519">
        <f>$C$12/$C$7-$Z$14-$Z$19</f>
        <v/>
      </c>
      <c r="R55" s="92" t="n"/>
      <c r="S55" s="196" t="n"/>
      <c r="T55" s="196" t="n"/>
      <c r="U55" s="206" t="n"/>
      <c r="V55" s="196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$C$11/$C$7-$Z$13-$Z$18</f>
        <v/>
      </c>
      <c r="Q56" s="519">
        <f>$C$12/$C$7-$Z$14-$Z$19</f>
        <v/>
      </c>
      <c r="R56" s="92" t="n"/>
      <c r="S56" s="196" t="n"/>
      <c r="T56" s="196" t="n"/>
      <c r="U56" s="206" t="n"/>
      <c r="V56" s="196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$C$11/$C$7-$Z$13-$Z$18</f>
        <v/>
      </c>
      <c r="Q57" s="519">
        <f>$C$12/$C$7-$Z$14-$Z$19</f>
        <v/>
      </c>
      <c r="R57" s="92" t="n"/>
      <c r="S57" s="196" t="n"/>
      <c r="T57" s="196" t="n"/>
      <c r="U57" s="206" t="n"/>
      <c r="V57" s="196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$C$11/$C$7-$Z$13-$Z$18</f>
        <v/>
      </c>
      <c r="Q58" s="519">
        <f>$C$12/$C$7-$Z$14-$Z$19</f>
        <v/>
      </c>
      <c r="R58" s="92" t="n"/>
      <c r="S58" s="196" t="n"/>
      <c r="T58" s="196" t="n"/>
      <c r="U58" s="206" t="n"/>
      <c r="V58" s="196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$C$11/$C$7-$Z$13-$Z$18</f>
        <v/>
      </c>
      <c r="Q59" s="519">
        <f>$C$12/$C$7-$Z$14-$Z$19</f>
        <v/>
      </c>
      <c r="R59" s="92" t="n"/>
      <c r="S59" s="196" t="n"/>
      <c r="T59" s="196" t="n"/>
      <c r="U59" s="206" t="n"/>
      <c r="V59" s="196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$C$11/$C$7-$Z$13-$Z$18</f>
        <v/>
      </c>
      <c r="Q60" s="519">
        <f>$C$12/$C$7-$Z$14-$Z$19</f>
        <v/>
      </c>
      <c r="R60" s="92" t="n"/>
      <c r="S60" s="196" t="n"/>
      <c r="T60" s="196" t="n"/>
      <c r="U60" s="206" t="n"/>
      <c r="V60" s="196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$C$11/$C$7-$Z$13-$Z$18</f>
        <v/>
      </c>
      <c r="Q61" s="519">
        <f>$C$12/$C$7-$Z$14-$Z$19</f>
        <v/>
      </c>
      <c r="R61" s="92" t="n"/>
      <c r="S61" s="196" t="n"/>
      <c r="T61" s="196" t="n"/>
      <c r="U61" s="206" t="n"/>
      <c r="V61" s="196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$C$11/$C$7-$Z$13-$Z$18</f>
        <v/>
      </c>
      <c r="Q62" s="519">
        <f>$C$12/$C$7-$Z$14-$Z$19</f>
        <v/>
      </c>
      <c r="R62" s="92" t="n"/>
      <c r="S62" s="196" t="n"/>
      <c r="T62" s="196" t="n"/>
      <c r="U62" s="206" t="n"/>
      <c r="V62" s="196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$C$11/$C$7-$Z$13-$Z$18</f>
        <v/>
      </c>
      <c r="Q63" s="519">
        <f>$C$12/$C$7-$Z$14-$Z$19</f>
        <v/>
      </c>
      <c r="R63" s="92" t="n"/>
      <c r="S63" s="196" t="n"/>
      <c r="T63" s="196" t="n"/>
      <c r="U63" s="206" t="n"/>
      <c r="V63" s="196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$C$11/$C$7-$Z$13-$Z$18</f>
        <v/>
      </c>
      <c r="Q64" s="519">
        <f>$C$12/$C$7-$Z$14-$Z$19</f>
        <v/>
      </c>
      <c r="R64" s="92" t="n"/>
      <c r="S64" s="196" t="n"/>
      <c r="T64" s="196" t="n"/>
      <c r="U64" s="206" t="n"/>
      <c r="V64" s="196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$C$11/$C$7-$Z$13-$Z$18</f>
        <v/>
      </c>
      <c r="Q65" s="519">
        <f>$C$12/$C$7-$Z$14-$Z$19</f>
        <v/>
      </c>
      <c r="R65" s="92" t="n"/>
      <c r="S65" s="196" t="n"/>
      <c r="T65" s="196" t="n"/>
      <c r="U65" s="206" t="n"/>
      <c r="V65" s="196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$C$11/$C$7-$Z$13-$Z$18</f>
        <v/>
      </c>
      <c r="Q66" s="519">
        <f>$C$12/$C$7-$Z$14-$Z$19</f>
        <v/>
      </c>
      <c r="R66" s="92" t="n"/>
      <c r="S66" s="196" t="n"/>
      <c r="T66" s="196" t="n"/>
      <c r="U66" s="206" t="n"/>
      <c r="V66" s="196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$C$11/$C$7-$Z$13-$Z$18</f>
        <v/>
      </c>
      <c r="Q67" s="519">
        <f>$C$12/$C$7-$Z$14-$Z$19</f>
        <v/>
      </c>
      <c r="R67" s="92" t="n"/>
      <c r="S67" s="196" t="n"/>
      <c r="T67" s="196" t="n"/>
      <c r="U67" s="206" t="n"/>
      <c r="V67" s="196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$C$11/$C$7-$Z$13-$Z$18</f>
        <v/>
      </c>
      <c r="Q68" s="519">
        <f>$C$12/$C$7-$Z$14-$Z$19</f>
        <v/>
      </c>
      <c r="R68" s="92" t="n"/>
      <c r="S68" s="196" t="n"/>
      <c r="T68" s="196" t="n"/>
      <c r="U68" s="206" t="n"/>
      <c r="V68" s="196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$C$11/$C$7-$Z$13-$Z$18</f>
        <v/>
      </c>
      <c r="Q69" s="519">
        <f>$C$12/$C$7-$Z$14-$Z$19</f>
        <v/>
      </c>
      <c r="R69" s="92" t="n"/>
      <c r="S69" s="196" t="n"/>
      <c r="T69" s="196" t="n"/>
      <c r="U69" s="206" t="n"/>
      <c r="V69" s="196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$C$11/$C$7-$Z$13-$Z$18</f>
        <v/>
      </c>
      <c r="Q70" s="519">
        <f>$C$12/$C$7-$Z$14-$Z$19</f>
        <v/>
      </c>
      <c r="R70" s="92" t="n"/>
      <c r="S70" s="196" t="n"/>
      <c r="T70" s="196" t="n"/>
      <c r="U70" s="206" t="n"/>
      <c r="V70" s="196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$C$11/$C$7-$Z$13-$Z$18</f>
        <v/>
      </c>
      <c r="Q71" s="519">
        <f>$C$12/$C$7-$Z$14-$Z$19</f>
        <v/>
      </c>
      <c r="R71" s="92" t="n"/>
      <c r="S71" s="196" t="n"/>
      <c r="T71" s="196" t="n"/>
      <c r="U71" s="206" t="n"/>
      <c r="V71" s="196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$C$11/$C$7-$Z$13-$Z$18</f>
        <v/>
      </c>
      <c r="Q72" s="519">
        <f>$C$12/$C$7-$Z$14-$Z$19</f>
        <v/>
      </c>
      <c r="R72" s="92" t="n"/>
      <c r="S72" s="196" t="n"/>
      <c r="T72" s="196" t="n"/>
      <c r="U72" s="206" t="n"/>
      <c r="V72" s="196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$C$11/$C$7-$Z$13-$Z$18</f>
        <v/>
      </c>
      <c r="Q73" s="519">
        <f>$C$12/$C$7-$Z$14-$Z$19</f>
        <v/>
      </c>
      <c r="R73" s="92" t="n"/>
      <c r="S73" s="196" t="n"/>
      <c r="T73" s="196" t="n"/>
      <c r="U73" s="206" t="n"/>
      <c r="V73" s="196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$C$11/$C$7-$Z$13-$Z$18</f>
        <v/>
      </c>
      <c r="Q74" s="519">
        <f>$C$12/$C$7-$Z$14-$Z$19</f>
        <v/>
      </c>
      <c r="R74" s="92" t="n"/>
      <c r="S74" s="196" t="n"/>
      <c r="T74" s="196" t="n"/>
      <c r="U74" s="206" t="n"/>
      <c r="V74" s="196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$C$11/$C$7-$Z$13-$Z$18</f>
        <v/>
      </c>
      <c r="Q75" s="519">
        <f>$C$12/$C$7-$Z$14-$Z$19</f>
        <v/>
      </c>
      <c r="R75" s="92" t="n"/>
      <c r="S75" s="196" t="n"/>
      <c r="T75" s="196" t="n"/>
      <c r="U75" s="206" t="n"/>
      <c r="V75" s="196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$C$11/$C$7-$Z$13-$Z$18</f>
        <v/>
      </c>
      <c r="Q76" s="519">
        <f>$C$12/$C$7-$Z$14-$Z$19</f>
        <v/>
      </c>
      <c r="R76" s="92" t="n"/>
      <c r="S76" s="196" t="n"/>
      <c r="T76" s="196" t="n"/>
      <c r="U76" s="206" t="n"/>
      <c r="V76" s="196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($C$11/$C$7-$Z$13-$Z$18)-P5</f>
        <v/>
      </c>
      <c r="Q77" s="642">
        <f>($C$12/$C$7-$Z$14-$Z$19)-Q5</f>
        <v/>
      </c>
      <c r="R77" s="59" t="n"/>
      <c r="S77" s="12" t="n"/>
      <c r="T77" s="12" t="n"/>
      <c r="U77" s="95" t="n"/>
      <c r="V77" s="12" t="n"/>
    </row>
    <row r="78">
      <c r="O78" s="500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000F9ED5"/>
    <outlinePr summaryBelow="1" summaryRight="1"/>
    <pageSetUpPr/>
  </sheetPr>
  <dimension ref="A1:AI79"/>
  <sheetViews>
    <sheetView showGridLines="0" zoomScale="60" zoomScaleNormal="60" workbookViewId="0">
      <selection activeCell="E6" sqref="E6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6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0"/>
    <col width="13" customWidth="1" style="497" min="11" max="11"/>
    <col width="13" bestFit="1" customWidth="1" style="497" min="12" max="12"/>
    <col width="11.6875" bestFit="1" customWidth="1" style="497" min="13" max="13"/>
    <col width="10.1875" bestFit="1" customWidth="1" style="497" min="14" max="14"/>
    <col width="10.1875" customWidth="1" style="497" min="15" max="15"/>
    <col width="14.125" bestFit="1" customWidth="1" style="497" min="16" max="16"/>
    <col width="19.6875" bestFit="1" customWidth="1" style="497" min="17" max="17"/>
    <col width="11.6875" bestFit="1" customWidth="1" style="497" min="18" max="19"/>
    <col width="9.375" bestFit="1" customWidth="1" style="497" min="20" max="20"/>
    <col width="9.375" customWidth="1" style="497" min="21" max="21"/>
    <col width="11.1875" bestFit="1" customWidth="1" style="497" min="22" max="22"/>
    <col width="7.375" bestFit="1" customWidth="1" style="497" min="23" max="23"/>
    <col width="24" bestFit="1" customWidth="1" style="497" min="24" max="24"/>
    <col width="11.875" customWidth="1" style="497" min="25" max="25"/>
    <col width="11.875" bestFit="1" customWidth="1" style="497" min="26" max="26"/>
    <col width="10.6875" bestFit="1" customWidth="1" style="497" min="27" max="27"/>
    <col width="13" bestFit="1" customWidth="1" style="497" min="28" max="28"/>
    <col width="13" customWidth="1" style="497" min="29" max="29"/>
    <col width="11" bestFit="1" customWidth="1" style="497" min="30" max="30"/>
    <col width="11.5" customWidth="1" style="497" min="33" max="33"/>
    <col width="12.375" bestFit="1" customWidth="1" style="497" min="34" max="34"/>
    <col width="11.125" bestFit="1" customWidth="1" style="497" min="35" max="35"/>
  </cols>
  <sheetData>
    <row r="1">
      <c r="K1" s="505">
        <f>K2*1.1</f>
        <v/>
      </c>
      <c r="P1" s="505">
        <f>Q1+U2</f>
        <v/>
      </c>
      <c r="Q1" s="505">
        <f>Q2*1.1</f>
        <v/>
      </c>
    </row>
    <row r="2">
      <c r="I2" s="8" t="inlineStr">
        <is>
          <t>SUM =</t>
        </is>
      </c>
      <c r="J2" s="500">
        <f>SUM(J6:J78)</f>
        <v/>
      </c>
      <c r="K2" s="500">
        <f>SUM(K6:K78)</f>
        <v/>
      </c>
      <c r="L2" s="500">
        <f>SUM(L6:L78)</f>
        <v/>
      </c>
      <c r="M2" s="500">
        <f>SUM(M6:M78)</f>
        <v/>
      </c>
      <c r="N2" s="500">
        <f>SUM(N6:N78)</f>
        <v/>
      </c>
      <c r="O2" s="500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X2" s="206" t="inlineStr">
        <is>
          <t xml:space="preserve">* 기본 구독료 기준 보상 </t>
        </is>
      </c>
      <c r="Y2" s="206" t="inlineStr">
        <is>
          <t>* 할인여부 무관 기본구독료 기준 보상</t>
        </is>
      </c>
    </row>
    <row r="3">
      <c r="I3" s="8" t="n"/>
      <c r="J3" s="501" t="inlineStr">
        <is>
          <t>기본 (v-)</t>
        </is>
      </c>
      <c r="K3" s="502" t="n"/>
      <c r="L3" s="502" t="n"/>
      <c r="M3" s="502" t="n"/>
      <c r="N3" s="503" t="n"/>
      <c r="O3" s="502" t="n"/>
      <c r="P3" s="75" t="inlineStr">
        <is>
          <t>선납+선납할인 시 (v-)</t>
        </is>
      </c>
      <c r="Q3" s="76" t="n"/>
      <c r="R3" s="76" t="n"/>
      <c r="S3" s="76" t="n"/>
      <c r="T3" s="76" t="n"/>
      <c r="U3" s="76" t="n"/>
      <c r="V3" s="75" t="inlineStr">
        <is>
          <t>AS 미사용 기간 보상</t>
        </is>
      </c>
      <c r="W3" s="70" t="n"/>
      <c r="X3" s="70" t="n"/>
      <c r="Y3" s="70" t="n"/>
      <c r="Z3" s="70" t="n"/>
    </row>
    <row r="4">
      <c r="I4" s="8" t="n"/>
      <c r="J4" s="264" t="inlineStr">
        <is>
          <t>구독료청구</t>
        </is>
      </c>
      <c r="K4" s="643" t="inlineStr">
        <is>
          <t>파손 제외 구독료</t>
        </is>
      </c>
      <c r="L4" s="560" t="n"/>
      <c r="M4" s="560" t="n"/>
      <c r="N4" s="561" t="n"/>
      <c r="O4" s="644" t="inlineStr">
        <is>
          <t>파손보험</t>
        </is>
      </c>
      <c r="P4" s="264" t="inlineStr">
        <is>
          <t>구독료청구</t>
        </is>
      </c>
      <c r="Q4" s="643" t="inlineStr">
        <is>
          <t>파손 제외 구독료</t>
        </is>
      </c>
      <c r="R4" s="560" t="n"/>
      <c r="S4" s="560" t="n"/>
      <c r="T4" s="561" t="n"/>
      <c r="U4" s="645" t="inlineStr">
        <is>
          <t>파손보험</t>
        </is>
      </c>
      <c r="V4" s="264" t="inlineStr">
        <is>
          <t>AS 기간</t>
        </is>
      </c>
      <c r="W4" s="264" t="inlineStr">
        <is>
          <t>경과일</t>
        </is>
      </c>
      <c r="X4" s="264" t="inlineStr">
        <is>
          <t>미사용기간분</t>
        </is>
      </c>
      <c r="Y4" s="264" t="inlineStr">
        <is>
          <t>할인금</t>
        </is>
      </c>
      <c r="Z4" s="264" t="inlineStr">
        <is>
          <t>최종 보상금</t>
        </is>
      </c>
      <c r="AB4" s="122" t="inlineStr">
        <is>
          <t>미사용기간분</t>
        </is>
      </c>
      <c r="AC4" s="285" t="n"/>
      <c r="AD4" s="121" t="n"/>
      <c r="AE4" s="123" t="n"/>
      <c r="AF4" s="123" t="n"/>
      <c r="AG4" s="123" t="n"/>
      <c r="AH4" s="124" t="n"/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65" t="n"/>
      <c r="K5" s="270" t="n"/>
      <c r="L5" s="26" t="inlineStr">
        <is>
          <t>제품</t>
        </is>
      </c>
      <c r="M5" s="15" t="inlineStr">
        <is>
          <t>케어</t>
        </is>
      </c>
      <c r="N5" s="27" t="inlineStr">
        <is>
          <t>보증</t>
        </is>
      </c>
      <c r="O5" s="265" t="n"/>
      <c r="P5" s="265" t="n"/>
      <c r="Q5" s="270" t="n"/>
      <c r="R5" s="26" t="inlineStr">
        <is>
          <t>제품</t>
        </is>
      </c>
      <c r="S5" s="15" t="inlineStr">
        <is>
          <t>케어</t>
        </is>
      </c>
      <c r="T5" s="27" t="inlineStr">
        <is>
          <t>보증</t>
        </is>
      </c>
      <c r="U5" s="265" t="n"/>
      <c r="V5" s="265" t="n"/>
      <c r="W5" s="265" t="n"/>
      <c r="X5" s="265" t="n"/>
      <c r="Y5" s="265" t="n"/>
      <c r="Z5" s="265" t="n"/>
      <c r="AB5" s="286" t="n"/>
      <c r="AC5" s="122" t="inlineStr">
        <is>
          <t>파손 제외 구독료</t>
        </is>
      </c>
      <c r="AD5" s="121" t="n"/>
      <c r="AE5" s="123" t="n"/>
      <c r="AF5" s="123" t="n"/>
      <c r="AG5" s="269" t="n"/>
      <c r="AH5" s="264" t="inlineStr">
        <is>
          <t>파손</t>
        </is>
      </c>
    </row>
    <row r="6">
      <c r="B6" s="9" t="inlineStr">
        <is>
          <t>모델코드</t>
        </is>
      </c>
      <c r="C6" s="6" t="inlineStr">
        <is>
          <t>SM-X920NZAAKOO</t>
        </is>
      </c>
      <c r="F6" s="101" t="inlineStr">
        <is>
          <t>1회차</t>
        </is>
      </c>
      <c r="G6" s="102" t="n">
        <v>45912</v>
      </c>
      <c r="H6" s="102" t="n">
        <v>45930</v>
      </c>
      <c r="I6" s="103">
        <f>EOMONTH(G6,0)+15</f>
        <v/>
      </c>
      <c r="J6" s="515">
        <f>K6+O6</f>
        <v/>
      </c>
      <c r="K6" s="646">
        <f>ROUNDDOWN(($C$20/1.1/$C$8)*(H6-G6+1)/DAY(H6),-2)</f>
        <v/>
      </c>
      <c r="L6" s="516">
        <f>K6-M6-N6</f>
        <v/>
      </c>
      <c r="M6" s="517">
        <f>ROUNDDOWN(($C$12/$C$8)*(H6-G6+1)/DAY(H6),-2)</f>
        <v/>
      </c>
      <c r="N6" s="518">
        <f>ROUNDDOWN(($C$13/$C$8)*(H6-G6+1)/DAY(H6),-2)</f>
        <v/>
      </c>
      <c r="O6" s="518">
        <f>ROUNDDOWN(($C$14/$C$8)*(H6-G6+1)/DAY(H6),-2)</f>
        <v/>
      </c>
      <c r="P6" s="515">
        <f>Q6+U6</f>
        <v/>
      </c>
      <c r="Q6" s="646">
        <f>ROUNDDOWN(($C$41/1.1/$C$8)*(H6-G6+1)/DAY(H6),-2)</f>
        <v/>
      </c>
      <c r="R6" s="516">
        <f>Q6-S6-T6</f>
        <v/>
      </c>
      <c r="S6" s="500">
        <f>ROUNDDOWN(($C$12/$C$8-AD14-AD19)*(H6-G6+1)/DAY(H6),-2)</f>
        <v/>
      </c>
      <c r="T6" s="519">
        <f>ROUNDDOWN(($C$13/$C$8-AD15-AD20)*(H6-G6+1)/DAY(H6),-2)</f>
        <v/>
      </c>
      <c r="U6" s="500">
        <f>O6</f>
        <v/>
      </c>
      <c r="V6" s="55" t="n"/>
      <c r="W6" s="54" t="n"/>
      <c r="X6" s="54" t="n"/>
      <c r="Y6" s="626" t="n"/>
      <c r="Z6" s="574" t="n"/>
      <c r="AB6" s="125" t="n"/>
      <c r="AC6" s="125" t="n"/>
      <c r="AD6" s="9" t="inlineStr">
        <is>
          <t>제품</t>
        </is>
      </c>
      <c r="AE6" s="9" t="inlineStr">
        <is>
          <t>케어</t>
        </is>
      </c>
      <c r="AF6" s="9" t="inlineStr">
        <is>
          <t>보증</t>
        </is>
      </c>
      <c r="AG6" s="9" t="inlineStr">
        <is>
          <t>선납</t>
        </is>
      </c>
      <c r="AH6" s="265" t="n"/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K7+O7</f>
        <v/>
      </c>
      <c r="K7" s="646">
        <f>$C$20/1.1/$C$8</f>
        <v/>
      </c>
      <c r="L7" s="516">
        <f>K7-M7-N7</f>
        <v/>
      </c>
      <c r="M7" s="517">
        <f>$C$12/$C$8</f>
        <v/>
      </c>
      <c r="N7" s="518">
        <f>$C$13/$C$8</f>
        <v/>
      </c>
      <c r="O7" s="518">
        <f>$C$14/$C$8</f>
        <v/>
      </c>
      <c r="P7" s="515">
        <f>Q7+U7</f>
        <v/>
      </c>
      <c r="Q7" s="646">
        <f>$C$41/1.1/$C$8</f>
        <v/>
      </c>
      <c r="R7" s="516">
        <f>Q7-S7-T7</f>
        <v/>
      </c>
      <c r="S7" s="500">
        <f>$C$12/$C$8-$AD$14-$AD$19</f>
        <v/>
      </c>
      <c r="T7" s="519">
        <f>$C$13/$C$8-$AD$15-$AD$20</f>
        <v/>
      </c>
      <c r="U7" s="500">
        <f>O7</f>
        <v/>
      </c>
      <c r="V7" s="92" t="n"/>
      <c r="W7" s="196" t="n"/>
      <c r="X7" s="196" t="n"/>
      <c r="Z7" s="196" t="n"/>
      <c r="AB7" s="527">
        <f>AC7+AH7</f>
        <v/>
      </c>
      <c r="AC7" s="527">
        <f>ROUNDUP((($C$20/$C$8)/1.1)*W24/DAY(H24),-2)</f>
        <v/>
      </c>
      <c r="AD7" s="506">
        <f>AC7-SUM(AE7:AG7)</f>
        <v/>
      </c>
      <c r="AE7" s="506">
        <f>ROUNDUP(($C$12/$C$8)*W24/DAY(H24),-2)</f>
        <v/>
      </c>
      <c r="AF7" s="506">
        <f>ROUNDUP(($C$13/$C$8)*W24/DAY(H24),-2)</f>
        <v/>
      </c>
      <c r="AG7" s="506">
        <f>ROUNDUP(($C$28/$C$8)*W24/DAY(H24),-2)</f>
        <v/>
      </c>
      <c r="AH7" s="506">
        <f>ROUNDUP(($C$14/$C$8)*W24/DAY(H24),-2)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K8+O8</f>
        <v/>
      </c>
      <c r="K8" s="646">
        <f>$C$20/1.1/$C$8</f>
        <v/>
      </c>
      <c r="L8" s="516">
        <f>K8-M8-N8</f>
        <v/>
      </c>
      <c r="M8" s="517">
        <f>$C$12/$C$8</f>
        <v/>
      </c>
      <c r="N8" s="518">
        <f>$C$13/$C$8</f>
        <v/>
      </c>
      <c r="O8" s="518">
        <f>$C$14/$C$8</f>
        <v/>
      </c>
      <c r="P8" s="515">
        <f>Q8+U8</f>
        <v/>
      </c>
      <c r="Q8" s="646">
        <f>$C$41/1.1/$C$8</f>
        <v/>
      </c>
      <c r="R8" s="516">
        <f>Q8-S8-T8</f>
        <v/>
      </c>
      <c r="S8" s="500">
        <f>$C$12/$C$8-$AD$14-$AD$19</f>
        <v/>
      </c>
      <c r="T8" s="519">
        <f>$C$13/$C$8-$AD$15-$AD$20</f>
        <v/>
      </c>
      <c r="U8" s="500">
        <f>O8</f>
        <v/>
      </c>
      <c r="V8" s="92" t="n"/>
      <c r="W8" s="196" t="n"/>
      <c r="X8" s="196" t="n"/>
      <c r="Z8" s="196" t="n"/>
      <c r="AB8" s="527">
        <f>AC8+AH8</f>
        <v/>
      </c>
      <c r="AC8" s="527">
        <f>ROUNDUP((($C$20/$C$8)/1.1)*W25/DAY(H25),-2)</f>
        <v/>
      </c>
      <c r="AD8" s="506">
        <f>AC8-SUM(AE8:AG8)</f>
        <v/>
      </c>
      <c r="AE8" s="506">
        <f>ROUNDUP(($C$12/$C$8)*W25/DAY(H25),-2)</f>
        <v/>
      </c>
      <c r="AF8" s="506">
        <f>ROUNDUP(($C$13/$C$8)*W25/DAY(H25),-2)</f>
        <v/>
      </c>
      <c r="AG8" s="506">
        <f>ROUNDUP(($C$28/$C$8)*W25/DAY(H25),-2)</f>
        <v/>
      </c>
      <c r="AH8" s="506">
        <f>ROUNDUP(($C$14/$C$8)*W25/DAY(H25),-2)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K9+O9</f>
        <v/>
      </c>
      <c r="K9" s="646">
        <f>$C$20/1.1/$C$8</f>
        <v/>
      </c>
      <c r="L9" s="516">
        <f>K9-M9-N9</f>
        <v/>
      </c>
      <c r="M9" s="517">
        <f>$C$12/$C$8</f>
        <v/>
      </c>
      <c r="N9" s="518">
        <f>$C$13/$C$8</f>
        <v/>
      </c>
      <c r="O9" s="518">
        <f>$C$14/$C$8</f>
        <v/>
      </c>
      <c r="P9" s="515">
        <f>Q9+U9</f>
        <v/>
      </c>
      <c r="Q9" s="646">
        <f>$C$41/1.1/$C$8</f>
        <v/>
      </c>
      <c r="R9" s="516">
        <f>Q9-S9-T9</f>
        <v/>
      </c>
      <c r="S9" s="500">
        <f>$C$12/$C$8-$AD$14-$AD$19</f>
        <v/>
      </c>
      <c r="T9" s="519">
        <f>$C$13/$C$8-$AD$15-$AD$20</f>
        <v/>
      </c>
      <c r="U9" s="500">
        <f>O9</f>
        <v/>
      </c>
      <c r="V9" s="92" t="n"/>
      <c r="W9" s="196" t="n"/>
      <c r="X9" s="196" t="n"/>
      <c r="Z9" s="196" t="n"/>
      <c r="AG9" s="206" t="inlineStr">
        <is>
          <t>* 차후 중도해지 발생으로 선납환불 시, 이미 보상으로 환불된 선납포션 제외필요</t>
        </is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K10+O10</f>
        <v/>
      </c>
      <c r="K10" s="646">
        <f>$C$20/1.1/$C$8</f>
        <v/>
      </c>
      <c r="L10" s="516">
        <f>K10-M10-N10</f>
        <v/>
      </c>
      <c r="M10" s="517">
        <f>$C$12/$C$8</f>
        <v/>
      </c>
      <c r="N10" s="518">
        <f>$C$13/$C$8</f>
        <v/>
      </c>
      <c r="O10" s="518">
        <f>$C$14/$C$8</f>
        <v/>
      </c>
      <c r="P10" s="515">
        <f>Q10+U10</f>
        <v/>
      </c>
      <c r="Q10" s="646">
        <f>$C$41/1.1/$C$8</f>
        <v/>
      </c>
      <c r="R10" s="516">
        <f>Q10-S10-T10</f>
        <v/>
      </c>
      <c r="S10" s="500">
        <f>$C$12/$C$8-$AD$14-$AD$19</f>
        <v/>
      </c>
      <c r="T10" s="519">
        <f>$C$13/$C$8-$AD$15-$AD$20</f>
        <v/>
      </c>
      <c r="U10" s="500">
        <f>O10</f>
        <v/>
      </c>
      <c r="V10" s="92" t="n"/>
      <c r="W10" s="196" t="n"/>
      <c r="X10" s="196" t="n"/>
      <c r="Z10" s="196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K11+O11</f>
        <v/>
      </c>
      <c r="K11" s="646">
        <f>$C$20/1.1/$C$8</f>
        <v/>
      </c>
      <c r="L11" s="516">
        <f>K11-M11-N11</f>
        <v/>
      </c>
      <c r="M11" s="517">
        <f>$C$12/$C$8</f>
        <v/>
      </c>
      <c r="N11" s="518">
        <f>$C$13/$C$8</f>
        <v/>
      </c>
      <c r="O11" s="518">
        <f>$C$14/$C$8</f>
        <v/>
      </c>
      <c r="P11" s="515">
        <f>Q11+U11</f>
        <v/>
      </c>
      <c r="Q11" s="646">
        <f>$C$41/1.1/$C$8</f>
        <v/>
      </c>
      <c r="R11" s="516">
        <f>Q11-S11-T11</f>
        <v/>
      </c>
      <c r="S11" s="500">
        <f>$C$12/$C$8-$AD$14-$AD$19</f>
        <v/>
      </c>
      <c r="T11" s="519">
        <f>$C$13/$C$8-$AD$15-$AD$20</f>
        <v/>
      </c>
      <c r="U11" s="500">
        <f>O11</f>
        <v/>
      </c>
      <c r="V11" s="92" t="n"/>
      <c r="W11" s="196" t="n"/>
      <c r="X11" s="196" t="n"/>
      <c r="Z11" s="196" t="n"/>
      <c r="AB11" s="206" t="inlineStr">
        <is>
          <t>v- 100단위 조정</t>
        </is>
      </c>
      <c r="AF11" s="206" t="inlineStr">
        <is>
          <t>v- 소수점만 제거</t>
        </is>
      </c>
      <c r="AI11" s="206" t="inlineStr">
        <is>
          <t>V+</t>
        </is>
      </c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K12+O12</f>
        <v/>
      </c>
      <c r="K12" s="646">
        <f>$C$20/1.1/$C$8</f>
        <v/>
      </c>
      <c r="L12" s="516">
        <f>K12-M12-N12</f>
        <v/>
      </c>
      <c r="M12" s="517">
        <f>$C$12/$C$8</f>
        <v/>
      </c>
      <c r="N12" s="518">
        <f>$C$13/$C$8</f>
        <v/>
      </c>
      <c r="O12" s="518">
        <f>$C$14/$C$8</f>
        <v/>
      </c>
      <c r="P12" s="515">
        <f>Q12+U12</f>
        <v/>
      </c>
      <c r="Q12" s="646">
        <f>$C$41/1.1/$C$8</f>
        <v/>
      </c>
      <c r="R12" s="516">
        <f>Q12-S12-T12</f>
        <v/>
      </c>
      <c r="S12" s="500">
        <f>$C$12/$C$8-$AD$14-$AD$19</f>
        <v/>
      </c>
      <c r="T12" s="519">
        <f>$C$13/$C$8-$AD$15-$AD$20</f>
        <v/>
      </c>
      <c r="U12" s="500">
        <f>O12</f>
        <v/>
      </c>
      <c r="V12" s="92" t="n"/>
      <c r="W12" s="196" t="n"/>
      <c r="X12" s="196" t="n"/>
      <c r="Z12" s="196" t="n"/>
      <c r="AB12" s="378" t="inlineStr">
        <is>
          <t>월 선납금(v-)</t>
        </is>
      </c>
      <c r="AC12" s="251" t="n"/>
      <c r="AD12" s="504">
        <f>$C28/$C$8</f>
        <v/>
      </c>
      <c r="AF12" s="378" t="inlineStr">
        <is>
          <t>월 선납금(v-)</t>
        </is>
      </c>
      <c r="AG12" s="251" t="n"/>
      <c r="AH12" s="504">
        <f>$C28/$C$8</f>
        <v/>
      </c>
      <c r="AI12" s="505">
        <f>AH12*1.1</f>
        <v/>
      </c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K13+O13</f>
        <v/>
      </c>
      <c r="K13" s="646">
        <f>$C$20/1.1/$C$8</f>
        <v/>
      </c>
      <c r="L13" s="516">
        <f>K13-M13-N13</f>
        <v/>
      </c>
      <c r="M13" s="517">
        <f>$C$12/$C$8</f>
        <v/>
      </c>
      <c r="N13" s="518">
        <f>$C$13/$C$8</f>
        <v/>
      </c>
      <c r="O13" s="518">
        <f>$C$14/$C$8</f>
        <v/>
      </c>
      <c r="P13" s="515">
        <f>Q13+U13</f>
        <v/>
      </c>
      <c r="Q13" s="646">
        <f>$C$41/1.1/$C$8</f>
        <v/>
      </c>
      <c r="R13" s="516">
        <f>Q13-S13-T13</f>
        <v/>
      </c>
      <c r="S13" s="500">
        <f>$C$12/$C$8-$AD$14-$AD$19</f>
        <v/>
      </c>
      <c r="T13" s="519">
        <f>$C$13/$C$8-$AD$15-$AD$20</f>
        <v/>
      </c>
      <c r="U13" s="500">
        <f>O13</f>
        <v/>
      </c>
      <c r="V13" s="92" t="n"/>
      <c r="W13" s="196" t="n"/>
      <c r="X13" s="196" t="n"/>
      <c r="Z13" s="196" t="n"/>
      <c r="AB13" s="375" t="n"/>
      <c r="AC13" s="506" t="inlineStr">
        <is>
          <t>제품</t>
        </is>
      </c>
      <c r="AD13" s="507">
        <f>AD12-AD14-AD15</f>
        <v/>
      </c>
      <c r="AF13" s="375" t="n"/>
      <c r="AG13" s="506" t="inlineStr">
        <is>
          <t>제품</t>
        </is>
      </c>
      <c r="AH13" s="507">
        <f>AH12-AH14-AH15</f>
        <v/>
      </c>
      <c r="AI13" s="505">
        <f>ROUND(AH13*1.1,)</f>
        <v/>
      </c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K14+O14</f>
        <v/>
      </c>
      <c r="K14" s="646">
        <f>$C$20/1.1/$C$8</f>
        <v/>
      </c>
      <c r="L14" s="516">
        <f>K14-M14-N14</f>
        <v/>
      </c>
      <c r="M14" s="517">
        <f>$C$12/$C$8</f>
        <v/>
      </c>
      <c r="N14" s="518">
        <f>$C$13/$C$8</f>
        <v/>
      </c>
      <c r="O14" s="518">
        <f>$C$14/$C$8</f>
        <v/>
      </c>
      <c r="P14" s="515">
        <f>Q14+U14</f>
        <v/>
      </c>
      <c r="Q14" s="646">
        <f>$C$41/1.1/$C$8</f>
        <v/>
      </c>
      <c r="R14" s="516">
        <f>Q14-S14-T14</f>
        <v/>
      </c>
      <c r="S14" s="500">
        <f>$C$12/$C$8-$AD$14-$AD$19</f>
        <v/>
      </c>
      <c r="T14" s="519">
        <f>$C$13/$C$8-$AD$15-$AD$20</f>
        <v/>
      </c>
      <c r="U14" s="500">
        <f>O14</f>
        <v/>
      </c>
      <c r="V14" s="92" t="n"/>
      <c r="W14" s="196" t="n"/>
      <c r="X14" s="196" t="n"/>
      <c r="Z14" s="196" t="n"/>
      <c r="AB14" s="375" t="n"/>
      <c r="AC14" s="506" t="inlineStr">
        <is>
          <t>케어</t>
        </is>
      </c>
      <c r="AD14" s="507">
        <f>ROUND(AD12*$C$12/($C$16-$C$14),-2)</f>
        <v/>
      </c>
      <c r="AF14" s="375" t="n"/>
      <c r="AG14" s="506" t="inlineStr">
        <is>
          <t>케어</t>
        </is>
      </c>
      <c r="AH14" s="507">
        <f>ROUND(AH12*$C$12/($C$16-$C$14),0)</f>
        <v/>
      </c>
      <c r="AI14" s="505">
        <f>ROUND(AH14*1.1,)</f>
        <v/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K15+O15</f>
        <v/>
      </c>
      <c r="K15" s="646">
        <f>$C$20/1.1/$C$8</f>
        <v/>
      </c>
      <c r="L15" s="516">
        <f>K15-M15-N15</f>
        <v/>
      </c>
      <c r="M15" s="517">
        <f>$C$12/$C$8</f>
        <v/>
      </c>
      <c r="N15" s="518">
        <f>$C$13/$C$8</f>
        <v/>
      </c>
      <c r="O15" s="518">
        <f>$C$14/$C$8</f>
        <v/>
      </c>
      <c r="P15" s="515">
        <f>Q15+U15</f>
        <v/>
      </c>
      <c r="Q15" s="646">
        <f>$C$41/1.1/$C$8</f>
        <v/>
      </c>
      <c r="R15" s="516">
        <f>Q15-S15-T15</f>
        <v/>
      </c>
      <c r="S15" s="500">
        <f>$C$12/$C$8-$AD$14-$AD$19</f>
        <v/>
      </c>
      <c r="T15" s="519">
        <f>$C$13/$C$8-$AD$15-$AD$20</f>
        <v/>
      </c>
      <c r="U15" s="500">
        <f>O15</f>
        <v/>
      </c>
      <c r="V15" s="92" t="n"/>
      <c r="W15" s="196" t="n"/>
      <c r="X15" s="196" t="n"/>
      <c r="Z15" s="196" t="n"/>
      <c r="AB15" s="376" t="n"/>
      <c r="AC15" s="524" t="inlineStr">
        <is>
          <t>보증</t>
        </is>
      </c>
      <c r="AD15" s="507">
        <f>ROUND(AD12*$C$13/($C$16-$C$14),-2)</f>
        <v/>
      </c>
      <c r="AF15" s="376" t="n"/>
      <c r="AG15" s="524" t="inlineStr">
        <is>
          <t>보증</t>
        </is>
      </c>
      <c r="AH15" s="507">
        <f>ROUND(AH12*$C$13/($C$16-$C$14),0)</f>
        <v/>
      </c>
      <c r="AI15" s="505">
        <f>ROUND(AH15*1.1,)</f>
        <v/>
      </c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K16+O16</f>
        <v/>
      </c>
      <c r="K16" s="646">
        <f>$C$20/1.1/$C$8</f>
        <v/>
      </c>
      <c r="L16" s="516">
        <f>K16-M16-N16</f>
        <v/>
      </c>
      <c r="M16" s="517">
        <f>$C$12/$C$8</f>
        <v/>
      </c>
      <c r="N16" s="518">
        <f>$C$13/$C$8</f>
        <v/>
      </c>
      <c r="O16" s="518">
        <f>$C$14/$C$8</f>
        <v/>
      </c>
      <c r="P16" s="515">
        <f>Q16+U16</f>
        <v/>
      </c>
      <c r="Q16" s="646">
        <f>$C$41/1.1/$C$8</f>
        <v/>
      </c>
      <c r="R16" s="516">
        <f>Q16-S16-T16</f>
        <v/>
      </c>
      <c r="S16" s="500">
        <f>$C$12/$C$8-$AD$14-$AD$19</f>
        <v/>
      </c>
      <c r="T16" s="519">
        <f>$C$13/$C$8-$AD$15-$AD$20</f>
        <v/>
      </c>
      <c r="U16" s="500">
        <f>O16</f>
        <v/>
      </c>
      <c r="V16" s="92" t="n"/>
      <c r="W16" s="196" t="n"/>
      <c r="X16" s="196" t="n"/>
      <c r="Z16" s="196" t="n"/>
      <c r="AB16" s="399" t="n"/>
      <c r="AC16" s="500" t="n"/>
      <c r="AD16" s="206" t="n"/>
      <c r="AF16" s="399" t="n"/>
      <c r="AG16" s="500" t="n"/>
      <c r="AH16" s="206" t="n"/>
      <c r="AI16" s="505" t="n"/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K17+O17</f>
        <v/>
      </c>
      <c r="K17" s="646">
        <f>$C$20/1.1/$C$8</f>
        <v/>
      </c>
      <c r="L17" s="516">
        <f>K17-M17-N17</f>
        <v/>
      </c>
      <c r="M17" s="517">
        <f>$C$12/$C$8</f>
        <v/>
      </c>
      <c r="N17" s="518">
        <f>$C$13/$C$8</f>
        <v/>
      </c>
      <c r="O17" s="518">
        <f>$C$14/$C$8</f>
        <v/>
      </c>
      <c r="P17" s="515">
        <f>Q17+U17</f>
        <v/>
      </c>
      <c r="Q17" s="646">
        <f>$C$41/1.1/$C$8</f>
        <v/>
      </c>
      <c r="R17" s="516">
        <f>Q17-S17-T17</f>
        <v/>
      </c>
      <c r="S17" s="500">
        <f>$C$12/$C$8-$AD$14-$AD$19</f>
        <v/>
      </c>
      <c r="T17" s="519">
        <f>$C$13/$C$8-$AD$15-$AD$20</f>
        <v/>
      </c>
      <c r="U17" s="500">
        <f>O17</f>
        <v/>
      </c>
      <c r="V17" s="92" t="n"/>
      <c r="W17" s="196" t="n"/>
      <c r="X17" s="196" t="n"/>
      <c r="Z17" s="196" t="n"/>
      <c r="AB17" s="378" t="inlineStr">
        <is>
          <t>월 선납할인(V-)</t>
        </is>
      </c>
      <c r="AC17" s="251" t="n"/>
      <c r="AD17" s="525">
        <f>$C32/$C8</f>
        <v/>
      </c>
      <c r="AF17" s="378" t="inlineStr">
        <is>
          <t>월 선납할인(V-)</t>
        </is>
      </c>
      <c r="AG17" s="251" t="n"/>
      <c r="AH17" s="525">
        <f>$C32/$C8</f>
        <v/>
      </c>
      <c r="AI17" s="505">
        <f>AH17*1.1</f>
        <v/>
      </c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K18+O18</f>
        <v/>
      </c>
      <c r="K18" s="646">
        <f>$C$20/1.1/$C$8</f>
        <v/>
      </c>
      <c r="L18" s="516">
        <f>K18-M18-N18</f>
        <v/>
      </c>
      <c r="M18" s="517">
        <f>$C$12/$C$8</f>
        <v/>
      </c>
      <c r="N18" s="518">
        <f>$C$13/$C$8</f>
        <v/>
      </c>
      <c r="O18" s="518">
        <f>$C$14/$C$8</f>
        <v/>
      </c>
      <c r="P18" s="515">
        <f>Q18+U18</f>
        <v/>
      </c>
      <c r="Q18" s="646">
        <f>$C$41/1.1/$C$8</f>
        <v/>
      </c>
      <c r="R18" s="516">
        <f>Q18-S18-T18</f>
        <v/>
      </c>
      <c r="S18" s="500">
        <f>$C$12/$C$8-$AD$14-$AD$19</f>
        <v/>
      </c>
      <c r="T18" s="519">
        <f>$C$13/$C$8-$AD$15-$AD$20</f>
        <v/>
      </c>
      <c r="U18" s="500">
        <f>O18</f>
        <v/>
      </c>
      <c r="V18" s="92" t="n"/>
      <c r="W18" s="196" t="n"/>
      <c r="X18" s="196" t="n"/>
      <c r="Z18" s="196" t="n"/>
      <c r="AB18" s="375" t="n"/>
      <c r="AC18" s="506" t="inlineStr">
        <is>
          <t>제품</t>
        </is>
      </c>
      <c r="AD18" s="507">
        <f>AD17-AD19-AD20</f>
        <v/>
      </c>
      <c r="AF18" s="375" t="n"/>
      <c r="AG18" s="506" t="inlineStr">
        <is>
          <t>제품</t>
        </is>
      </c>
      <c r="AH18" s="507">
        <f>AH17-AH19-AH20</f>
        <v/>
      </c>
      <c r="AI18" s="505">
        <f>ROUND(AH18*1.1,)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K19+O19</f>
        <v/>
      </c>
      <c r="K19" s="646">
        <f>$C$20/1.1/$C$8</f>
        <v/>
      </c>
      <c r="L19" s="516">
        <f>K19-M19-N19</f>
        <v/>
      </c>
      <c r="M19" s="517">
        <f>$C$12/$C$8</f>
        <v/>
      </c>
      <c r="N19" s="518">
        <f>$C$13/$C$8</f>
        <v/>
      </c>
      <c r="O19" s="518">
        <f>$C$14/$C$8</f>
        <v/>
      </c>
      <c r="P19" s="515">
        <f>Q19+U19</f>
        <v/>
      </c>
      <c r="Q19" s="646">
        <f>$C$41/1.1/$C$8</f>
        <v/>
      </c>
      <c r="R19" s="516">
        <f>Q19-S19-T19</f>
        <v/>
      </c>
      <c r="S19" s="500">
        <f>$C$12/$C$8-$AD$14-$AD$19</f>
        <v/>
      </c>
      <c r="T19" s="519">
        <f>$C$13/$C$8-$AD$15-$AD$20</f>
        <v/>
      </c>
      <c r="U19" s="500">
        <f>O19</f>
        <v/>
      </c>
      <c r="V19" s="92" t="n"/>
      <c r="W19" s="196" t="n"/>
      <c r="X19" s="196" t="n"/>
      <c r="Z19" s="196" t="n"/>
      <c r="AB19" s="375" t="n"/>
      <c r="AC19" s="506" t="inlineStr">
        <is>
          <t>케어</t>
        </is>
      </c>
      <c r="AD19" s="507">
        <f>ROUND(AD17*$C$12/($C$16-$C$14),-2)</f>
        <v/>
      </c>
      <c r="AF19" s="375" t="n"/>
      <c r="AG19" s="506" t="inlineStr">
        <is>
          <t>케어</t>
        </is>
      </c>
      <c r="AH19" s="507">
        <f>ROUND(AH17*$C$12/($C$16-$C$14),0)</f>
        <v/>
      </c>
      <c r="AI19" s="505">
        <f>ROUND(AH19*1.1,)</f>
        <v/>
      </c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K20+O20</f>
        <v/>
      </c>
      <c r="K20" s="646">
        <f>$C$20/1.1/$C$8</f>
        <v/>
      </c>
      <c r="L20" s="516">
        <f>K20-M20-N20</f>
        <v/>
      </c>
      <c r="M20" s="517">
        <f>$C$12/$C$8</f>
        <v/>
      </c>
      <c r="N20" s="518">
        <f>$C$13/$C$8</f>
        <v/>
      </c>
      <c r="O20" s="518">
        <f>$C$14/$C$8</f>
        <v/>
      </c>
      <c r="P20" s="515">
        <f>Q20+U20</f>
        <v/>
      </c>
      <c r="Q20" s="646">
        <f>$C$41/1.1/$C$8</f>
        <v/>
      </c>
      <c r="R20" s="516">
        <f>Q20-S20-T20</f>
        <v/>
      </c>
      <c r="S20" s="500">
        <f>$C$12/$C$8-$AD$14-$AD$19</f>
        <v/>
      </c>
      <c r="T20" s="519">
        <f>$C$13/$C$8-$AD$15-$AD$20</f>
        <v/>
      </c>
      <c r="U20" s="500">
        <f>O20</f>
        <v/>
      </c>
      <c r="V20" s="92" t="n"/>
      <c r="W20" s="196" t="n"/>
      <c r="X20" s="196" t="n"/>
      <c r="Z20" s="196" t="n"/>
      <c r="AB20" s="376" t="n"/>
      <c r="AC20" s="524" t="inlineStr">
        <is>
          <t>보증</t>
        </is>
      </c>
      <c r="AD20" s="507">
        <f>ROUND(AD17*$C$13/($C$16-$C$14),-2)</f>
        <v/>
      </c>
      <c r="AF20" s="376" t="n"/>
      <c r="AG20" s="524" t="inlineStr">
        <is>
          <t>보증</t>
        </is>
      </c>
      <c r="AH20" s="507">
        <f>ROUND(AH17*$C$13/($C$16-$C$14),0)</f>
        <v/>
      </c>
      <c r="AI20" s="505">
        <f>ROUND(AH20*1.1,)</f>
        <v/>
      </c>
    </row>
    <row r="21" ht="17.45" customHeight="1" s="497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K21+O21</f>
        <v/>
      </c>
      <c r="K21" s="646">
        <f>$C$20/1.1/$C$8</f>
        <v/>
      </c>
      <c r="L21" s="516">
        <f>K21-M21-N21</f>
        <v/>
      </c>
      <c r="M21" s="517">
        <f>$C$12/$C$8</f>
        <v/>
      </c>
      <c r="N21" s="518">
        <f>$C$13/$C$8</f>
        <v/>
      </c>
      <c r="O21" s="518">
        <f>$C$14/$C$8</f>
        <v/>
      </c>
      <c r="P21" s="515">
        <f>Q21+U21</f>
        <v/>
      </c>
      <c r="Q21" s="646">
        <f>$C$41/1.1/$C$8</f>
        <v/>
      </c>
      <c r="R21" s="516">
        <f>Q21-S21-T21</f>
        <v/>
      </c>
      <c r="S21" s="500">
        <f>$C$12/$C$8-$AD$14-$AD$19</f>
        <v/>
      </c>
      <c r="T21" s="519">
        <f>$C$13/$C$8-$AD$15-$AD$20</f>
        <v/>
      </c>
      <c r="U21" s="500">
        <f>O21</f>
        <v/>
      </c>
      <c r="V21" s="92" t="n"/>
      <c r="W21" s="196" t="n"/>
      <c r="X21" s="196" t="n"/>
      <c r="Z21" s="196" t="n"/>
    </row>
    <row r="22">
      <c r="A22" s="176" t="n"/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K22+O22</f>
        <v/>
      </c>
      <c r="K22" s="646">
        <f>$C$20/1.1/$C$8</f>
        <v/>
      </c>
      <c r="L22" s="516">
        <f>K22-M22-N22</f>
        <v/>
      </c>
      <c r="M22" s="517">
        <f>$C$12/$C$8</f>
        <v/>
      </c>
      <c r="N22" s="518">
        <f>$C$13/$C$8</f>
        <v/>
      </c>
      <c r="O22" s="518">
        <f>$C$14/$C$8</f>
        <v/>
      </c>
      <c r="P22" s="515">
        <f>Q22+U22</f>
        <v/>
      </c>
      <c r="Q22" s="646">
        <f>$C$41/1.1/$C$8</f>
        <v/>
      </c>
      <c r="R22" s="516">
        <f>Q22-S22-T22</f>
        <v/>
      </c>
      <c r="S22" s="500">
        <f>$C$12/$C$8-$AD$14-$AD$19</f>
        <v/>
      </c>
      <c r="T22" s="519">
        <f>$C$13/$C$8-$AD$15-$AD$20</f>
        <v/>
      </c>
      <c r="U22" s="500">
        <f>O22</f>
        <v/>
      </c>
      <c r="V22" s="92" t="n"/>
      <c r="W22" s="196" t="n"/>
      <c r="X22" s="196" t="n"/>
      <c r="Z22" s="196" t="n"/>
    </row>
    <row r="23">
      <c r="A23" s="176" t="n"/>
      <c r="B23" s="9" t="inlineStr">
        <is>
          <t>(계산용) 선납금(v-) (총구독료 v+ 기준)</t>
        </is>
      </c>
      <c r="C23" s="506">
        <f>C18*C22/1.1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K23+O23</f>
        <v/>
      </c>
      <c r="K23" s="646">
        <f>$C$20/1.1/$C$8</f>
        <v/>
      </c>
      <c r="L23" s="516">
        <f>K23-M23-N23</f>
        <v/>
      </c>
      <c r="M23" s="517">
        <f>$C$12/$C$8</f>
        <v/>
      </c>
      <c r="N23" s="518">
        <f>$C$13/$C$8</f>
        <v/>
      </c>
      <c r="O23" s="518">
        <f>$C$14/$C$8</f>
        <v/>
      </c>
      <c r="P23" s="515">
        <f>Q23+U23</f>
        <v/>
      </c>
      <c r="Q23" s="646">
        <f>$C$41/1.1/$C$8</f>
        <v/>
      </c>
      <c r="R23" s="516">
        <f>Q23-S23-T23</f>
        <v/>
      </c>
      <c r="S23" s="500">
        <f>$C$12/$C$8-$AD$14-$AD$19</f>
        <v/>
      </c>
      <c r="T23" s="519">
        <f>$C$13/$C$8-$AD$15-$AD$20</f>
        <v/>
      </c>
      <c r="U23" s="500">
        <f>O23</f>
        <v/>
      </c>
      <c r="V23" s="92" t="n"/>
      <c r="W23" s="196" t="n"/>
      <c r="X23" s="196" t="inlineStr">
        <is>
          <t>* 고객에게 돌려주는 보상금은 ROUNDUP</t>
        </is>
      </c>
      <c r="Z23" s="196" t="n"/>
    </row>
    <row r="24">
      <c r="A24" s="176" t="n"/>
      <c r="B24" s="9" t="inlineStr">
        <is>
          <t>(계산용) 월 선납금(V-)</t>
        </is>
      </c>
      <c r="C24" s="506">
        <f>ROUND(C23/C8,-2)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K24+O24</f>
        <v/>
      </c>
      <c r="K24" s="646">
        <f>$C$20/1.1/$C$8</f>
        <v/>
      </c>
      <c r="L24" s="516">
        <f>K24-M24-N24</f>
        <v/>
      </c>
      <c r="M24" s="517">
        <f>$C$12/$C$8</f>
        <v/>
      </c>
      <c r="N24" s="518">
        <f>$C$13/$C$8</f>
        <v/>
      </c>
      <c r="O24" s="518">
        <f>$C$14/$C$8</f>
        <v/>
      </c>
      <c r="P24" s="515">
        <f>Q24+U24</f>
        <v/>
      </c>
      <c r="Q24" s="646">
        <f>$C$41/1.1/$C$8</f>
        <v/>
      </c>
      <c r="R24" s="516">
        <f>Q24-S24-T24</f>
        <v/>
      </c>
      <c r="S24" s="500">
        <f>$C$12/$C$8-$AD$14-$AD$19</f>
        <v/>
      </c>
      <c r="T24" s="519">
        <f>$C$13/$C$8-$AD$15-$AD$20</f>
        <v/>
      </c>
      <c r="U24" s="500">
        <f>O24</f>
        <v/>
      </c>
      <c r="V24" s="99" t="n">
        <v>46448</v>
      </c>
      <c r="W24" s="415">
        <f>H24-V24+1</f>
        <v/>
      </c>
      <c r="X24" s="630">
        <f>AB7</f>
        <v/>
      </c>
      <c r="Y24" s="632" t="n"/>
      <c r="Z24" s="735">
        <f>X24</f>
        <v/>
      </c>
      <c r="AA24" s="500">
        <f>SUM(X24:X25)</f>
        <v/>
      </c>
      <c r="AB24" s="517">
        <f>ROUNDUP(G14*(W24+W25)/G8,-2)</f>
        <v/>
      </c>
      <c r="AC24" s="517" t="n"/>
    </row>
    <row r="25">
      <c r="A25" s="176" t="n"/>
      <c r="B25" s="9" t="inlineStr">
        <is>
          <t>(계산용) 월 선납금(V+)</t>
        </is>
      </c>
      <c r="C25" s="506">
        <f>C24*1.1</f>
        <v/>
      </c>
      <c r="F25" s="101" t="inlineStr">
        <is>
          <t>20회차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K25+O25</f>
        <v/>
      </c>
      <c r="K25" s="646">
        <f>$C$20/1.1/$C$8</f>
        <v/>
      </c>
      <c r="L25" s="516">
        <f>K25-M25-N25</f>
        <v/>
      </c>
      <c r="M25" s="517">
        <f>$C$12/$C$8</f>
        <v/>
      </c>
      <c r="N25" s="518">
        <f>$C$13/$C$8</f>
        <v/>
      </c>
      <c r="O25" s="518">
        <f>$C$14/$C$8</f>
        <v/>
      </c>
      <c r="P25" s="515">
        <f>Q25+U25</f>
        <v/>
      </c>
      <c r="Q25" s="646">
        <f>$C$41/1.1/$C$8</f>
        <v/>
      </c>
      <c r="R25" s="516">
        <f>Q25-S25-T25</f>
        <v/>
      </c>
      <c r="S25" s="500">
        <f>$C$12/$C$8-$AD$14-$AD$19</f>
        <v/>
      </c>
      <c r="T25" s="519">
        <f>$C$13/$C$8-$AD$15-$AD$20</f>
        <v/>
      </c>
      <c r="U25" s="500">
        <f>O25</f>
        <v/>
      </c>
      <c r="V25" s="99" t="n">
        <v>46482</v>
      </c>
      <c r="W25" s="415">
        <f>V25-G25+1</f>
        <v/>
      </c>
      <c r="X25" s="630">
        <f>AB8</f>
        <v/>
      </c>
      <c r="Y25" s="632" t="n"/>
      <c r="Z25" s="735">
        <f>X25</f>
        <v/>
      </c>
    </row>
    <row r="26">
      <c r="A26" s="176" t="n"/>
      <c r="B26" s="9" t="inlineStr">
        <is>
          <t>(최종) 선납금 반영 월 구독료 (V-)</t>
        </is>
      </c>
      <c r="C26" s="506">
        <f>C17-C24</f>
        <v/>
      </c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K26+O26</f>
        <v/>
      </c>
      <c r="K26" s="646">
        <f>$C$20/1.1/$C$8</f>
        <v/>
      </c>
      <c r="L26" s="516">
        <f>K26-M26-N26</f>
        <v/>
      </c>
      <c r="M26" s="517">
        <f>$C$12/$C$8</f>
        <v/>
      </c>
      <c r="N26" s="518">
        <f>$C$13/$C$8</f>
        <v/>
      </c>
      <c r="O26" s="518">
        <f>$C$14/$C$8</f>
        <v/>
      </c>
      <c r="P26" s="515">
        <f>Q26+U26</f>
        <v/>
      </c>
      <c r="Q26" s="646">
        <f>$C$41/1.1/$C$8</f>
        <v/>
      </c>
      <c r="R26" s="516">
        <f>Q26-S26-T26</f>
        <v/>
      </c>
      <c r="S26" s="500">
        <f>$C$12/$C$8-$AD$14-$AD$19</f>
        <v/>
      </c>
      <c r="T26" s="519">
        <f>$C$13/$C$8-$AD$15-$AD$20</f>
        <v/>
      </c>
      <c r="U26" s="500">
        <f>O26</f>
        <v/>
      </c>
      <c r="V26" s="92" t="n"/>
      <c r="W26" s="196" t="n"/>
      <c r="X26" s="196" t="inlineStr">
        <is>
          <t>* 선납 여부 무관 기본 구독료 기준으로 미사용기간분 계산 (선납 일부 환불)</t>
        </is>
      </c>
      <c r="Y26" s="539" t="n"/>
      <c r="Z26" s="196" t="n"/>
    </row>
    <row r="27">
      <c r="A27" s="176" t="n"/>
      <c r="B27" s="9" t="inlineStr">
        <is>
          <t>(최종) 선납금 반영 총 구독료 (V-)</t>
        </is>
      </c>
      <c r="C27" s="506">
        <f>C26*C8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K27+O27</f>
        <v/>
      </c>
      <c r="K27" s="646">
        <f>$C$20/1.1/$C$8</f>
        <v/>
      </c>
      <c r="L27" s="516">
        <f>K27-M27-N27</f>
        <v/>
      </c>
      <c r="M27" s="517">
        <f>$C$12/$C$8</f>
        <v/>
      </c>
      <c r="N27" s="518">
        <f>$C$13/$C$8</f>
        <v/>
      </c>
      <c r="O27" s="518">
        <f>$C$14/$C$8</f>
        <v/>
      </c>
      <c r="P27" s="515">
        <f>Q27+U27</f>
        <v/>
      </c>
      <c r="Q27" s="646">
        <f>$C$41/1.1/$C$8</f>
        <v/>
      </c>
      <c r="R27" s="516">
        <f>Q27-S27-T27</f>
        <v/>
      </c>
      <c r="S27" s="500">
        <f>$C$12/$C$8-$AD$14-$AD$19</f>
        <v/>
      </c>
      <c r="T27" s="519">
        <f>$C$13/$C$8-$AD$15-$AD$20</f>
        <v/>
      </c>
      <c r="U27" s="500">
        <f>O27</f>
        <v/>
      </c>
      <c r="V27" s="92" t="n"/>
      <c r="W27" s="196" t="n"/>
      <c r="X27" s="196" t="n"/>
      <c r="Z27" s="196" t="n"/>
    </row>
    <row r="28">
      <c r="A28" s="176" t="n"/>
      <c r="B28" s="63" t="inlineStr">
        <is>
          <t>(최종) 선납금 (V-)</t>
        </is>
      </c>
      <c r="C28" s="649">
        <f>C24*C8</f>
        <v/>
      </c>
      <c r="D28" s="505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K28+O28</f>
        <v/>
      </c>
      <c r="K28" s="646">
        <f>$C$20/1.1/$C$8</f>
        <v/>
      </c>
      <c r="L28" s="516">
        <f>K28-M28-N28</f>
        <v/>
      </c>
      <c r="M28" s="517">
        <f>$C$12/$C$8</f>
        <v/>
      </c>
      <c r="N28" s="518">
        <f>$C$13/$C$8</f>
        <v/>
      </c>
      <c r="O28" s="518">
        <f>$C$14/$C$8</f>
        <v/>
      </c>
      <c r="P28" s="515">
        <f>Q28+U28</f>
        <v/>
      </c>
      <c r="Q28" s="646">
        <f>$C$41/1.1/$C$8</f>
        <v/>
      </c>
      <c r="R28" s="516">
        <f>Q28-S28-T28</f>
        <v/>
      </c>
      <c r="S28" s="500">
        <f>$C$12/$C$8-$AD$14-$AD$19</f>
        <v/>
      </c>
      <c r="T28" s="519">
        <f>$C$13/$C$8-$AD$15-$AD$20</f>
        <v/>
      </c>
      <c r="U28" s="500">
        <f>O28</f>
        <v/>
      </c>
      <c r="V28" s="92" t="n"/>
      <c r="W28" s="196" t="n"/>
      <c r="X28" s="196" t="n"/>
      <c r="Z28" s="196" t="n"/>
    </row>
    <row r="29">
      <c r="B29" s="170" t="inlineStr">
        <is>
          <t>(계산용) 선납 할인금 (V-) (총구독료 v+기준)</t>
        </is>
      </c>
      <c r="C29" s="650">
        <f>C18*4%/1.1</f>
        <v/>
      </c>
      <c r="D29" s="500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K29+O29</f>
        <v/>
      </c>
      <c r="K29" s="646">
        <f>$C$20/1.1/$C$8</f>
        <v/>
      </c>
      <c r="L29" s="516">
        <f>K29-M29-N29</f>
        <v/>
      </c>
      <c r="M29" s="517">
        <f>$C$12/$C$8</f>
        <v/>
      </c>
      <c r="N29" s="518">
        <f>$C$13/$C$8</f>
        <v/>
      </c>
      <c r="O29" s="518">
        <f>$C$14/$C$8</f>
        <v/>
      </c>
      <c r="P29" s="515">
        <f>Q29+U29</f>
        <v/>
      </c>
      <c r="Q29" s="646">
        <f>$C$41/1.1/$C$8</f>
        <v/>
      </c>
      <c r="R29" s="516">
        <f>Q29-S29-T29</f>
        <v/>
      </c>
      <c r="S29" s="500">
        <f>$C$12/$C$8-$AD$14-$AD$19</f>
        <v/>
      </c>
      <c r="T29" s="519">
        <f>$C$13/$C$8-$AD$15-$AD$20</f>
        <v/>
      </c>
      <c r="U29" s="500">
        <f>O29</f>
        <v/>
      </c>
      <c r="V29" s="92" t="n"/>
      <c r="W29" s="196" t="n"/>
      <c r="X29" s="196" t="n"/>
      <c r="Z29" s="196" t="n"/>
    </row>
    <row r="30">
      <c r="B30" s="9" t="inlineStr">
        <is>
          <t>(계산용) 선납 할인금 월할 (V-)</t>
        </is>
      </c>
      <c r="C30" s="506">
        <f>C29/C8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K30+O30</f>
        <v/>
      </c>
      <c r="K30" s="646">
        <f>$C$20/1.1/$C$8</f>
        <v/>
      </c>
      <c r="L30" s="516">
        <f>K30-M30-N30</f>
        <v/>
      </c>
      <c r="M30" s="517">
        <f>$C$12/$C$8</f>
        <v/>
      </c>
      <c r="N30" s="518">
        <f>$C$13/$C$8</f>
        <v/>
      </c>
      <c r="O30" s="518">
        <f>$C$14/$C$8</f>
        <v/>
      </c>
      <c r="P30" s="515">
        <f>Q30+U30</f>
        <v/>
      </c>
      <c r="Q30" s="646">
        <f>$C$41/1.1/$C$8</f>
        <v/>
      </c>
      <c r="R30" s="516">
        <f>Q30-S30-T30</f>
        <v/>
      </c>
      <c r="S30" s="500">
        <f>$C$12/$C$8-$AD$14-$AD$19</f>
        <v/>
      </c>
      <c r="T30" s="519">
        <f>$C$13/$C$8-$AD$15-$AD$20</f>
        <v/>
      </c>
      <c r="U30" s="500">
        <f>O30</f>
        <v/>
      </c>
      <c r="V30" s="92" t="n"/>
      <c r="W30" s="196" t="n"/>
      <c r="X30" s="196" t="n"/>
      <c r="Z30" s="196" t="n"/>
    </row>
    <row r="31">
      <c r="B31" s="9" t="inlineStr">
        <is>
          <t>(계산용) 선납 할인금 월할 보정 (V-)</t>
        </is>
      </c>
      <c r="C31" s="506">
        <f>ROUNDUP(C30,-2)</f>
        <v/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K31+O31</f>
        <v/>
      </c>
      <c r="K31" s="646">
        <f>$C$20/1.1/$C$8</f>
        <v/>
      </c>
      <c r="L31" s="516">
        <f>K31-M31-N31</f>
        <v/>
      </c>
      <c r="M31" s="517">
        <f>$C$12/$C$8</f>
        <v/>
      </c>
      <c r="N31" s="518">
        <f>$C$13/$C$8</f>
        <v/>
      </c>
      <c r="O31" s="518">
        <f>$C$14/$C$8</f>
        <v/>
      </c>
      <c r="P31" s="515">
        <f>Q31+U31</f>
        <v/>
      </c>
      <c r="Q31" s="646">
        <f>$C$41/1.1/$C$8</f>
        <v/>
      </c>
      <c r="R31" s="516">
        <f>Q31-S31-T31</f>
        <v/>
      </c>
      <c r="S31" s="500">
        <f>$C$12/$C$8-$AD$14-$AD$19</f>
        <v/>
      </c>
      <c r="T31" s="519">
        <f>$C$13/$C$8-$AD$15-$AD$20</f>
        <v/>
      </c>
      <c r="U31" s="500">
        <f>O31</f>
        <v/>
      </c>
      <c r="V31" s="92" t="n"/>
      <c r="W31" s="196" t="n"/>
      <c r="X31" s="196" t="n"/>
      <c r="Z31" s="196" t="n"/>
    </row>
    <row r="32">
      <c r="B32" s="63" t="inlineStr">
        <is>
          <t>(최종) 선납 할인금 (V-)</t>
        </is>
      </c>
      <c r="C32" s="649">
        <f>C31*C8</f>
        <v/>
      </c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K32+O32</f>
        <v/>
      </c>
      <c r="K32" s="646">
        <f>$C$20/1.1/$C$8</f>
        <v/>
      </c>
      <c r="L32" s="516">
        <f>K32-M32-N32</f>
        <v/>
      </c>
      <c r="M32" s="517">
        <f>$C$12/$C$8</f>
        <v/>
      </c>
      <c r="N32" s="518">
        <f>$C$13/$C$8</f>
        <v/>
      </c>
      <c r="O32" s="518">
        <f>$C$14/$C$8</f>
        <v/>
      </c>
      <c r="P32" s="515">
        <f>Q32+U32</f>
        <v/>
      </c>
      <c r="Q32" s="646">
        <f>$C$41/1.1/$C$8</f>
        <v/>
      </c>
      <c r="R32" s="516">
        <f>Q32-S32-T32</f>
        <v/>
      </c>
      <c r="S32" s="500">
        <f>$C$12/$C$8-$AD$14-$AD$19</f>
        <v/>
      </c>
      <c r="T32" s="519">
        <f>$C$13/$C$8-$AD$15-$AD$20</f>
        <v/>
      </c>
      <c r="U32" s="500">
        <f>O32</f>
        <v/>
      </c>
      <c r="V32" s="92" t="n"/>
      <c r="W32" s="196" t="n"/>
      <c r="X32" s="196" t="n"/>
      <c r="Z32" s="196" t="n"/>
    </row>
    <row r="33">
      <c r="B33" s="9" t="inlineStr">
        <is>
          <t>(최종) 선납 할인금 (V+)</t>
        </is>
      </c>
      <c r="C33" s="506">
        <f>C32*1.1</f>
        <v/>
      </c>
      <c r="D33" s="505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K33+O33</f>
        <v/>
      </c>
      <c r="K33" s="646">
        <f>$C$20/1.1/$C$8</f>
        <v/>
      </c>
      <c r="L33" s="516">
        <f>K33-M33-N33</f>
        <v/>
      </c>
      <c r="M33" s="517">
        <f>$C$12/$C$8</f>
        <v/>
      </c>
      <c r="N33" s="518">
        <f>$C$13/$C$8</f>
        <v/>
      </c>
      <c r="O33" s="518">
        <f>$C$14/$C$8</f>
        <v/>
      </c>
      <c r="P33" s="515">
        <f>Q33+U33</f>
        <v/>
      </c>
      <c r="Q33" s="646">
        <f>$C$41/1.1/$C$8</f>
        <v/>
      </c>
      <c r="R33" s="516">
        <f>Q33-S33-T33</f>
        <v/>
      </c>
      <c r="S33" s="500">
        <f>$C$12/$C$8-$AD$14-$AD$19</f>
        <v/>
      </c>
      <c r="T33" s="519">
        <f>$C$13/$C$8-$AD$15-$AD$20</f>
        <v/>
      </c>
      <c r="U33" s="500">
        <f>O33</f>
        <v/>
      </c>
      <c r="V33" s="92" t="n"/>
      <c r="W33" s="196" t="n"/>
      <c r="X33" s="196" t="n"/>
      <c r="Z33" s="196" t="n"/>
    </row>
    <row r="34">
      <c r="B34" s="182" t="inlineStr">
        <is>
          <t>(최종) 선납금+선납 할인 반영 월 구독료 (V-)</t>
        </is>
      </c>
      <c r="C34" s="651">
        <f>(C16-C28-C32)/C8</f>
        <v/>
      </c>
      <c r="D34" s="539" t="n"/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K34+O34</f>
        <v/>
      </c>
      <c r="K34" s="646">
        <f>$C$20/1.1/$C$8</f>
        <v/>
      </c>
      <c r="L34" s="516">
        <f>K34-M34-N34</f>
        <v/>
      </c>
      <c r="M34" s="517">
        <f>$C$12/$C$8</f>
        <v/>
      </c>
      <c r="N34" s="518">
        <f>$C$13/$C$8</f>
        <v/>
      </c>
      <c r="O34" s="518">
        <f>$C$14/$C$8</f>
        <v/>
      </c>
      <c r="P34" s="515">
        <f>Q34+U34</f>
        <v/>
      </c>
      <c r="Q34" s="646">
        <f>$C$41/1.1/$C$8</f>
        <v/>
      </c>
      <c r="R34" s="516">
        <f>Q34-S34-T34</f>
        <v/>
      </c>
      <c r="S34" s="500">
        <f>$C$12/$C$8-$AD$14-$AD$19</f>
        <v/>
      </c>
      <c r="T34" s="519">
        <f>$C$13/$C$8-$AD$15-$AD$20</f>
        <v/>
      </c>
      <c r="U34" s="500">
        <f>O34</f>
        <v/>
      </c>
      <c r="V34" s="92" t="n"/>
      <c r="W34" s="196" t="n"/>
      <c r="X34" s="196" t="n"/>
      <c r="Z34" s="196" t="n"/>
    </row>
    <row r="35">
      <c r="B35" s="182" t="inlineStr">
        <is>
          <t>(최종) 선납금+선납 할인 반영 총 구독료 (V-)</t>
        </is>
      </c>
      <c r="C35" s="651">
        <f>C34*C8</f>
        <v/>
      </c>
      <c r="D35" s="539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K35+O35</f>
        <v/>
      </c>
      <c r="K35" s="646">
        <f>$C$20/1.1/$C$8</f>
        <v/>
      </c>
      <c r="L35" s="516">
        <f>K35-M35-N35</f>
        <v/>
      </c>
      <c r="M35" s="517">
        <f>$C$12/$C$8</f>
        <v/>
      </c>
      <c r="N35" s="518">
        <f>$C$13/$C$8</f>
        <v/>
      </c>
      <c r="O35" s="518">
        <f>$C$14/$C$8</f>
        <v/>
      </c>
      <c r="P35" s="515">
        <f>Q35+U35</f>
        <v/>
      </c>
      <c r="Q35" s="646">
        <f>$C$41/1.1/$C$8</f>
        <v/>
      </c>
      <c r="R35" s="516">
        <f>Q35-S35-T35</f>
        <v/>
      </c>
      <c r="S35" s="500">
        <f>$C$12/$C$8-$AD$14-$AD$19</f>
        <v/>
      </c>
      <c r="T35" s="519">
        <f>$C$13/$C$8-$AD$15-$AD$20</f>
        <v/>
      </c>
      <c r="U35" s="500">
        <f>O35</f>
        <v/>
      </c>
      <c r="V35" s="92" t="n"/>
      <c r="W35" s="196" t="n"/>
      <c r="X35" s="196" t="n"/>
      <c r="Z35" s="196" t="n"/>
    </row>
    <row r="36">
      <c r="B36" s="182" t="inlineStr">
        <is>
          <t>(최종) 선납금+선납 할인 반영 월 구독료 (V+)</t>
        </is>
      </c>
      <c r="C36" s="651">
        <f>(C18-C28*1.1-C33)/C8</f>
        <v/>
      </c>
      <c r="D36" s="517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K36+O36</f>
        <v/>
      </c>
      <c r="K36" s="646">
        <f>$C$20/1.1/$C$8</f>
        <v/>
      </c>
      <c r="L36" s="516">
        <f>K36-M36-N36</f>
        <v/>
      </c>
      <c r="M36" s="517">
        <f>$C$12/$C$8</f>
        <v/>
      </c>
      <c r="N36" s="518">
        <f>$C$13/$C$8</f>
        <v/>
      </c>
      <c r="O36" s="518">
        <f>$C$14/$C$8</f>
        <v/>
      </c>
      <c r="P36" s="515">
        <f>Q36+U36</f>
        <v/>
      </c>
      <c r="Q36" s="646">
        <f>$C$41/1.1/$C$8</f>
        <v/>
      </c>
      <c r="R36" s="516">
        <f>Q36-S36-T36</f>
        <v/>
      </c>
      <c r="S36" s="500">
        <f>$C$12/$C$8-$AD$14-$AD$19</f>
        <v/>
      </c>
      <c r="T36" s="519">
        <f>$C$13/$C$8-$AD$15-$AD$20</f>
        <v/>
      </c>
      <c r="U36" s="500">
        <f>O36</f>
        <v/>
      </c>
      <c r="V36" s="92" t="n"/>
      <c r="W36" s="196" t="n"/>
      <c r="X36" s="196" t="n"/>
      <c r="Z36" s="196" t="n"/>
    </row>
    <row r="37">
      <c r="B37" s="182" t="inlineStr">
        <is>
          <t>(최종) 선납금+선납 할인 반영 총 구독료 (V+)</t>
        </is>
      </c>
      <c r="C37" s="651">
        <f>C36*C8</f>
        <v/>
      </c>
      <c r="D37" s="505">
        <f>(C15-C28-C32+C13)*1.1+C14</f>
        <v/>
      </c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K37+O37</f>
        <v/>
      </c>
      <c r="K37" s="646">
        <f>$C$20/1.1/$C$8</f>
        <v/>
      </c>
      <c r="L37" s="516">
        <f>K37-M37-N37</f>
        <v/>
      </c>
      <c r="M37" s="517">
        <f>$C$12/$C$8</f>
        <v/>
      </c>
      <c r="N37" s="518">
        <f>$C$13/$C$8</f>
        <v/>
      </c>
      <c r="O37" s="518">
        <f>$C$14/$C$8</f>
        <v/>
      </c>
      <c r="P37" s="515">
        <f>Q37+U37</f>
        <v/>
      </c>
      <c r="Q37" s="646">
        <f>$C$41/1.1/$C$8</f>
        <v/>
      </c>
      <c r="R37" s="516">
        <f>Q37-S37-T37</f>
        <v/>
      </c>
      <c r="S37" s="500">
        <f>$C$12/$C$8-$AD$14-$AD$19</f>
        <v/>
      </c>
      <c r="T37" s="519">
        <f>$C$13/$C$8-$AD$15-$AD$20</f>
        <v/>
      </c>
      <c r="U37" s="500">
        <f>O37</f>
        <v/>
      </c>
      <c r="V37" s="92" t="n"/>
      <c r="W37" s="196" t="n"/>
      <c r="X37" s="196" t="n"/>
      <c r="Z37" s="196" t="n"/>
    </row>
    <row r="38">
      <c r="C38" s="505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K38+O38</f>
        <v/>
      </c>
      <c r="K38" s="646">
        <f>$C$20/1.1/$C$8</f>
        <v/>
      </c>
      <c r="L38" s="516">
        <f>K38-M38-N38</f>
        <v/>
      </c>
      <c r="M38" s="517">
        <f>$C$12/$C$8</f>
        <v/>
      </c>
      <c r="N38" s="518">
        <f>$C$13/$C$8</f>
        <v/>
      </c>
      <c r="O38" s="518">
        <f>$C$14/$C$8</f>
        <v/>
      </c>
      <c r="P38" s="515">
        <f>Q38+U38</f>
        <v/>
      </c>
      <c r="Q38" s="646">
        <f>$C$41/1.1/$C$8</f>
        <v/>
      </c>
      <c r="R38" s="516">
        <f>Q38-S38-T38</f>
        <v/>
      </c>
      <c r="S38" s="500">
        <f>$C$12/$C$8-$AD$14-$AD$19</f>
        <v/>
      </c>
      <c r="T38" s="519">
        <f>$C$13/$C$8-$AD$15-$AD$20</f>
        <v/>
      </c>
      <c r="U38" s="500">
        <f>O38</f>
        <v/>
      </c>
      <c r="V38" s="92" t="n"/>
      <c r="W38" s="196" t="n"/>
      <c r="X38" s="196" t="n"/>
      <c r="Z38" s="196" t="n"/>
    </row>
    <row r="39">
      <c r="B39" s="9" t="inlineStr">
        <is>
          <t>선납금+선납 할인 반영 순수 구독료 (V-)</t>
        </is>
      </c>
      <c r="C39" s="506">
        <f>C35-C12-C13-C14+SUM(AD14:AD15,AD19:AD20)*C8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K39+O39</f>
        <v/>
      </c>
      <c r="K39" s="646">
        <f>$C$20/1.1/$C$8</f>
        <v/>
      </c>
      <c r="L39" s="516">
        <f>K39-M39-N39</f>
        <v/>
      </c>
      <c r="M39" s="517">
        <f>$C$12/$C$8</f>
        <v/>
      </c>
      <c r="N39" s="518">
        <f>$C$13/$C$8</f>
        <v/>
      </c>
      <c r="O39" s="518">
        <f>$C$14/$C$8</f>
        <v/>
      </c>
      <c r="P39" s="515">
        <f>Q39+U39</f>
        <v/>
      </c>
      <c r="Q39" s="646">
        <f>$C$41/1.1/$C$8</f>
        <v/>
      </c>
      <c r="R39" s="516">
        <f>Q39-S39-T39</f>
        <v/>
      </c>
      <c r="S39" s="500">
        <f>$C$12/$C$8-$AD$14-$AD$19</f>
        <v/>
      </c>
      <c r="T39" s="519">
        <f>$C$13/$C$8-$AD$15-$AD$20</f>
        <v/>
      </c>
      <c r="U39" s="500">
        <f>O39</f>
        <v/>
      </c>
      <c r="V39" s="92" t="n"/>
      <c r="W39" s="196" t="n"/>
      <c r="X39" s="196" t="n"/>
      <c r="Z39" s="196" t="n"/>
    </row>
    <row r="40">
      <c r="B40" s="9" t="inlineStr">
        <is>
          <t>선납금+선납 할인 반영 순수 구독료 월할 (V-)</t>
        </is>
      </c>
      <c r="C40" s="506">
        <f>C39/C8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K40+O40</f>
        <v/>
      </c>
      <c r="K40" s="646">
        <f>$C$20/1.1/$C$8</f>
        <v/>
      </c>
      <c r="L40" s="516">
        <f>K40-M40-N40</f>
        <v/>
      </c>
      <c r="M40" s="517">
        <f>$C$12/$C$8</f>
        <v/>
      </c>
      <c r="N40" s="518">
        <f>$C$13/$C$8</f>
        <v/>
      </c>
      <c r="O40" s="518">
        <f>$C$14/$C$8</f>
        <v/>
      </c>
      <c r="P40" s="515">
        <f>Q40+U40</f>
        <v/>
      </c>
      <c r="Q40" s="646">
        <f>$C$41/1.1/$C$8</f>
        <v/>
      </c>
      <c r="R40" s="516">
        <f>Q40-S40-T40</f>
        <v/>
      </c>
      <c r="S40" s="500">
        <f>$C$12/$C$8-$AD$14-$AD$19</f>
        <v/>
      </c>
      <c r="T40" s="519">
        <f>$C$13/$C$8-$AD$15-$AD$20</f>
        <v/>
      </c>
      <c r="U40" s="500">
        <f>O40</f>
        <v/>
      </c>
      <c r="V40" s="92" t="n"/>
      <c r="W40" s="196" t="n"/>
      <c r="X40" s="196" t="n"/>
      <c r="Z40" s="196" t="n"/>
    </row>
    <row r="41">
      <c r="B41" s="250" t="inlineStr">
        <is>
          <t>선납금+선납 할인 반영 파손제외 구독료 (v+)</t>
        </is>
      </c>
      <c r="C41" s="527">
        <f>C37-C14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K41+O41</f>
        <v/>
      </c>
      <c r="K41" s="646">
        <f>$C$20/1.1/$C$8</f>
        <v/>
      </c>
      <c r="L41" s="516">
        <f>K41-M41-N41</f>
        <v/>
      </c>
      <c r="M41" s="517">
        <f>$C$12/$C$8</f>
        <v/>
      </c>
      <c r="N41" s="518">
        <f>$C$13/$C$8</f>
        <v/>
      </c>
      <c r="O41" s="518">
        <f>$C$14/$C$8</f>
        <v/>
      </c>
      <c r="P41" s="515">
        <f>Q41+U41</f>
        <v/>
      </c>
      <c r="Q41" s="646">
        <f>$C$41/1.1/$C$8</f>
        <v/>
      </c>
      <c r="R41" s="516">
        <f>Q41-S41-T41</f>
        <v/>
      </c>
      <c r="S41" s="500">
        <f>$C$12/$C$8-$AD$14-$AD$19</f>
        <v/>
      </c>
      <c r="T41" s="519">
        <f>$C$13/$C$8-$AD$15-$AD$20</f>
        <v/>
      </c>
      <c r="U41" s="500">
        <f>O41</f>
        <v/>
      </c>
      <c r="V41" s="92" t="n"/>
      <c r="W41" s="196" t="n"/>
      <c r="X41" s="196" t="n"/>
      <c r="Z41" s="196" t="n"/>
    </row>
    <row r="42"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K42+O42</f>
        <v/>
      </c>
      <c r="K42" s="646">
        <f>$C$20/1.1/$C$8</f>
        <v/>
      </c>
      <c r="L42" s="516">
        <f>K42-M42-N42</f>
        <v/>
      </c>
      <c r="M42" s="517">
        <f>$C$12/$C$8</f>
        <v/>
      </c>
      <c r="N42" s="518">
        <f>$C$13/$C$8</f>
        <v/>
      </c>
      <c r="O42" s="518">
        <f>$C$14/$C$8</f>
        <v/>
      </c>
      <c r="P42" s="515">
        <f>Q42+U42</f>
        <v/>
      </c>
      <c r="Q42" s="646">
        <f>$C$41/1.1/$C$8</f>
        <v/>
      </c>
      <c r="R42" s="516">
        <f>Q42-S42-T42</f>
        <v/>
      </c>
      <c r="S42" s="500">
        <f>$C$12/$C$8-$AD$14-$AD$19</f>
        <v/>
      </c>
      <c r="T42" s="519">
        <f>$C$13/$C$8-$AD$15-$AD$20</f>
        <v/>
      </c>
      <c r="U42" s="500">
        <f>O42</f>
        <v/>
      </c>
      <c r="V42" s="92" t="n"/>
      <c r="W42" s="196" t="n"/>
      <c r="X42" s="196" t="n"/>
      <c r="Z42" s="196" t="n"/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K43+O43</f>
        <v/>
      </c>
      <c r="K43" s="646">
        <f>$C$20/1.1/$C$8</f>
        <v/>
      </c>
      <c r="L43" s="516">
        <f>K43-M43-N43</f>
        <v/>
      </c>
      <c r="M43" s="517">
        <f>$C$12/$C$8</f>
        <v/>
      </c>
      <c r="N43" s="518">
        <f>$C$13/$C$8</f>
        <v/>
      </c>
      <c r="O43" s="518">
        <f>$C$14/$C$8</f>
        <v/>
      </c>
      <c r="P43" s="515">
        <f>Q43+U43</f>
        <v/>
      </c>
      <c r="Q43" s="646">
        <f>$C$41/1.1/$C$8</f>
        <v/>
      </c>
      <c r="R43" s="516">
        <f>Q43-S43-T43</f>
        <v/>
      </c>
      <c r="S43" s="500">
        <f>$C$12/$C$8-$AD$14-$AD$19</f>
        <v/>
      </c>
      <c r="T43" s="519">
        <f>$C$13/$C$8-$AD$15-$AD$20</f>
        <v/>
      </c>
      <c r="U43" s="500">
        <f>O43</f>
        <v/>
      </c>
      <c r="V43" s="92" t="n"/>
      <c r="W43" s="196" t="n"/>
      <c r="X43" s="196" t="n"/>
      <c r="Z43" s="196" t="n"/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K44+O44</f>
        <v/>
      </c>
      <c r="K44" s="646">
        <f>$C$20/1.1/$C$8</f>
        <v/>
      </c>
      <c r="L44" s="516">
        <f>K44-M44-N44</f>
        <v/>
      </c>
      <c r="M44" s="517">
        <f>$C$12/$C$8</f>
        <v/>
      </c>
      <c r="N44" s="518">
        <f>$C$13/$C$8</f>
        <v/>
      </c>
      <c r="O44" s="518">
        <f>$C$14/$C$8</f>
        <v/>
      </c>
      <c r="P44" s="515">
        <f>Q44+U44</f>
        <v/>
      </c>
      <c r="Q44" s="646">
        <f>$C$41/1.1/$C$8</f>
        <v/>
      </c>
      <c r="R44" s="516">
        <f>Q44-S44-T44</f>
        <v/>
      </c>
      <c r="S44" s="500">
        <f>$C$12/$C$8-$AD$14-$AD$19</f>
        <v/>
      </c>
      <c r="T44" s="519">
        <f>$C$13/$C$8-$AD$15-$AD$20</f>
        <v/>
      </c>
      <c r="U44" s="500">
        <f>O44</f>
        <v/>
      </c>
      <c r="V44" s="92" t="n"/>
      <c r="W44" s="196" t="n"/>
      <c r="X44" s="196" t="n"/>
      <c r="Z44" s="196" t="n"/>
    </row>
    <row r="45"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K45+O45</f>
        <v/>
      </c>
      <c r="K45" s="646">
        <f>$C$20/1.1/$C$8</f>
        <v/>
      </c>
      <c r="L45" s="516">
        <f>K45-M45-N45</f>
        <v/>
      </c>
      <c r="M45" s="517">
        <f>$C$12/$C$8</f>
        <v/>
      </c>
      <c r="N45" s="518">
        <f>$C$13/$C$8</f>
        <v/>
      </c>
      <c r="O45" s="518">
        <f>$C$14/$C$8</f>
        <v/>
      </c>
      <c r="P45" s="515">
        <f>Q45+U45</f>
        <v/>
      </c>
      <c r="Q45" s="646">
        <f>$C$41/1.1/$C$8</f>
        <v/>
      </c>
      <c r="R45" s="516">
        <f>Q45-S45-T45</f>
        <v/>
      </c>
      <c r="S45" s="500">
        <f>$C$12/$C$8-$AD$14-$AD$19</f>
        <v/>
      </c>
      <c r="T45" s="519">
        <f>$C$13/$C$8-$AD$15-$AD$20</f>
        <v/>
      </c>
      <c r="U45" s="500">
        <f>O45</f>
        <v/>
      </c>
      <c r="V45" s="92" t="n"/>
      <c r="W45" s="196" t="n"/>
      <c r="X45" s="196" t="n"/>
      <c r="Z45" s="196" t="n"/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K46+O46</f>
        <v/>
      </c>
      <c r="K46" s="646">
        <f>$C$20/1.1/$C$8</f>
        <v/>
      </c>
      <c r="L46" s="516">
        <f>K46-M46-N46</f>
        <v/>
      </c>
      <c r="M46" s="517">
        <f>$C$12/$C$8</f>
        <v/>
      </c>
      <c r="N46" s="518">
        <f>$C$13/$C$8</f>
        <v/>
      </c>
      <c r="O46" s="518">
        <f>$C$14/$C$8</f>
        <v/>
      </c>
      <c r="P46" s="515">
        <f>Q46+U46</f>
        <v/>
      </c>
      <c r="Q46" s="646">
        <f>$C$41/1.1/$C$8</f>
        <v/>
      </c>
      <c r="R46" s="516">
        <f>Q46-S46-T46</f>
        <v/>
      </c>
      <c r="S46" s="500">
        <f>$C$12/$C$8-$AD$14-$AD$19</f>
        <v/>
      </c>
      <c r="T46" s="519">
        <f>$C$13/$C$8-$AD$15-$AD$20</f>
        <v/>
      </c>
      <c r="U46" s="500">
        <f>O46</f>
        <v/>
      </c>
      <c r="V46" s="92" t="n"/>
      <c r="W46" s="196" t="n"/>
      <c r="X46" s="196" t="n"/>
      <c r="Z46" s="196" t="n"/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K47+O47</f>
        <v/>
      </c>
      <c r="K47" s="646">
        <f>$C$20/1.1/$C$8</f>
        <v/>
      </c>
      <c r="L47" s="516">
        <f>K47-M47-N47</f>
        <v/>
      </c>
      <c r="M47" s="517">
        <f>$C$12/$C$8</f>
        <v/>
      </c>
      <c r="N47" s="518">
        <f>$C$13/$C$8</f>
        <v/>
      </c>
      <c r="O47" s="518">
        <f>$C$14/$C$8</f>
        <v/>
      </c>
      <c r="P47" s="515">
        <f>Q47+U47</f>
        <v/>
      </c>
      <c r="Q47" s="646">
        <f>$C$41/1.1/$C$8</f>
        <v/>
      </c>
      <c r="R47" s="516">
        <f>Q47-S47-T47</f>
        <v/>
      </c>
      <c r="S47" s="500">
        <f>$C$12/$C$8-$AD$14-$AD$19</f>
        <v/>
      </c>
      <c r="T47" s="519">
        <f>$C$13/$C$8-$AD$15-$AD$20</f>
        <v/>
      </c>
      <c r="U47" s="500">
        <f>O47</f>
        <v/>
      </c>
      <c r="V47" s="92" t="n"/>
      <c r="W47" s="196" t="n"/>
      <c r="X47" s="196" t="n"/>
      <c r="Z47" s="196" t="n"/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K48+O48</f>
        <v/>
      </c>
      <c r="K48" s="646">
        <f>$C$20/1.1/$C$8</f>
        <v/>
      </c>
      <c r="L48" s="516">
        <f>K48-M48-N48</f>
        <v/>
      </c>
      <c r="M48" s="517">
        <f>$C$12/$C$8</f>
        <v/>
      </c>
      <c r="N48" s="518">
        <f>$C$13/$C$8</f>
        <v/>
      </c>
      <c r="O48" s="518">
        <f>$C$14/$C$8</f>
        <v/>
      </c>
      <c r="P48" s="515">
        <f>Q48+U48</f>
        <v/>
      </c>
      <c r="Q48" s="646">
        <f>$C$41/1.1/$C$8</f>
        <v/>
      </c>
      <c r="R48" s="516">
        <f>Q48-S48-T48</f>
        <v/>
      </c>
      <c r="S48" s="500">
        <f>$C$12/$C$8-$AD$14-$AD$19</f>
        <v/>
      </c>
      <c r="T48" s="519">
        <f>$C$13/$C$8-$AD$15-$AD$20</f>
        <v/>
      </c>
      <c r="U48" s="500">
        <f>O48</f>
        <v/>
      </c>
      <c r="V48" s="92" t="n"/>
      <c r="W48" s="196" t="n"/>
      <c r="X48" s="196" t="n"/>
      <c r="Z48" s="196" t="n"/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K49+O49</f>
        <v/>
      </c>
      <c r="K49" s="646">
        <f>$C$20/1.1/$C$8</f>
        <v/>
      </c>
      <c r="L49" s="516">
        <f>K49-M49-N49</f>
        <v/>
      </c>
      <c r="M49" s="517">
        <f>$C$12/$C$8</f>
        <v/>
      </c>
      <c r="N49" s="518">
        <f>$C$13/$C$8</f>
        <v/>
      </c>
      <c r="O49" s="518">
        <f>$C$14/$C$8</f>
        <v/>
      </c>
      <c r="P49" s="515">
        <f>Q49+U49</f>
        <v/>
      </c>
      <c r="Q49" s="646">
        <f>$C$41/1.1/$C$8</f>
        <v/>
      </c>
      <c r="R49" s="516">
        <f>Q49-S49-T49</f>
        <v/>
      </c>
      <c r="S49" s="500">
        <f>$C$12/$C$8-$AD$14-$AD$19</f>
        <v/>
      </c>
      <c r="T49" s="519">
        <f>$C$13/$C$8-$AD$15-$AD$20</f>
        <v/>
      </c>
      <c r="U49" s="500">
        <f>O49</f>
        <v/>
      </c>
      <c r="V49" s="92" t="n"/>
      <c r="W49" s="196" t="n"/>
      <c r="X49" s="196" t="n"/>
      <c r="Z49" s="196" t="n"/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K50+O50</f>
        <v/>
      </c>
      <c r="K50" s="646">
        <f>$C$20/1.1/$C$8</f>
        <v/>
      </c>
      <c r="L50" s="516">
        <f>K50-M50-N50</f>
        <v/>
      </c>
      <c r="M50" s="517">
        <f>$C$12/$C$8</f>
        <v/>
      </c>
      <c r="N50" s="518">
        <f>$C$13/$C$8</f>
        <v/>
      </c>
      <c r="O50" s="518">
        <f>$C$14/$C$8</f>
        <v/>
      </c>
      <c r="P50" s="515">
        <f>Q50+U50</f>
        <v/>
      </c>
      <c r="Q50" s="646">
        <f>$C$41/1.1/$C$8</f>
        <v/>
      </c>
      <c r="R50" s="516">
        <f>Q50-S50-T50</f>
        <v/>
      </c>
      <c r="S50" s="500">
        <f>$C$12/$C$8-$AD$14-$AD$19</f>
        <v/>
      </c>
      <c r="T50" s="519">
        <f>$C$13/$C$8-$AD$15-$AD$20</f>
        <v/>
      </c>
      <c r="U50" s="500">
        <f>O50</f>
        <v/>
      </c>
      <c r="V50" s="92" t="n"/>
      <c r="W50" s="196" t="n"/>
      <c r="X50" s="196" t="n"/>
      <c r="Z50" s="196" t="n"/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K51+O51</f>
        <v/>
      </c>
      <c r="K51" s="646">
        <f>$C$20/1.1/$C$8</f>
        <v/>
      </c>
      <c r="L51" s="516">
        <f>K51-M51-N51</f>
        <v/>
      </c>
      <c r="M51" s="517">
        <f>$C$12/$C$8</f>
        <v/>
      </c>
      <c r="N51" s="518">
        <f>$C$13/$C$8</f>
        <v/>
      </c>
      <c r="O51" s="518">
        <f>$C$14/$C$8</f>
        <v/>
      </c>
      <c r="P51" s="515">
        <f>Q51+U51</f>
        <v/>
      </c>
      <c r="Q51" s="646">
        <f>$C$41/1.1/$C$8</f>
        <v/>
      </c>
      <c r="R51" s="516">
        <f>Q51-S51-T51</f>
        <v/>
      </c>
      <c r="S51" s="500">
        <f>$C$12/$C$8-$AD$14-$AD$19</f>
        <v/>
      </c>
      <c r="T51" s="519">
        <f>$C$13/$C$8-$AD$15-$AD$20</f>
        <v/>
      </c>
      <c r="U51" s="500">
        <f>O51</f>
        <v/>
      </c>
      <c r="V51" s="92" t="n"/>
      <c r="W51" s="196" t="n"/>
      <c r="X51" s="196" t="n"/>
      <c r="Z51" s="196" t="n"/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K52+O52</f>
        <v/>
      </c>
      <c r="K52" s="646">
        <f>$C$20/1.1/$C$8</f>
        <v/>
      </c>
      <c r="L52" s="516">
        <f>K52-M52-N52</f>
        <v/>
      </c>
      <c r="M52" s="517">
        <f>$C$12/$C$8</f>
        <v/>
      </c>
      <c r="N52" s="518">
        <f>$C$13/$C$8</f>
        <v/>
      </c>
      <c r="O52" s="518">
        <f>$C$14/$C$8</f>
        <v/>
      </c>
      <c r="P52" s="515">
        <f>Q52+U52</f>
        <v/>
      </c>
      <c r="Q52" s="646">
        <f>$C$41/1.1/$C$8</f>
        <v/>
      </c>
      <c r="R52" s="516">
        <f>Q52-S52-T52</f>
        <v/>
      </c>
      <c r="S52" s="500">
        <f>$C$12/$C$8-$AD$14-$AD$19</f>
        <v/>
      </c>
      <c r="T52" s="519">
        <f>$C$13/$C$8-$AD$15-$AD$20</f>
        <v/>
      </c>
      <c r="U52" s="500">
        <f>O52</f>
        <v/>
      </c>
      <c r="V52" s="92" t="n"/>
      <c r="W52" s="196" t="n"/>
      <c r="X52" s="196" t="n"/>
      <c r="Z52" s="196" t="n"/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K53+O53</f>
        <v/>
      </c>
      <c r="K53" s="646">
        <f>$C$20/1.1/$C$8</f>
        <v/>
      </c>
      <c r="L53" s="516">
        <f>K53-M53-N53</f>
        <v/>
      </c>
      <c r="M53" s="517">
        <f>$C$12/$C$8</f>
        <v/>
      </c>
      <c r="N53" s="518">
        <f>$C$13/$C$8</f>
        <v/>
      </c>
      <c r="O53" s="518">
        <f>$C$14/$C$8</f>
        <v/>
      </c>
      <c r="P53" s="515">
        <f>Q53+U53</f>
        <v/>
      </c>
      <c r="Q53" s="646">
        <f>$C$41/1.1/$C$8</f>
        <v/>
      </c>
      <c r="R53" s="516">
        <f>Q53-S53-T53</f>
        <v/>
      </c>
      <c r="S53" s="500">
        <f>$C$12/$C$8-$AD$14-$AD$19</f>
        <v/>
      </c>
      <c r="T53" s="519">
        <f>$C$13/$C$8-$AD$15-$AD$20</f>
        <v/>
      </c>
      <c r="U53" s="500">
        <f>O53</f>
        <v/>
      </c>
      <c r="V53" s="92" t="n"/>
      <c r="W53" s="196" t="n"/>
      <c r="X53" s="196" t="n"/>
      <c r="Z53" s="196" t="n"/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K54+O54</f>
        <v/>
      </c>
      <c r="K54" s="646">
        <f>$C$20/1.1/$C$8-K6</f>
        <v/>
      </c>
      <c r="L54" s="516">
        <f>K54-M54-N54</f>
        <v/>
      </c>
      <c r="M54" s="517">
        <f>$C$12/$C$8</f>
        <v/>
      </c>
      <c r="N54" s="518">
        <f>$C$13/$C$8-N6</f>
        <v/>
      </c>
      <c r="O54" s="518">
        <f>$C$14/$C$8-O6</f>
        <v/>
      </c>
      <c r="P54" s="515">
        <f>Q54+U54</f>
        <v/>
      </c>
      <c r="Q54" s="646">
        <f>$C$41/1.1/$C$8-Q6</f>
        <v/>
      </c>
      <c r="R54" s="516">
        <f>Q54-S54-T54</f>
        <v/>
      </c>
      <c r="S54" s="500">
        <f>($C$12/$C$8-$AD$14-$AD$19)-S6</f>
        <v/>
      </c>
      <c r="T54" s="519">
        <f>($C$13/$C$8-$AD$15-$AD$20)-T6</f>
        <v/>
      </c>
      <c r="U54" s="500">
        <f>O54</f>
        <v/>
      </c>
      <c r="V54" s="92" t="n"/>
      <c r="W54" s="196" t="n"/>
      <c r="X54" s="196" t="n"/>
      <c r="Z54" s="196" t="n"/>
    </row>
    <row r="55">
      <c r="F55" s="101" t="n"/>
      <c r="G55" s="102" t="n"/>
      <c r="H55" s="102" t="n"/>
      <c r="I55" s="103" t="n"/>
      <c r="J55" s="515" t="n"/>
      <c r="K55" s="646" t="n"/>
      <c r="L55" s="516" t="n"/>
      <c r="M55" s="517" t="n"/>
      <c r="N55" s="518" t="n"/>
      <c r="O55" s="518" t="n"/>
      <c r="P55" s="515" t="n"/>
      <c r="Q55" s="646" t="n"/>
      <c r="R55" s="516" t="n"/>
      <c r="S55" s="500" t="n"/>
      <c r="T55" s="519" t="n"/>
      <c r="U55" s="500" t="n"/>
      <c r="V55" s="92" t="n"/>
      <c r="W55" s="196" t="n"/>
      <c r="X55" s="196" t="n"/>
      <c r="Z55" s="196" t="n"/>
    </row>
    <row r="56">
      <c r="F56" s="101" t="n"/>
      <c r="G56" s="102" t="n"/>
      <c r="H56" s="102" t="n"/>
      <c r="I56" s="103" t="n"/>
      <c r="J56" s="515" t="n"/>
      <c r="K56" s="646" t="n"/>
      <c r="L56" s="516" t="n"/>
      <c r="M56" s="517" t="n"/>
      <c r="N56" s="518" t="n"/>
      <c r="O56" s="518" t="n"/>
      <c r="P56" s="515" t="n"/>
      <c r="Q56" s="646" t="n"/>
      <c r="R56" s="516" t="n"/>
      <c r="S56" s="500" t="n"/>
      <c r="T56" s="519" t="n"/>
      <c r="U56" s="500" t="n"/>
      <c r="V56" s="92" t="n"/>
      <c r="W56" s="196" t="n"/>
      <c r="X56" s="196" t="n"/>
      <c r="Z56" s="196" t="n"/>
    </row>
    <row r="57">
      <c r="F57" s="101" t="n"/>
      <c r="G57" s="102" t="n"/>
      <c r="H57" s="102" t="n"/>
      <c r="I57" s="103" t="n"/>
      <c r="J57" s="515" t="n"/>
      <c r="K57" s="646" t="n"/>
      <c r="L57" s="516" t="n"/>
      <c r="M57" s="517" t="n"/>
      <c r="N57" s="518" t="n"/>
      <c r="O57" s="518" t="n"/>
      <c r="P57" s="515" t="n"/>
      <c r="Q57" s="646" t="n"/>
      <c r="R57" s="516" t="n"/>
      <c r="S57" s="500" t="n"/>
      <c r="T57" s="519" t="n"/>
      <c r="U57" s="500" t="n"/>
      <c r="V57" s="92" t="n"/>
      <c r="W57" s="196" t="n"/>
      <c r="X57" s="196" t="n"/>
      <c r="Z57" s="196" t="n"/>
    </row>
    <row r="58">
      <c r="F58" s="101" t="n"/>
      <c r="G58" s="102" t="n"/>
      <c r="H58" s="102" t="n"/>
      <c r="I58" s="103" t="n"/>
      <c r="J58" s="515" t="n"/>
      <c r="K58" s="646" t="n"/>
      <c r="L58" s="516" t="n"/>
      <c r="M58" s="517" t="n"/>
      <c r="N58" s="518" t="n"/>
      <c r="O58" s="518" t="n"/>
      <c r="P58" s="515" t="n"/>
      <c r="Q58" s="646" t="n"/>
      <c r="R58" s="516" t="n"/>
      <c r="S58" s="500" t="n"/>
      <c r="T58" s="519" t="n"/>
      <c r="U58" s="500" t="n"/>
      <c r="V58" s="92" t="n"/>
      <c r="W58" s="196" t="n"/>
      <c r="X58" s="196" t="n"/>
      <c r="Z58" s="196" t="n"/>
    </row>
    <row r="59">
      <c r="F59" s="101" t="n"/>
      <c r="G59" s="102" t="n"/>
      <c r="H59" s="102" t="n"/>
      <c r="I59" s="103" t="n"/>
      <c r="J59" s="515" t="n"/>
      <c r="K59" s="646" t="n"/>
      <c r="L59" s="516" t="n"/>
      <c r="M59" s="517" t="n"/>
      <c r="N59" s="518" t="n"/>
      <c r="O59" s="518" t="n"/>
      <c r="P59" s="515" t="n"/>
      <c r="Q59" s="646" t="n"/>
      <c r="R59" s="516" t="n"/>
      <c r="S59" s="500" t="n"/>
      <c r="T59" s="519" t="n"/>
      <c r="U59" s="500" t="n"/>
      <c r="V59" s="92" t="n"/>
      <c r="W59" s="196" t="n"/>
      <c r="X59" s="196" t="n"/>
      <c r="Z59" s="196" t="n"/>
    </row>
    <row r="60">
      <c r="F60" s="101" t="n"/>
      <c r="G60" s="102" t="n"/>
      <c r="H60" s="102" t="n"/>
      <c r="I60" s="103" t="n"/>
      <c r="J60" s="515" t="n"/>
      <c r="K60" s="646" t="n"/>
      <c r="L60" s="516" t="n"/>
      <c r="M60" s="517" t="n"/>
      <c r="N60" s="518" t="n"/>
      <c r="O60" s="518" t="n"/>
      <c r="P60" s="515" t="n"/>
      <c r="Q60" s="646" t="n"/>
      <c r="R60" s="516" t="n"/>
      <c r="S60" s="500" t="n"/>
      <c r="T60" s="519" t="n"/>
      <c r="U60" s="500" t="n"/>
      <c r="V60" s="92" t="n"/>
      <c r="W60" s="196" t="n"/>
      <c r="X60" s="196" t="n"/>
      <c r="Z60" s="196" t="n"/>
    </row>
    <row r="61">
      <c r="F61" s="101" t="n"/>
      <c r="G61" s="102" t="n"/>
      <c r="H61" s="102" t="n"/>
      <c r="I61" s="103" t="n"/>
      <c r="J61" s="515" t="n"/>
      <c r="K61" s="646" t="n"/>
      <c r="L61" s="516" t="n"/>
      <c r="M61" s="517" t="n"/>
      <c r="N61" s="518" t="n"/>
      <c r="O61" s="518" t="n"/>
      <c r="P61" s="515" t="n"/>
      <c r="Q61" s="646" t="n"/>
      <c r="R61" s="516" t="n"/>
      <c r="S61" s="500" t="n"/>
      <c r="T61" s="519" t="n"/>
      <c r="U61" s="500" t="n"/>
      <c r="V61" s="92" t="n"/>
      <c r="W61" s="196" t="n"/>
      <c r="X61" s="196" t="n"/>
      <c r="Z61" s="196" t="n"/>
    </row>
    <row r="62">
      <c r="F62" s="101" t="n"/>
      <c r="G62" s="102" t="n"/>
      <c r="H62" s="102" t="n"/>
      <c r="I62" s="103" t="n"/>
      <c r="J62" s="515" t="n"/>
      <c r="K62" s="646" t="n"/>
      <c r="L62" s="516" t="n"/>
      <c r="M62" s="517" t="n"/>
      <c r="N62" s="518" t="n"/>
      <c r="O62" s="518" t="n"/>
      <c r="P62" s="515" t="n"/>
      <c r="Q62" s="646" t="n"/>
      <c r="R62" s="516" t="n"/>
      <c r="S62" s="500" t="n"/>
      <c r="T62" s="519" t="n"/>
      <c r="U62" s="500" t="n"/>
      <c r="V62" s="92" t="n"/>
      <c r="W62" s="196" t="n"/>
      <c r="X62" s="196" t="n"/>
      <c r="Z62" s="196" t="n"/>
    </row>
    <row r="63">
      <c r="F63" s="101" t="n"/>
      <c r="G63" s="102" t="n"/>
      <c r="H63" s="102" t="n"/>
      <c r="I63" s="103" t="n"/>
      <c r="J63" s="515" t="n"/>
      <c r="K63" s="646" t="n"/>
      <c r="L63" s="516" t="n"/>
      <c r="M63" s="517" t="n"/>
      <c r="N63" s="518" t="n"/>
      <c r="O63" s="518" t="n"/>
      <c r="P63" s="515" t="n"/>
      <c r="Q63" s="646" t="n"/>
      <c r="R63" s="516" t="n"/>
      <c r="S63" s="500" t="n"/>
      <c r="T63" s="519" t="n"/>
      <c r="U63" s="500" t="n"/>
      <c r="V63" s="92" t="n"/>
      <c r="W63" s="196" t="n"/>
      <c r="X63" s="196" t="n"/>
      <c r="Z63" s="196" t="n"/>
    </row>
    <row r="64">
      <c r="F64" s="101" t="n"/>
      <c r="G64" s="102" t="n"/>
      <c r="H64" s="102" t="n"/>
      <c r="I64" s="103" t="n"/>
      <c r="J64" s="515" t="n"/>
      <c r="K64" s="646" t="n"/>
      <c r="L64" s="516" t="n"/>
      <c r="M64" s="517" t="n"/>
      <c r="N64" s="518" t="n"/>
      <c r="O64" s="518" t="n"/>
      <c r="P64" s="515" t="n"/>
      <c r="Q64" s="646" t="n"/>
      <c r="R64" s="516" t="n"/>
      <c r="S64" s="500" t="n"/>
      <c r="T64" s="519" t="n"/>
      <c r="U64" s="500" t="n"/>
      <c r="V64" s="92" t="n"/>
      <c r="W64" s="196" t="n"/>
      <c r="X64" s="196" t="n"/>
      <c r="Z64" s="196" t="n"/>
    </row>
    <row r="65">
      <c r="F65" s="101" t="n"/>
      <c r="G65" s="102" t="n"/>
      <c r="H65" s="102" t="n"/>
      <c r="I65" s="103" t="n"/>
      <c r="J65" s="515" t="n"/>
      <c r="K65" s="646" t="n"/>
      <c r="L65" s="516" t="n"/>
      <c r="M65" s="517" t="n"/>
      <c r="N65" s="518" t="n"/>
      <c r="O65" s="518" t="n"/>
      <c r="P65" s="515" t="n"/>
      <c r="Q65" s="646" t="n"/>
      <c r="R65" s="516" t="n"/>
      <c r="S65" s="500" t="n"/>
      <c r="T65" s="519" t="n"/>
      <c r="U65" s="500" t="n"/>
      <c r="V65" s="92" t="n"/>
      <c r="W65" s="196" t="n"/>
      <c r="X65" s="196" t="n"/>
      <c r="Z65" s="196" t="n"/>
    </row>
    <row r="66">
      <c r="F66" s="101" t="n"/>
      <c r="G66" s="102" t="n"/>
      <c r="H66" s="102" t="n"/>
      <c r="I66" s="103" t="n"/>
      <c r="J66" s="515" t="n"/>
      <c r="K66" s="646" t="n"/>
      <c r="L66" s="516" t="n"/>
      <c r="M66" s="517" t="n"/>
      <c r="N66" s="518" t="n"/>
      <c r="O66" s="518" t="n"/>
      <c r="P66" s="515" t="n"/>
      <c r="Q66" s="646" t="n"/>
      <c r="R66" s="516" t="n"/>
      <c r="S66" s="500" t="n"/>
      <c r="T66" s="519" t="n"/>
      <c r="U66" s="500" t="n"/>
      <c r="V66" s="92" t="n"/>
      <c r="W66" s="196" t="n"/>
      <c r="X66" s="196" t="n"/>
      <c r="Z66" s="196" t="n"/>
    </row>
    <row r="67">
      <c r="F67" s="101" t="n"/>
      <c r="G67" s="102" t="n"/>
      <c r="H67" s="102" t="n"/>
      <c r="I67" s="103" t="n"/>
      <c r="J67" s="515" t="n"/>
      <c r="K67" s="646" t="n"/>
      <c r="L67" s="516" t="n"/>
      <c r="M67" s="517" t="n"/>
      <c r="N67" s="518" t="n"/>
      <c r="O67" s="518" t="n"/>
      <c r="P67" s="515" t="n"/>
      <c r="Q67" s="646" t="n"/>
      <c r="R67" s="516" t="n"/>
      <c r="S67" s="500" t="n"/>
      <c r="T67" s="519" t="n"/>
      <c r="U67" s="500" t="n"/>
      <c r="V67" s="92" t="n"/>
      <c r="W67" s="196" t="n"/>
      <c r="X67" s="196" t="n"/>
      <c r="Z67" s="196" t="n"/>
    </row>
    <row r="68">
      <c r="F68" s="101" t="n"/>
      <c r="G68" s="102" t="n"/>
      <c r="H68" s="102" t="n"/>
      <c r="I68" s="103" t="n"/>
      <c r="J68" s="515" t="n"/>
      <c r="K68" s="646" t="n"/>
      <c r="L68" s="516" t="n"/>
      <c r="M68" s="517" t="n"/>
      <c r="N68" s="518" t="n"/>
      <c r="O68" s="518" t="n"/>
      <c r="P68" s="515" t="n"/>
      <c r="Q68" s="646" t="n"/>
      <c r="R68" s="516" t="n"/>
      <c r="S68" s="500" t="n"/>
      <c r="T68" s="519" t="n"/>
      <c r="U68" s="500" t="n"/>
      <c r="V68" s="92" t="n"/>
      <c r="W68" s="196" t="n"/>
      <c r="X68" s="196" t="n"/>
      <c r="Z68" s="196" t="n"/>
    </row>
    <row r="69">
      <c r="F69" s="101" t="n"/>
      <c r="G69" s="102" t="n"/>
      <c r="H69" s="102" t="n"/>
      <c r="I69" s="103" t="n"/>
      <c r="J69" s="515" t="n"/>
      <c r="K69" s="646" t="n"/>
      <c r="L69" s="516" t="n"/>
      <c r="M69" s="517" t="n"/>
      <c r="N69" s="518" t="n"/>
      <c r="O69" s="518" t="n"/>
      <c r="P69" s="515" t="n"/>
      <c r="Q69" s="646" t="n"/>
      <c r="R69" s="516" t="n"/>
      <c r="S69" s="500" t="n"/>
      <c r="T69" s="519" t="n"/>
      <c r="U69" s="500" t="n"/>
      <c r="V69" s="92" t="n"/>
      <c r="W69" s="196" t="n"/>
      <c r="X69" s="196" t="n"/>
      <c r="Z69" s="196" t="n"/>
    </row>
    <row r="70">
      <c r="F70" s="101" t="n"/>
      <c r="G70" s="102" t="n"/>
      <c r="H70" s="102" t="n"/>
      <c r="I70" s="103" t="n"/>
      <c r="J70" s="515" t="n"/>
      <c r="K70" s="646" t="n"/>
      <c r="L70" s="516" t="n"/>
      <c r="M70" s="517" t="n"/>
      <c r="N70" s="518" t="n"/>
      <c r="O70" s="518" t="n"/>
      <c r="P70" s="515" t="n"/>
      <c r="Q70" s="646" t="n"/>
      <c r="R70" s="516" t="n"/>
      <c r="S70" s="500" t="n"/>
      <c r="T70" s="519" t="n"/>
      <c r="U70" s="500" t="n"/>
      <c r="V70" s="92" t="n"/>
      <c r="W70" s="196" t="n"/>
      <c r="X70" s="196" t="n"/>
      <c r="Z70" s="196" t="n"/>
    </row>
    <row r="71">
      <c r="F71" s="101" t="n"/>
      <c r="G71" s="102" t="n"/>
      <c r="H71" s="102" t="n"/>
      <c r="I71" s="103" t="n"/>
      <c r="J71" s="515" t="n"/>
      <c r="K71" s="646" t="n"/>
      <c r="L71" s="516" t="n"/>
      <c r="M71" s="517" t="n"/>
      <c r="N71" s="518" t="n"/>
      <c r="O71" s="518" t="n"/>
      <c r="P71" s="515" t="n"/>
      <c r="Q71" s="646" t="n"/>
      <c r="R71" s="516" t="n"/>
      <c r="S71" s="500" t="n"/>
      <c r="T71" s="519" t="n"/>
      <c r="U71" s="500" t="n"/>
      <c r="V71" s="92" t="n"/>
      <c r="W71" s="196" t="n"/>
      <c r="X71" s="196" t="n"/>
      <c r="Z71" s="196" t="n"/>
    </row>
    <row r="72">
      <c r="F72" s="101" t="n"/>
      <c r="G72" s="102" t="n"/>
      <c r="H72" s="102" t="n"/>
      <c r="I72" s="103" t="n"/>
      <c r="J72" s="515" t="n"/>
      <c r="K72" s="646" t="n"/>
      <c r="L72" s="516" t="n"/>
      <c r="M72" s="517" t="n"/>
      <c r="N72" s="518" t="n"/>
      <c r="O72" s="518" t="n"/>
      <c r="P72" s="515" t="n"/>
      <c r="Q72" s="646" t="n"/>
      <c r="R72" s="516" t="n"/>
      <c r="S72" s="500" t="n"/>
      <c r="T72" s="519" t="n"/>
      <c r="U72" s="500" t="n"/>
      <c r="V72" s="92" t="n"/>
      <c r="W72" s="196" t="n"/>
      <c r="X72" s="196" t="n"/>
      <c r="Z72" s="196" t="n"/>
    </row>
    <row r="73">
      <c r="F73" s="101" t="n"/>
      <c r="G73" s="102" t="n"/>
      <c r="H73" s="102" t="n"/>
      <c r="I73" s="103" t="n"/>
      <c r="J73" s="515" t="n"/>
      <c r="K73" s="646" t="n"/>
      <c r="L73" s="516" t="n"/>
      <c r="M73" s="517" t="n"/>
      <c r="N73" s="518" t="n"/>
      <c r="O73" s="518" t="n"/>
      <c r="P73" s="515" t="n"/>
      <c r="Q73" s="646" t="n"/>
      <c r="R73" s="516" t="n"/>
      <c r="S73" s="500" t="n"/>
      <c r="T73" s="519" t="n"/>
      <c r="U73" s="500" t="n"/>
      <c r="V73" s="92" t="n"/>
      <c r="W73" s="196" t="n"/>
      <c r="X73" s="196" t="n"/>
      <c r="Z73" s="196" t="n"/>
    </row>
    <row r="74">
      <c r="F74" s="101" t="n"/>
      <c r="G74" s="102" t="n"/>
      <c r="H74" s="102" t="n"/>
      <c r="I74" s="103" t="n"/>
      <c r="J74" s="515" t="n"/>
      <c r="K74" s="646" t="n"/>
      <c r="L74" s="516" t="n"/>
      <c r="M74" s="517" t="n"/>
      <c r="N74" s="518" t="n"/>
      <c r="O74" s="518" t="n"/>
      <c r="P74" s="515" t="n"/>
      <c r="Q74" s="646" t="n"/>
      <c r="R74" s="516" t="n"/>
      <c r="S74" s="500" t="n"/>
      <c r="T74" s="519" t="n"/>
      <c r="U74" s="500" t="n"/>
      <c r="V74" s="92" t="n"/>
      <c r="W74" s="196" t="n"/>
      <c r="X74" s="196" t="n"/>
      <c r="Z74" s="196" t="n"/>
    </row>
    <row r="75">
      <c r="F75" s="101" t="n"/>
      <c r="G75" s="102" t="n"/>
      <c r="H75" s="102" t="n"/>
      <c r="I75" s="103" t="n"/>
      <c r="J75" s="515" t="n"/>
      <c r="K75" s="646" t="n"/>
      <c r="L75" s="516" t="n"/>
      <c r="M75" s="517" t="n"/>
      <c r="N75" s="518" t="n"/>
      <c r="O75" s="518" t="n"/>
      <c r="P75" s="515" t="n"/>
      <c r="Q75" s="646" t="n"/>
      <c r="R75" s="516" t="n"/>
      <c r="S75" s="500" t="n"/>
      <c r="T75" s="519" t="n"/>
      <c r="U75" s="500" t="n"/>
      <c r="V75" s="92" t="n"/>
      <c r="W75" s="196" t="n"/>
      <c r="X75" s="196" t="n"/>
      <c r="Z75" s="196" t="n"/>
    </row>
    <row r="76">
      <c r="F76" s="101" t="n"/>
      <c r="G76" s="102" t="n"/>
      <c r="H76" s="102" t="n"/>
      <c r="I76" s="103" t="n"/>
      <c r="J76" s="515" t="n"/>
      <c r="K76" s="646" t="n"/>
      <c r="L76" s="516" t="n"/>
      <c r="M76" s="517" t="n"/>
      <c r="N76" s="518" t="n"/>
      <c r="O76" s="518" t="n"/>
      <c r="P76" s="515" t="n"/>
      <c r="Q76" s="646" t="n"/>
      <c r="R76" s="516" t="n"/>
      <c r="S76" s="500" t="n"/>
      <c r="T76" s="519" t="n"/>
      <c r="U76" s="500" t="n"/>
      <c r="V76" s="92" t="n"/>
      <c r="W76" s="196" t="n"/>
      <c r="X76" s="196" t="n"/>
      <c r="Z76" s="196" t="n"/>
    </row>
    <row r="77">
      <c r="F77" s="101" t="n"/>
      <c r="G77" s="102" t="n"/>
      <c r="H77" s="102" t="n"/>
      <c r="I77" s="103" t="n"/>
      <c r="J77" s="515" t="n"/>
      <c r="K77" s="646" t="n"/>
      <c r="L77" s="516" t="n"/>
      <c r="M77" s="517" t="n"/>
      <c r="N77" s="518" t="n"/>
      <c r="O77" s="518" t="n"/>
      <c r="P77" s="515" t="n"/>
      <c r="Q77" s="646" t="n"/>
      <c r="R77" s="516" t="n"/>
      <c r="S77" s="500" t="n"/>
      <c r="T77" s="519" t="n"/>
      <c r="U77" s="500" t="n"/>
      <c r="V77" s="92" t="n"/>
      <c r="W77" s="196" t="n"/>
      <c r="X77" s="196" t="n"/>
      <c r="Z77" s="196" t="n"/>
    </row>
    <row r="78">
      <c r="F78" s="276" t="n"/>
      <c r="G78" s="277" t="n"/>
      <c r="H78" s="277" t="n"/>
      <c r="I78" s="278" t="n"/>
      <c r="J78" s="581" t="n"/>
      <c r="K78" s="653" t="n"/>
      <c r="L78" s="588" t="n"/>
      <c r="M78" s="640" t="n"/>
      <c r="N78" s="641" t="n"/>
      <c r="O78" s="641" t="n"/>
      <c r="P78" s="581" t="n"/>
      <c r="Q78" s="653" t="n"/>
      <c r="R78" s="588" t="n"/>
      <c r="S78" s="589" t="n"/>
      <c r="T78" s="642" t="n"/>
      <c r="U78" s="589" t="n"/>
      <c r="V78" s="59" t="n"/>
      <c r="W78" s="12" t="n"/>
      <c r="X78" s="12" t="n"/>
      <c r="Y78" s="95" t="n"/>
      <c r="Z78" s="12" t="n"/>
    </row>
    <row r="79">
      <c r="R79" s="500" t="n"/>
    </row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tabColor rgb="00A6A6A6"/>
    <outlinePr summaryBelow="1" summaryRight="1"/>
    <pageSetUpPr/>
  </sheetPr>
  <dimension ref="A1:S66"/>
  <sheetViews>
    <sheetView zoomScale="80" zoomScaleNormal="80" workbookViewId="0">
      <pane xSplit="2" ySplit="3" topLeftCell="C4" activePane="bottomRight" state="frozen"/>
      <selection activeCell="J34" sqref="J34"/>
      <selection pane="topRight" activeCell="J34" sqref="J34"/>
      <selection pane="bottomLeft" activeCell="J34" sqref="J34"/>
      <selection pane="bottomRight" activeCell="D6" sqref="D6"/>
    </sheetView>
  </sheetViews>
  <sheetFormatPr baseColWidth="8" defaultColWidth="9" defaultRowHeight="16.9"/>
  <cols>
    <col width="12.375" bestFit="1" customWidth="1" style="591" min="1" max="1"/>
    <col width="14" bestFit="1" customWidth="1" style="591" min="2" max="2"/>
    <col width="12.125" bestFit="1" customWidth="1" style="594" min="3" max="4"/>
    <col width="11.6875" bestFit="1" customWidth="1" style="594" min="5" max="5"/>
    <col width="12.125" bestFit="1" customWidth="1" style="594" min="6" max="6"/>
    <col width="11.5" customWidth="1" style="591" min="7" max="7"/>
    <col width="59.5" bestFit="1" customWidth="1" style="591" min="8" max="8"/>
    <col width="9" customWidth="1" style="591" min="9" max="9"/>
    <col width="13.375" bestFit="1" customWidth="1" style="591" min="10" max="10"/>
    <col width="7.125" bestFit="1" customWidth="1" style="591" min="11" max="11"/>
    <col width="9" customWidth="1" style="591" min="12" max="12"/>
    <col width="9.375" bestFit="1" customWidth="1" style="591" min="13" max="13"/>
    <col width="12.375" bestFit="1" customWidth="1" style="591" min="14" max="14"/>
    <col width="9" customWidth="1" style="591" min="15" max="15"/>
    <col width="7.5" bestFit="1" customWidth="1" style="591" min="16" max="16"/>
    <col width="14.1875" bestFit="1" customWidth="1" style="591" min="17" max="17"/>
    <col width="12.6875" bestFit="1" customWidth="1" style="591" min="18" max="18"/>
    <col width="10.5" bestFit="1" customWidth="1" style="591" min="19" max="19"/>
    <col width="9.1875" bestFit="1" customWidth="1" style="591" min="20" max="20"/>
    <col width="9" customWidth="1" style="591" min="21" max="16384"/>
  </cols>
  <sheetData>
    <row r="1">
      <c r="M1" s="591" t="inlineStr">
        <is>
          <t>구독기간</t>
        </is>
      </c>
      <c r="N1" s="591" t="n">
        <v>60</v>
      </c>
      <c r="R1" s="591" t="inlineStr">
        <is>
          <t>v+</t>
        </is>
      </c>
      <c r="S1" s="591" t="inlineStr">
        <is>
          <t>v-</t>
        </is>
      </c>
    </row>
    <row r="2">
      <c r="B2" s="591" t="inlineStr">
        <is>
          <t>리스채권</t>
        </is>
      </c>
      <c r="C2" s="594">
        <f>MIN(S3,PV(K2/12,N1,-(S2-S5-S6)/N1))</f>
        <v/>
      </c>
      <c r="D2" s="594">
        <f>C3-C2</f>
        <v/>
      </c>
      <c r="E2" s="594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C3/N1</f>
        <v/>
      </c>
      <c r="J2" s="591" t="inlineStr">
        <is>
          <t>현할차할인율</t>
        </is>
      </c>
      <c r="K2" s="439" t="n">
        <v>0.0357</v>
      </c>
      <c r="M2" s="591" t="inlineStr">
        <is>
          <t>설치일</t>
        </is>
      </c>
      <c r="N2" s="596" t="inlineStr">
        <is>
          <t>2025-07-05</t>
        </is>
      </c>
      <c r="P2" s="2" t="n"/>
      <c r="Q2" s="2" t="n"/>
      <c r="R2" s="660" t="n">
        <v>8170800</v>
      </c>
      <c r="S2" s="598">
        <f>SUM(S3:S6)</f>
        <v/>
      </c>
    </row>
    <row r="3">
      <c r="B3" s="591" t="inlineStr">
        <is>
          <t>총 순수구독료</t>
        </is>
      </c>
      <c r="C3" s="594">
        <f>S2-S5-S6</f>
        <v/>
      </c>
      <c r="D3" s="600">
        <f>SUM(D6:D66)</f>
        <v/>
      </c>
      <c r="E3" s="594" t="inlineStr">
        <is>
          <t>월 이자율</t>
        </is>
      </c>
      <c r="F3" s="110">
        <f>RATE(N1,-H2,C2,0,0)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2" t="inlineStr">
        <is>
          <t>제품</t>
        </is>
      </c>
      <c r="Q3" s="2" t="inlineStr">
        <is>
          <t>제품제공</t>
        </is>
      </c>
      <c r="R3" s="506" t="n">
        <v>5290000</v>
      </c>
      <c r="S3" s="598">
        <f>R3/1.1</f>
        <v/>
      </c>
    </row>
    <row r="4">
      <c r="C4" s="745" t="inlineStr">
        <is>
          <t>기초</t>
        </is>
      </c>
      <c r="D4" s="745" t="inlineStr">
        <is>
          <t>이자수익</t>
        </is>
      </c>
      <c r="E4" s="745" t="inlineStr">
        <is>
          <t>리스료수령</t>
        </is>
      </c>
      <c r="F4" s="746" t="inlineStr">
        <is>
          <t>기말</t>
        </is>
      </c>
      <c r="P4" s="2" t="n"/>
      <c r="Q4" s="211" t="inlineStr">
        <is>
          <t>구독원가</t>
        </is>
      </c>
      <c r="R4" s="506">
        <f>R2-SUM(R3,R5:R6)</f>
        <v/>
      </c>
      <c r="S4" s="598">
        <f>R4/1.1</f>
        <v/>
      </c>
    </row>
    <row r="5">
      <c r="A5" s="596" t="inlineStr">
        <is>
          <t>2025-07-05</t>
        </is>
      </c>
      <c r="B5" s="591" t="n">
        <v>0</v>
      </c>
      <c r="F5" s="594">
        <f>ROUND(C2,)</f>
        <v/>
      </c>
      <c r="P5" s="2" t="inlineStr">
        <is>
          <t>서비스</t>
        </is>
      </c>
      <c r="Q5" s="2" t="inlineStr">
        <is>
          <t>가전케어/세척</t>
        </is>
      </c>
      <c r="R5" s="506">
        <f>S5*1.1</f>
        <v/>
      </c>
      <c r="S5" s="598">
        <f>6900*60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594">
        <f>ROUND(-E6+(C2*F3*27/31-H2*27/31),0)</f>
        <v/>
      </c>
      <c r="E6" s="594">
        <f>-(ROUNDDOWN(($S$2/60)*27/31,-2)-ROUNDDOWN(($S$5/60)*27/31,-2)-ROUNDDOWN(($S$6/60)*27/31,-2))</f>
        <v/>
      </c>
      <c r="F6" s="594">
        <f>SUM(C6:E6)</f>
        <v/>
      </c>
      <c r="P6" s="2" t="n"/>
      <c r="Q6" s="2" t="inlineStr">
        <is>
          <t>보증연장</t>
        </is>
      </c>
      <c r="R6" s="506">
        <f>S6*1.1</f>
        <v/>
      </c>
      <c r="S6" s="598">
        <f>900*60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n"/>
      <c r="O7" s="610" t="n"/>
      <c r="P7" s="2" t="inlineStr">
        <is>
          <t>할인</t>
        </is>
      </c>
      <c r="Q7" s="2" t="inlineStr">
        <is>
          <t>無</t>
        </is>
      </c>
      <c r="R7" s="506" t="n"/>
      <c r="S7" s="598" t="n"/>
    </row>
    <row r="8"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O8" s="613" t="n"/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</row>
    <row r="23"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</row>
    <row r="24"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</row>
    <row r="25"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</row>
    <row r="26"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</row>
    <row r="27"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</row>
    <row r="28">
      <c r="B28" s="591">
        <f>B27+1</f>
        <v/>
      </c>
      <c r="C28" s="594">
        <f>F27</f>
        <v/>
      </c>
      <c r="D28" s="594">
        <f>ROUND(C28*$F$3,)</f>
        <v/>
      </c>
      <c r="E28" s="594">
        <f>-$H$2</f>
        <v/>
      </c>
      <c r="F28" s="594">
        <f>SUM(C28:E28)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</row>
    <row r="66">
      <c r="B66" s="591" t="n">
        <v>61</v>
      </c>
      <c r="C66" s="594">
        <f>F65</f>
        <v/>
      </c>
      <c r="D66" s="594">
        <f>C66*$F$3-C66-(C66*$F$3+E66)</f>
        <v/>
      </c>
      <c r="E66" s="594">
        <f>-$H$2-E6</f>
        <v/>
      </c>
      <c r="F66" s="594">
        <f>SUM(C66:E66)</f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00A6A6A6"/>
    <outlinePr summaryBelow="1" summaryRight="1"/>
    <pageSetUpPr/>
  </sheetPr>
  <dimension ref="A1:Z66"/>
  <sheetViews>
    <sheetView zoomScale="80" zoomScaleNormal="80" workbookViewId="0">
      <pane xSplit="2" ySplit="3" topLeftCell="C4" activePane="bottomRight" state="frozen"/>
      <selection activeCell="D16" sqref="D16"/>
      <selection pane="topRight" activeCell="D16" sqref="D16"/>
      <selection pane="bottomLeft" activeCell="D16" sqref="D16"/>
      <selection pane="bottomRight" activeCell="M19" sqref="M19"/>
    </sheetView>
  </sheetViews>
  <sheetFormatPr baseColWidth="8" defaultColWidth="9" defaultRowHeight="16.9"/>
  <cols>
    <col width="10.875" bestFit="1" customWidth="1" style="591" min="1" max="1"/>
    <col width="13" bestFit="1" customWidth="1" style="591" min="2" max="2"/>
    <col width="12.125" bestFit="1" customWidth="1" style="591" min="3" max="3"/>
    <col width="10.625" bestFit="1" customWidth="1" style="591" min="4" max="4"/>
    <col width="11.6875" bestFit="1" customWidth="1" style="591" min="5" max="5"/>
    <col width="12.125" bestFit="1" customWidth="1" style="591" min="6" max="6"/>
    <col width="12.1875" customWidth="1" style="591" min="7" max="7"/>
    <col width="9" bestFit="1" customWidth="1" style="591" min="8" max="8"/>
    <col width="9.875" bestFit="1" customWidth="1" style="591" min="9" max="9"/>
    <col width="13.375" bestFit="1" customWidth="1" style="591" min="10" max="10"/>
    <col width="9" customWidth="1" style="591" min="11" max="12"/>
    <col width="6.6875" bestFit="1" customWidth="1" style="591" min="13" max="13"/>
    <col width="10.875" bestFit="1" customWidth="1" style="591" min="14" max="14"/>
    <col width="9" customWidth="1" style="591" min="15" max="15"/>
    <col width="6.6875" bestFit="1" customWidth="1" style="591" min="16" max="16"/>
    <col width="13.1875" bestFit="1" customWidth="1" style="591" min="17" max="17"/>
    <col width="13" bestFit="1" customWidth="1" style="591" min="18" max="18"/>
    <col width="10.6875" bestFit="1" customWidth="1" style="591" min="19" max="19"/>
    <col width="9.1875" bestFit="1" customWidth="1" style="591" min="20" max="20"/>
    <col hidden="1" width="42.6875" customWidth="1" style="591" min="21" max="21"/>
    <col hidden="1" width="10.875" customWidth="1" style="591" min="22" max="22"/>
    <col hidden="1" width="13" customWidth="1" style="591" min="23" max="23"/>
    <col width="17.125" customWidth="1" style="591" min="24" max="24"/>
    <col width="40.6875" bestFit="1" customWidth="1" style="591" min="25" max="25"/>
    <col width="11" bestFit="1" customWidth="1" style="591" min="26" max="26"/>
    <col width="9" customWidth="1" style="591" min="27" max="16384"/>
  </cols>
  <sheetData>
    <row r="1">
      <c r="M1" s="591" t="inlineStr">
        <is>
          <t>구독기간</t>
        </is>
      </c>
      <c r="N1" s="591" t="n">
        <v>60</v>
      </c>
      <c r="R1" s="591" t="inlineStr">
        <is>
          <t>v+</t>
        </is>
      </c>
      <c r="S1" s="591" t="inlineStr">
        <is>
          <t>v-</t>
        </is>
      </c>
      <c r="U1" s="47" t="inlineStr">
        <is>
          <t>선납할인율 %</t>
        </is>
      </c>
      <c r="V1" s="61" t="n">
        <v>0.04</v>
      </c>
    </row>
    <row r="2">
      <c r="B2" s="591" t="inlineStr">
        <is>
          <t>리스채권</t>
        </is>
      </c>
      <c r="C2" s="659">
        <f>MIN(S3,PV(K2/12,N1,-(S2-S5-S6)/N1))-S7</f>
        <v/>
      </c>
      <c r="D2" s="591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C3/60</f>
        <v/>
      </c>
      <c r="J2" s="591" t="inlineStr">
        <is>
          <t>현할차할인율</t>
        </is>
      </c>
      <c r="K2" s="439" t="n">
        <v>0.0357</v>
      </c>
      <c r="M2" s="591" t="inlineStr">
        <is>
          <t>설치일</t>
        </is>
      </c>
      <c r="N2" s="596" t="inlineStr">
        <is>
          <t>2025-07-05</t>
        </is>
      </c>
      <c r="P2" s="2" t="n"/>
      <c r="Q2" s="2" t="n"/>
      <c r="R2" s="597" t="n">
        <v>8170800</v>
      </c>
      <c r="S2" s="598">
        <f>SUM(S3:S6)</f>
        <v/>
      </c>
      <c r="T2" s="591">
        <f>+S2/60</f>
        <v/>
      </c>
      <c r="U2" s="47" t="inlineStr">
        <is>
          <t>(계산용) 선납금 %</t>
        </is>
      </c>
      <c r="V2" s="288" t="n">
        <v>0.1</v>
      </c>
      <c r="X2" s="599" t="inlineStr">
        <is>
          <t xml:space="preserve">차후 변경시 → </t>
        </is>
      </c>
      <c r="Y2" s="50" t="inlineStr">
        <is>
          <t>(계산용) 선납금 %</t>
        </is>
      </c>
      <c r="Z2" s="288" t="n">
        <v>0.1</v>
      </c>
    </row>
    <row r="3">
      <c r="B3" s="591" t="inlineStr">
        <is>
          <t>총 순수구독료</t>
        </is>
      </c>
      <c r="C3" s="591">
        <f>(S2-S5-S6)-S7</f>
        <v/>
      </c>
      <c r="D3" s="661">
        <f>SUM(D6:D66)</f>
        <v/>
      </c>
      <c r="E3" s="591" t="inlineStr">
        <is>
          <t>월 이자율</t>
        </is>
      </c>
      <c r="F3" s="601">
        <f>RATE(60,-H2,C2,0,0)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2" t="inlineStr">
        <is>
          <t>제품</t>
        </is>
      </c>
      <c r="Q3" s="2" t="inlineStr">
        <is>
          <t>제품제공</t>
        </is>
      </c>
      <c r="R3" s="506" t="n">
        <v>5290000</v>
      </c>
      <c r="S3" s="598">
        <f>R3/1.1</f>
        <v/>
      </c>
      <c r="U3" s="47" t="inlineStr">
        <is>
          <t>(계산용) 선납금 (총 구독료 기준, V-)</t>
        </is>
      </c>
      <c r="V3" s="527">
        <f>S2*V2</f>
        <v/>
      </c>
      <c r="Y3" s="50" t="inlineStr">
        <is>
          <t>(계산용) 선납금 (총 구독료 v+ 기준, V-)</t>
        </is>
      </c>
      <c r="Z3" s="506">
        <f>R2*Z2/1.1</f>
        <v/>
      </c>
    </row>
    <row r="4">
      <c r="C4" s="606" t="inlineStr">
        <is>
          <t>기초</t>
        </is>
      </c>
      <c r="D4" s="606" t="inlineStr">
        <is>
          <t>이자수익</t>
        </is>
      </c>
      <c r="E4" s="606" t="inlineStr">
        <is>
          <t>리스료수령</t>
        </is>
      </c>
      <c r="F4" s="445" t="inlineStr">
        <is>
          <t>기말</t>
        </is>
      </c>
      <c r="P4" s="2" t="n"/>
      <c r="Q4" s="211" t="inlineStr">
        <is>
          <t>구독원가</t>
        </is>
      </c>
      <c r="R4" s="506">
        <f>R2-SUM(R3,R5:R6)</f>
        <v/>
      </c>
      <c r="S4" s="598">
        <f>R4/1.1</f>
        <v/>
      </c>
      <c r="U4" s="47" t="inlineStr">
        <is>
          <t>(계산용) 선납금 반영 총 구독료 (V-)</t>
        </is>
      </c>
      <c r="V4" s="527">
        <f>S2-V3</f>
        <v/>
      </c>
      <c r="Y4" s="50" t="inlineStr">
        <is>
          <t>(계산용) 선납금 월할 (V-)</t>
        </is>
      </c>
      <c r="Z4" s="506">
        <f>Z3/N1</f>
        <v/>
      </c>
    </row>
    <row r="5">
      <c r="A5" s="596" t="inlineStr">
        <is>
          <t>2025-07-05</t>
        </is>
      </c>
      <c r="B5" s="591" t="n">
        <v>0</v>
      </c>
      <c r="C5" s="594" t="n"/>
      <c r="D5" s="594" t="n"/>
      <c r="E5" s="594" t="n"/>
      <c r="F5" s="594">
        <f>ROUND(C2,)</f>
        <v/>
      </c>
      <c r="P5" s="2" t="inlineStr">
        <is>
          <t>서비스</t>
        </is>
      </c>
      <c r="Q5" s="2" t="inlineStr">
        <is>
          <t>가전케어/세척</t>
        </is>
      </c>
      <c r="R5" s="506">
        <f>S5*1.1</f>
        <v/>
      </c>
      <c r="S5" s="598">
        <f>6900*60</f>
        <v/>
      </c>
      <c r="U5" s="47" t="inlineStr">
        <is>
          <t>(계산용) 선납금 반영 월 구독료(V-)</t>
        </is>
      </c>
      <c r="V5" s="527">
        <f>V4/N1</f>
        <v/>
      </c>
      <c r="Y5" s="50" t="inlineStr">
        <is>
          <t>(계산용) 선납금 월할 보정 (V-)</t>
        </is>
      </c>
      <c r="Z5" s="506">
        <f>ROUND(Z4,-2)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594">
        <f>ROUND(-E6+(C2*F3*27/31-H2*27/31),0)</f>
        <v/>
      </c>
      <c r="E6" s="594">
        <f>-(ROUNDDOWN($V$6*27/31,-2)-ROUNDDOWN((S6/60)*27/31,-2)-ROUNDDOWN((S5/60)*27/31,-2))</f>
        <v/>
      </c>
      <c r="F6" s="594">
        <f>SUM(C6:E6)</f>
        <v/>
      </c>
      <c r="P6" s="2" t="n"/>
      <c r="Q6" s="2" t="inlineStr">
        <is>
          <t>보증연장</t>
        </is>
      </c>
      <c r="R6" s="506">
        <f>S6*1.1</f>
        <v/>
      </c>
      <c r="S6" s="598">
        <f>900*60</f>
        <v/>
      </c>
      <c r="U6" s="47" t="inlineStr">
        <is>
          <t>(최종) 선납금 반영 월 구독료 (V-)</t>
        </is>
      </c>
      <c r="V6" s="527">
        <f>ROUNDDOWN(V5,-2)</f>
        <v/>
      </c>
      <c r="Y6" s="50" t="inlineStr">
        <is>
          <t>(최종) 선납금 (V-)</t>
        </is>
      </c>
      <c r="Z6" s="506">
        <f>Z5*N1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n"/>
      <c r="O7" s="610" t="n"/>
      <c r="P7" s="598" t="inlineStr">
        <is>
          <t>선납</t>
        </is>
      </c>
      <c r="Q7" s="61">
        <f>V2</f>
        <v/>
      </c>
      <c r="R7" s="598">
        <f>S7*1.1</f>
        <v/>
      </c>
      <c r="S7" s="598">
        <f>Z6</f>
        <v/>
      </c>
      <c r="U7" s="47" t="inlineStr">
        <is>
          <t>(최종) 선납금 반영 총 구독료 (V-)</t>
        </is>
      </c>
      <c r="V7" s="527">
        <f>V6*N1</f>
        <v/>
      </c>
      <c r="Y7" s="50" t="inlineStr">
        <is>
          <t>(계산용) 선납 할인금 (V-)</t>
        </is>
      </c>
      <c r="Z7" s="506">
        <f>R2*4%/1.1</f>
        <v/>
      </c>
    </row>
    <row r="8"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O8" s="613" t="n"/>
      <c r="P8" s="736" t="inlineStr">
        <is>
          <t>할인</t>
        </is>
      </c>
      <c r="Q8" s="737" t="n"/>
      <c r="R8" s="738">
        <f>S8*1.1</f>
        <v/>
      </c>
      <c r="S8" s="738">
        <f>Z10</f>
        <v/>
      </c>
      <c r="U8" s="47" t="inlineStr">
        <is>
          <t>(최종) 선납금 (V-)</t>
        </is>
      </c>
      <c r="V8" s="527">
        <f>S2-V7</f>
        <v/>
      </c>
      <c r="Y8" s="50" t="inlineStr">
        <is>
          <t>(계산용) 선납 할인금 월할 (V-)</t>
        </is>
      </c>
      <c r="Z8" s="598">
        <f>Z7/N1</f>
        <v/>
      </c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P9" s="598" t="inlineStr">
        <is>
          <t>선납,할인반영 구독료</t>
        </is>
      </c>
      <c r="Q9" s="598" t="n"/>
      <c r="R9" s="598">
        <f>S9*1.1</f>
        <v/>
      </c>
      <c r="S9" s="598">
        <f>Z12</f>
        <v/>
      </c>
      <c r="U9" s="63" t="inlineStr">
        <is>
          <t>(계산용) 선납 할인금 (V-)</t>
        </is>
      </c>
      <c r="V9" s="617">
        <f>+R2*V1/1.1</f>
        <v/>
      </c>
      <c r="W9" s="594" t="n"/>
      <c r="Y9" s="50" t="inlineStr">
        <is>
          <t>(계산용) 선납 할인금 월할 보정 (V-)</t>
        </is>
      </c>
      <c r="Z9" s="598">
        <f>ROUNDUP(Z8,-2)</f>
        <v/>
      </c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U10" s="47" t="inlineStr">
        <is>
          <t>(계산용) 선납 할인금 월할 (V-)</t>
        </is>
      </c>
      <c r="V10" s="598">
        <f>V9/N1</f>
        <v/>
      </c>
      <c r="Y10" s="50" t="inlineStr">
        <is>
          <t>(최종) 선납 할인금 (V-)</t>
        </is>
      </c>
      <c r="Z10" s="608">
        <f>Z9*N1</f>
        <v/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U11" s="47" t="inlineStr">
        <is>
          <t>(계산용) 선납 할인금 월할 보정 (V-)</t>
        </is>
      </c>
      <c r="V11" s="598">
        <f>ROUNDUP(V10,-2)</f>
        <v/>
      </c>
      <c r="Y11" s="50" t="inlineStr">
        <is>
          <t>(최종) 선납금+선납 할인 반영 월 구독료 (V-)</t>
        </is>
      </c>
      <c r="Z11" s="608">
        <f>(S2-Z6-Z10)/N1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U12" s="47" t="inlineStr">
        <is>
          <t>(최종) 선납 할인금 (V-)</t>
        </is>
      </c>
      <c r="V12" s="608">
        <f>V11*N1</f>
        <v/>
      </c>
      <c r="W12" s="594" t="n"/>
      <c r="Y12" s="50" t="inlineStr">
        <is>
          <t>(최종) 선납금+선납 할인 반영 총 구독료 (V-)</t>
        </is>
      </c>
      <c r="Z12" s="608">
        <f>Z11*N1</f>
        <v/>
      </c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U13" s="47" t="inlineStr">
        <is>
          <t>(최종) 선납금+선납 할인 반영 월 구독료 (V-)</t>
        </is>
      </c>
      <c r="V13" s="608">
        <f>(S2-V8-V12)/N1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U14" s="47" t="inlineStr">
        <is>
          <t>(최종) 선납금+선납 할인 반영 총 구독료 (V-)</t>
        </is>
      </c>
      <c r="V14" s="608">
        <f>V13*N1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X16" s="495" t="n"/>
      <c r="Y16" s="500" t="n"/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X17" s="495" t="n"/>
      <c r="Y17" s="500" t="n"/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X18" s="495" t="n"/>
      <c r="Y18" s="500" t="n"/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X19" s="495" t="n"/>
      <c r="Y19" s="500" t="n"/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Y20" s="500" t="n"/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X21" s="495" t="n"/>
      <c r="Y21" s="618" t="n"/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X22" s="495" t="n"/>
    </row>
    <row r="23"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X23" s="495" t="n"/>
    </row>
    <row r="24"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X24" s="495" t="n"/>
      <c r="Y24" s="618" t="n"/>
    </row>
    <row r="25"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X25" s="495" t="n"/>
      <c r="Y25" s="618" t="n"/>
    </row>
    <row r="26"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X26" s="495" t="n"/>
      <c r="Y26" s="618" t="n"/>
    </row>
    <row r="27"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</row>
    <row r="28">
      <c r="B28" s="591">
        <f>B27+1</f>
        <v/>
      </c>
      <c r="C28" s="594">
        <f>F27</f>
        <v/>
      </c>
      <c r="D28" s="594">
        <f>ROUND(C28*$F$3,)</f>
        <v/>
      </c>
      <c r="E28" s="594">
        <f>-$H$2</f>
        <v/>
      </c>
      <c r="F28" s="594">
        <f>SUM(C28:E28)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</row>
    <row r="66">
      <c r="B66" s="591" t="n">
        <v>61</v>
      </c>
      <c r="C66" s="594">
        <f>F65</f>
        <v/>
      </c>
      <c r="D66" s="594">
        <f>C66*$F$3-(C66+C66*$F$3+E66)</f>
        <v/>
      </c>
      <c r="E66" s="594">
        <f>-$H$2-E6</f>
        <v/>
      </c>
      <c r="F66" s="594">
        <f>SUM(C66:E66)</f>
        <v/>
      </c>
    </row>
  </sheetData>
  <mergeCells count="1">
    <mergeCell ref="P8:Q8"/>
  </mergeCells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tabColor rgb="00A6A6A6"/>
    <outlinePr summaryBelow="1" summaryRight="1"/>
    <pageSetUpPr/>
  </sheetPr>
  <dimension ref="A1:Z66"/>
  <sheetViews>
    <sheetView zoomScale="70" zoomScaleNormal="70" workbookViewId="0">
      <pane xSplit="2" ySplit="3" topLeftCell="C4" activePane="bottomRight" state="frozen"/>
      <selection activeCell="J34" sqref="J34"/>
      <selection pane="topRight" activeCell="J34" sqref="J34"/>
      <selection pane="bottomLeft" activeCell="J34" sqref="J34"/>
      <selection pane="bottomRight" activeCell="C3" sqref="C3"/>
    </sheetView>
  </sheetViews>
  <sheetFormatPr baseColWidth="8" defaultColWidth="9" defaultRowHeight="16.9"/>
  <cols>
    <col width="12.375" bestFit="1" customWidth="1" style="591" min="1" max="1"/>
    <col width="14" bestFit="1" customWidth="1" style="591" min="2" max="2"/>
    <col width="12.125" bestFit="1" customWidth="1" style="591" min="3" max="3"/>
    <col width="12.375" bestFit="1" customWidth="1" style="591" min="4" max="4"/>
    <col width="11.3125" bestFit="1" customWidth="1" style="591" min="5" max="5"/>
    <col width="12.125" bestFit="1" customWidth="1" style="591" min="6" max="6"/>
    <col width="40.875" bestFit="1" customWidth="1" style="591" min="7" max="7"/>
    <col width="13.5" customWidth="1" style="591" min="8" max="8"/>
    <col width="9.875" bestFit="1" customWidth="1" style="591" min="9" max="9"/>
    <col width="13.375" bestFit="1" customWidth="1" style="591" min="10" max="10"/>
    <col width="7.125" bestFit="1" customWidth="1" style="591" min="11" max="11"/>
    <col width="9" customWidth="1" style="591" min="12" max="12"/>
    <col width="9.375" bestFit="1" customWidth="1" style="591" min="13" max="13"/>
    <col width="12.375" bestFit="1" customWidth="1" style="591" min="14" max="14"/>
    <col width="9" customWidth="1" style="591" min="15" max="15"/>
    <col width="20.875" bestFit="1" customWidth="1" style="591" min="16" max="16"/>
    <col width="14.1875" bestFit="1" customWidth="1" style="591" min="17" max="17"/>
    <col width="12.125" bestFit="1" customWidth="1" style="591" min="18" max="18"/>
    <col width="10.5" bestFit="1" customWidth="1" style="591" min="19" max="19"/>
    <col width="8.875" bestFit="1" customWidth="1" style="591" min="20" max="20"/>
    <col hidden="1" width="43.1875" customWidth="1" style="591" min="21" max="21"/>
    <col hidden="1" width="12.125" customWidth="1" style="591" min="22" max="22"/>
    <col hidden="1" width="8.875" customWidth="1" style="591" min="23" max="23"/>
    <col width="15.1875" bestFit="1" customWidth="1" style="591" min="24" max="24"/>
    <col width="43.1875" bestFit="1" customWidth="1" style="591" min="25" max="25"/>
    <col width="11.6875" bestFit="1" customWidth="1" style="591" min="26" max="26"/>
    <col width="9" customWidth="1" style="591" min="27" max="16384"/>
  </cols>
  <sheetData>
    <row r="1">
      <c r="M1" s="591" t="inlineStr">
        <is>
          <t>구독기간</t>
        </is>
      </c>
      <c r="N1" s="591" t="n">
        <v>60</v>
      </c>
      <c r="R1" s="591" t="inlineStr">
        <is>
          <t>v+</t>
        </is>
      </c>
      <c r="S1" s="591" t="inlineStr">
        <is>
          <t>v-</t>
        </is>
      </c>
      <c r="U1" s="47" t="inlineStr">
        <is>
          <t>선납할인율 %</t>
        </is>
      </c>
      <c r="V1" s="61" t="n">
        <v>0.04</v>
      </c>
      <c r="Y1" s="314" t="inlineStr">
        <is>
          <t>단품할인율 %</t>
        </is>
      </c>
      <c r="Z1" s="315" t="n">
        <v>0.05</v>
      </c>
    </row>
    <row r="2">
      <c r="B2" s="591" t="inlineStr">
        <is>
          <t>리스채권</t>
        </is>
      </c>
      <c r="C2" s="662">
        <f>MIN(S3,PV(K2/12,N1,-(S2-S5-S6-S8-S9-S10)/N1))-S7</f>
        <v/>
      </c>
      <c r="D2" s="594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C3/N1</f>
        <v/>
      </c>
      <c r="J2" s="591" t="inlineStr">
        <is>
          <t>현할차할인율</t>
        </is>
      </c>
      <c r="K2" s="439" t="n">
        <v>0.0357</v>
      </c>
      <c r="M2" s="591" t="inlineStr">
        <is>
          <t>설치일</t>
        </is>
      </c>
      <c r="N2" s="596" t="inlineStr">
        <is>
          <t>2025-07-05</t>
        </is>
      </c>
      <c r="P2" s="2" t="n"/>
      <c r="Q2" s="2" t="n"/>
      <c r="R2" s="597" t="n">
        <v>8170800</v>
      </c>
      <c r="S2" s="598">
        <f>SUM(S3:S6)</f>
        <v/>
      </c>
      <c r="T2" s="591">
        <f>+S2/60</f>
        <v/>
      </c>
      <c r="U2" s="47" t="inlineStr">
        <is>
          <t>(계산용) 선납금 %</t>
        </is>
      </c>
      <c r="V2" s="288" t="n">
        <v>0.1</v>
      </c>
      <c r="X2" s="599" t="inlineStr">
        <is>
          <t xml:space="preserve">차후 변경시 → </t>
        </is>
      </c>
      <c r="Y2" s="50" t="inlineStr">
        <is>
          <t>(계산용) 단품 할인금 (V-)</t>
        </is>
      </c>
      <c r="Z2" s="506">
        <f>R2*Z1/1.1</f>
        <v/>
      </c>
    </row>
    <row r="3">
      <c r="B3" s="591" t="inlineStr">
        <is>
          <t>총 순수구독료</t>
        </is>
      </c>
      <c r="C3" s="591">
        <f>(S2-S5-S6)-S8-S7-S9-S10</f>
        <v/>
      </c>
      <c r="D3" s="600">
        <f>SUM(D6:D66)</f>
        <v/>
      </c>
      <c r="E3" s="591" t="inlineStr">
        <is>
          <t>월 이자율</t>
        </is>
      </c>
      <c r="F3" s="601">
        <f>RATE(N1,-H2,C2,0,0)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2" t="inlineStr">
        <is>
          <t>제품</t>
        </is>
      </c>
      <c r="Q3" s="2" t="inlineStr">
        <is>
          <t>제품제공</t>
        </is>
      </c>
      <c r="R3" s="506" t="n">
        <v>5290000</v>
      </c>
      <c r="S3" s="605">
        <f>ROUND(R3/1.1,)</f>
        <v/>
      </c>
      <c r="U3" s="47" t="inlineStr">
        <is>
          <t>(계산용) 선납금 (총 구독료 기준, V-)</t>
        </is>
      </c>
      <c r="V3" s="527">
        <f>S2*V2</f>
        <v/>
      </c>
      <c r="Y3" s="50" t="inlineStr">
        <is>
          <t>(계산용) 단품 할인금 월할 (V-)</t>
        </is>
      </c>
      <c r="Z3" s="598">
        <f>Z2/N1</f>
        <v/>
      </c>
    </row>
    <row r="4">
      <c r="C4" s="606" t="inlineStr">
        <is>
          <t>기초</t>
        </is>
      </c>
      <c r="D4" s="606" t="inlineStr">
        <is>
          <t>이자수익</t>
        </is>
      </c>
      <c r="E4" s="606" t="inlineStr">
        <is>
          <t>리스료수령</t>
        </is>
      </c>
      <c r="F4" s="445" t="inlineStr">
        <is>
          <t>기말</t>
        </is>
      </c>
      <c r="P4" s="2" t="n"/>
      <c r="Q4" s="211" t="inlineStr">
        <is>
          <t>구독원가</t>
        </is>
      </c>
      <c r="R4" s="506">
        <f>R2-SUM(R3,R5:R6)</f>
        <v/>
      </c>
      <c r="S4" s="605">
        <f>ROUND(R4/1.1,)</f>
        <v/>
      </c>
      <c r="U4" s="47" t="inlineStr">
        <is>
          <t>(계산용) 선납금 반영 총 구독료 (V-)</t>
        </is>
      </c>
      <c r="V4" s="527">
        <f>S2-V3</f>
        <v/>
      </c>
      <c r="Y4" s="50" t="inlineStr">
        <is>
          <t>(계산용) 단품 할인금 월할 보정 (V-)</t>
        </is>
      </c>
      <c r="Z4" s="598">
        <f>ROUNDUP(Z3,-2)</f>
        <v/>
      </c>
    </row>
    <row r="5">
      <c r="A5" s="596" t="inlineStr">
        <is>
          <t>2025-07-05</t>
        </is>
      </c>
      <c r="B5" s="591" t="n">
        <v>0</v>
      </c>
      <c r="C5" s="594" t="n"/>
      <c r="D5" s="594" t="n"/>
      <c r="E5" s="594" t="n"/>
      <c r="F5" s="594">
        <f>ROUND(C2,)</f>
        <v/>
      </c>
      <c r="P5" s="2" t="inlineStr">
        <is>
          <t>서비스</t>
        </is>
      </c>
      <c r="Q5" s="2" t="inlineStr">
        <is>
          <t>가전케어/세척</t>
        </is>
      </c>
      <c r="R5" s="506">
        <f>S5*1.1</f>
        <v/>
      </c>
      <c r="S5" s="598">
        <f>6900*60</f>
        <v/>
      </c>
      <c r="U5" s="47" t="inlineStr">
        <is>
          <t>(계산용) 선납금 반영 월 구독료(V-)</t>
        </is>
      </c>
      <c r="V5" s="527">
        <f>V4/N1</f>
        <v/>
      </c>
      <c r="Y5" s="50" t="inlineStr">
        <is>
          <t>(최종) 단품 할인금 (V-)</t>
        </is>
      </c>
      <c r="Z5" s="608">
        <f>Z4*N1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662">
        <f>ROUND(-E6+(C2*F3*27/31-H2*27/31),0)</f>
        <v/>
      </c>
      <c r="E6" s="594">
        <f>-(ROUNDDOWN($S$12*27/31,-2)-ROUNDDOWN((S6/60)*27/31,-2)-ROUNDDOWN((S5/60)*27/31,-2))</f>
        <v/>
      </c>
      <c r="F6" s="594">
        <f>SUM(C6:E6)</f>
        <v/>
      </c>
      <c r="P6" s="2" t="n"/>
      <c r="Q6" s="2" t="inlineStr">
        <is>
          <t>보증연장</t>
        </is>
      </c>
      <c r="R6" s="506">
        <f>S6*1.1</f>
        <v/>
      </c>
      <c r="S6" s="598">
        <f>900*60</f>
        <v/>
      </c>
      <c r="U6" s="47" t="inlineStr">
        <is>
          <t>(최종) 선납금 반영 월 구독료 (V-)</t>
        </is>
      </c>
      <c r="V6" s="527">
        <f>ROUNDDOWN(V5,-2)</f>
        <v/>
      </c>
      <c r="Y6" s="50" t="inlineStr">
        <is>
          <t>(최종) 단품 할인 반영 월 구독료 (V-)</t>
        </is>
      </c>
      <c r="Z6" s="608">
        <f>(S2-Z5)/N1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n"/>
      <c r="O7" s="610" t="n"/>
      <c r="P7" s="326" t="inlineStr">
        <is>
          <t>선납</t>
        </is>
      </c>
      <c r="Q7" s="61">
        <f>V2</f>
        <v/>
      </c>
      <c r="R7" s="598">
        <f>S7*1.1</f>
        <v/>
      </c>
      <c r="S7" s="598">
        <f>+Z14</f>
        <v/>
      </c>
      <c r="U7" s="47" t="inlineStr">
        <is>
          <t>(최종) 선납금 반영 총 구독료 (V-)</t>
        </is>
      </c>
      <c r="V7" s="527">
        <f>V6*N1</f>
        <v/>
      </c>
      <c r="Y7" s="50" t="inlineStr">
        <is>
          <t>(최종) 단품 할인 반영 총 구독료 (V-)</t>
        </is>
      </c>
      <c r="Z7" s="608">
        <f>Z6*N1</f>
        <v/>
      </c>
    </row>
    <row r="8"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O8" s="613" t="n"/>
      <c r="P8" s="615" t="inlineStr">
        <is>
          <t>단품할인</t>
        </is>
      </c>
      <c r="Q8" s="616" t="n"/>
      <c r="R8" s="598">
        <f>S8*1.1</f>
        <v/>
      </c>
      <c r="S8" s="598">
        <f>Z5</f>
        <v/>
      </c>
      <c r="U8" s="47" t="inlineStr">
        <is>
          <t>(최종) 선납금 (V-)</t>
        </is>
      </c>
      <c r="V8" s="527">
        <f>S2-V7</f>
        <v/>
      </c>
      <c r="W8" s="591">
        <f>V8*1.1</f>
        <v/>
      </c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P9" s="615" t="inlineStr">
        <is>
          <t>선납할인</t>
        </is>
      </c>
      <c r="Q9" s="616" t="n"/>
      <c r="R9" s="598">
        <f>S9*1.1</f>
        <v/>
      </c>
      <c r="S9" s="598">
        <f>+Z18</f>
        <v/>
      </c>
      <c r="U9" s="63" t="inlineStr">
        <is>
          <t>(계산용) 선납 할인금 (V-)</t>
        </is>
      </c>
      <c r="V9" s="617">
        <f>+R2*V1/1.1</f>
        <v/>
      </c>
      <c r="W9" s="594" t="n"/>
      <c r="Y9" s="314" t="inlineStr">
        <is>
          <t>(계산용) 선납금 %</t>
        </is>
      </c>
      <c r="Z9" s="315" t="n">
        <v>0.1</v>
      </c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P10" s="615" t="inlineStr">
        <is>
          <t>결합할인</t>
        </is>
      </c>
      <c r="Q10" s="616" t="n"/>
      <c r="R10" s="598">
        <f>S10*1.1</f>
        <v/>
      </c>
      <c r="S10" s="598">
        <f>+Z27</f>
        <v/>
      </c>
      <c r="U10" s="47" t="inlineStr">
        <is>
          <t>(계산용) 선납 할인금 월할 (V-)</t>
        </is>
      </c>
      <c r="V10" s="598">
        <f>V9/N1</f>
        <v/>
      </c>
      <c r="Y10" s="314" t="inlineStr">
        <is>
          <t>선납할인율 %</t>
        </is>
      </c>
      <c r="Z10" s="349" t="n">
        <v>0.04</v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P11" s="598" t="inlineStr">
        <is>
          <t>선납,할인반영 구독료</t>
        </is>
      </c>
      <c r="Q11" s="598" t="n"/>
      <c r="R11" s="598">
        <f>S11*1.1</f>
        <v/>
      </c>
      <c r="S11" s="598">
        <f>+S2-S8-S9-S7-S10</f>
        <v/>
      </c>
      <c r="U11" s="47" t="inlineStr">
        <is>
          <t>(계산용) 선납 할인금 월할 보정 (V-)</t>
        </is>
      </c>
      <c r="V11" s="598">
        <f>ROUNDUP(V10,-2)</f>
        <v/>
      </c>
      <c r="Y11" s="50" t="inlineStr">
        <is>
          <t>(계산용) 선납금 (총 구독료 v+ 기준, V-)</t>
        </is>
      </c>
      <c r="Z11" s="506">
        <f>R2*Z9/1.1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P12" s="591" t="inlineStr">
        <is>
          <t>(최종) 선납금+선납+단품+결합 할인 반영 월 구독료 (V-)</t>
        </is>
      </c>
      <c r="S12" s="591">
        <f>+S11/N1</f>
        <v/>
      </c>
      <c r="U12" s="47" t="inlineStr">
        <is>
          <t>(최종) 선납 할인금 (V-)</t>
        </is>
      </c>
      <c r="V12" s="608">
        <f>V11*N1</f>
        <v/>
      </c>
      <c r="W12" s="594" t="n"/>
      <c r="Y12" s="50" t="inlineStr">
        <is>
          <t>(계산용) 선납금 월할 (V-)</t>
        </is>
      </c>
      <c r="Z12" s="506">
        <f>Z11/N1</f>
        <v/>
      </c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S13" s="591">
        <f>+S2/N1-S12</f>
        <v/>
      </c>
      <c r="T13" s="591">
        <f>+S13=SUM(Z5,Z18,Z27)/60+Z14/60</f>
        <v/>
      </c>
      <c r="U13" s="47" t="inlineStr">
        <is>
          <t>(최종) 선납금+선납 할인 반영 월 구독료 (V-)</t>
        </is>
      </c>
      <c r="V13" s="608">
        <f>(S2-V8-V12)/N1</f>
        <v/>
      </c>
      <c r="Y13" s="50" t="inlineStr">
        <is>
          <t>(계산용) 선납금 월할 보정 (V-)</t>
        </is>
      </c>
      <c r="Z13" s="506">
        <f>ROUND(Z12,-2)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T14" s="591">
        <f>+S11-S5-S6=C3</f>
        <v/>
      </c>
      <c r="U14" s="47" t="inlineStr">
        <is>
          <t>(최종) 선납금+선납 할인 반영 총 구독료 (V-)</t>
        </is>
      </c>
      <c r="V14" s="608">
        <f>V13*N1</f>
        <v/>
      </c>
      <c r="Y14" s="50" t="inlineStr">
        <is>
          <t>(최종) 선납금 (V-)</t>
        </is>
      </c>
      <c r="Z14" s="506">
        <f>Z13*N1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  <c r="Y15" s="50" t="inlineStr">
        <is>
          <t>(계산용) 선납 할인금 (V-)</t>
        </is>
      </c>
      <c r="Z15" s="506">
        <f>R2*Z10/1.1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S16" s="591">
        <f>+S2-S5-S6-S8-S9</f>
        <v/>
      </c>
      <c r="X16" s="495" t="n"/>
      <c r="Y16" s="50" t="inlineStr">
        <is>
          <t>(계산용) 선납 할인금 월할 (V-)</t>
        </is>
      </c>
      <c r="Z16" s="598">
        <f>Z15/N1</f>
        <v/>
      </c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S17" s="591">
        <f>+S16/60</f>
        <v/>
      </c>
      <c r="X17" s="495" t="n"/>
      <c r="Y17" s="50" t="inlineStr">
        <is>
          <t>(계산용) 선납 할인금 월할 보정 (V-)</t>
        </is>
      </c>
      <c r="Z17" s="598">
        <f>ROUNDUP(Z16,-2)</f>
        <v/>
      </c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S18" s="591">
        <f>+PV(K2/12,N1,-S17)</f>
        <v/>
      </c>
      <c r="X18" s="495" t="n"/>
      <c r="Y18" s="50" t="inlineStr">
        <is>
          <t>(최종) 선납 할인금 (V-)</t>
        </is>
      </c>
      <c r="Z18" s="608">
        <f>Z17*N1</f>
        <v/>
      </c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S19" s="591">
        <f>+S18-S7</f>
        <v/>
      </c>
      <c r="X19" s="495" t="n"/>
      <c r="Y19" s="50" t="inlineStr">
        <is>
          <t>(최종) 선납금+선납 할인 반영 월 구독료 (V-)</t>
        </is>
      </c>
      <c r="Z19" s="608">
        <f>(S2-Z14-Z18)/N1</f>
        <v/>
      </c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Y20" s="50" t="inlineStr">
        <is>
          <t>(최종) 선납금+선납 할인 반영 총 구독료 (V-)</t>
        </is>
      </c>
      <c r="Z20" s="608">
        <f>Z19*N1</f>
        <v/>
      </c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X21" s="495" t="n"/>
      <c r="Y21" s="618" t="n"/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X22" s="495" t="n"/>
      <c r="Y22" s="337" t="inlineStr">
        <is>
          <t>결합할인율 %</t>
        </is>
      </c>
      <c r="Z22" s="338" t="n">
        <v>0.05</v>
      </c>
    </row>
    <row r="23"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X23" s="495" t="n"/>
      <c r="Y23" s="340" t="inlineStr">
        <is>
          <t>(계산용) 결합 할인금 (V+)</t>
        </is>
      </c>
      <c r="Z23" s="619">
        <f>+Z22*R2</f>
        <v/>
      </c>
    </row>
    <row r="24"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X24" s="495" t="n"/>
      <c r="Y24" s="340" t="inlineStr">
        <is>
          <t>(계산용) 결합 할인금 (V-)</t>
        </is>
      </c>
      <c r="Z24" s="619">
        <f>+Z23/1.1</f>
        <v/>
      </c>
    </row>
    <row r="25"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X25" s="495" t="n"/>
      <c r="Y25" s="340" t="inlineStr">
        <is>
          <t>(계산용) 결합 월할인금 (V-)</t>
        </is>
      </c>
      <c r="Z25" s="506">
        <f>+ROUNDUP(Z24/N1,-2)</f>
        <v/>
      </c>
    </row>
    <row r="26"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X26" s="495" t="n"/>
      <c r="Y26" s="50" t="inlineStr">
        <is>
          <t>(계산용) 결합 월할인금 (V+)</t>
        </is>
      </c>
      <c r="Z26" s="506">
        <f>+Z25*1.1</f>
        <v/>
      </c>
    </row>
    <row r="27"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  <c r="Y27" s="50" t="inlineStr">
        <is>
          <t>(최종) 결합 할인금 (V-)</t>
        </is>
      </c>
      <c r="Z27" s="506">
        <f>+Z25*N1</f>
        <v/>
      </c>
    </row>
    <row r="28">
      <c r="B28" s="591">
        <f>B27+1</f>
        <v/>
      </c>
      <c r="C28" s="594">
        <f>F27</f>
        <v/>
      </c>
      <c r="D28" s="594">
        <f>ROUND(C28*$F$3,)</f>
        <v/>
      </c>
      <c r="E28" s="594">
        <f>-$H$2</f>
        <v/>
      </c>
      <c r="F28" s="594">
        <f>SUM(C28:E28)</f>
        <v/>
      </c>
      <c r="Y28" s="50" t="inlineStr">
        <is>
          <t>(최종) 결합 할인금 (V+)</t>
        </is>
      </c>
      <c r="Z28" s="506">
        <f>+Z26*N1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  <c r="Y29" s="340" t="inlineStr">
        <is>
          <t>(최종) 결합 할인 반영 월 구독료 (V-)</t>
        </is>
      </c>
      <c r="Z29" s="619">
        <f>+(S2-Z27)/N1</f>
        <v/>
      </c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  <c r="Y30" s="340" t="inlineStr">
        <is>
          <t>(최종) 결합 할인 반영 총 구독료 (V-)</t>
        </is>
      </c>
      <c r="Z30" s="619">
        <f>+Z29*N1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</row>
    <row r="66">
      <c r="B66" s="591" t="n">
        <v>61</v>
      </c>
      <c r="C66" s="594">
        <f>F65</f>
        <v/>
      </c>
      <c r="D66" s="662">
        <f>C66*$F$3-(C66+C66*$F$3+E66)</f>
        <v/>
      </c>
      <c r="E66" s="594">
        <f>-$H$2-E6</f>
        <v/>
      </c>
      <c r="F66" s="594">
        <f>SUM(C66:E66)</f>
        <v/>
      </c>
    </row>
  </sheetData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>
    <tabColor rgb="00A6A6A6"/>
    <outlinePr summaryBelow="1" summaryRight="1"/>
    <pageSetUpPr/>
  </sheetPr>
  <dimension ref="A1:AM66"/>
  <sheetViews>
    <sheetView zoomScale="70" zoomScaleNormal="70" workbookViewId="0">
      <pane xSplit="2" ySplit="3" topLeftCell="C4" activePane="bottomRight" state="frozen"/>
      <selection activeCell="J34" sqref="J34"/>
      <selection pane="topRight" activeCell="J34" sqref="J34"/>
      <selection pane="bottomLeft" activeCell="J34" sqref="J34"/>
      <selection pane="bottomRight" activeCell="R3" sqref="R3"/>
    </sheetView>
  </sheetViews>
  <sheetFormatPr baseColWidth="8" defaultColWidth="9" defaultRowHeight="16.9"/>
  <cols>
    <col width="11.125" bestFit="1" customWidth="1" style="591" min="1" max="1"/>
    <col width="13.6875" bestFit="1" customWidth="1" style="591" min="2" max="2"/>
    <col width="10.8125" bestFit="1" customWidth="1" style="591" min="3" max="3"/>
    <col width="10.625" bestFit="1" customWidth="1" style="591" min="4" max="4"/>
    <col width="11" bestFit="1" customWidth="1" style="591" min="5" max="5"/>
    <col width="12.6875" customWidth="1" style="591" min="6" max="6"/>
    <col width="9.3125" customWidth="1" style="591" min="7" max="7"/>
    <col width="19.125" customWidth="1" style="591" min="8" max="8"/>
    <col width="13.375" customWidth="1" style="591" min="9" max="9"/>
    <col width="13" bestFit="1" customWidth="1" style="591" min="10" max="10"/>
    <col width="13.8125" customWidth="1" style="591" min="11" max="11"/>
    <col width="9" customWidth="1" style="591" min="12" max="12"/>
    <col width="12.1875" customWidth="1" style="591" min="13" max="13"/>
    <col width="11.125" bestFit="1" customWidth="1" style="591" min="14" max="14"/>
    <col width="9" customWidth="1" style="591" min="15" max="15"/>
    <col width="7.375" bestFit="1" customWidth="1" style="591" min="16" max="16"/>
    <col width="13.8125" bestFit="1" customWidth="1" style="591" min="17" max="17"/>
    <col width="12.875" bestFit="1" customWidth="1" style="591" min="18" max="18"/>
    <col width="10.1875" bestFit="1" customWidth="1" style="591" min="19" max="19"/>
    <col width="9" customWidth="1" style="591" min="20" max="20"/>
    <col width="11.125" bestFit="1" customWidth="1" style="591" min="21" max="21"/>
    <col width="13.6875" bestFit="1" customWidth="1" style="591" min="22" max="22"/>
    <col width="11.3125" customWidth="1" style="591" min="23" max="23"/>
    <col width="10.625" bestFit="1" customWidth="1" style="591" min="24" max="24"/>
    <col width="11" bestFit="1" customWidth="1" style="591" min="25" max="25"/>
    <col width="11.3125" customWidth="1" style="591" min="26" max="26"/>
    <col width="9.3125" customWidth="1" style="591" min="27" max="27"/>
    <col width="11.1875" customWidth="1" style="591" min="28" max="28"/>
    <col width="9" customWidth="1" style="591" min="29" max="32"/>
    <col width="9" bestFit="1" customWidth="1" style="591" min="33" max="33"/>
    <col width="11.125" bestFit="1" customWidth="1" style="591" min="34" max="34"/>
    <col width="9" customWidth="1" style="591" min="35" max="35"/>
    <col width="7.125" bestFit="1" customWidth="1" style="591" min="36" max="36"/>
    <col width="13.875" bestFit="1" customWidth="1" style="591" min="37" max="37"/>
    <col width="13" bestFit="1" customWidth="1" style="591" min="38" max="38"/>
    <col width="9.1875" bestFit="1" customWidth="1" style="591" min="39" max="39"/>
    <col width="9" customWidth="1" style="591" min="40" max="16384"/>
  </cols>
  <sheetData>
    <row r="1" ht="32.75" customHeight="1" s="497">
      <c r="B1" s="657" t="inlineStr">
        <is>
          <t>* 할인 원복구독료 상각표</t>
        </is>
      </c>
      <c r="M1" s="591" t="inlineStr">
        <is>
          <t>구독기간</t>
        </is>
      </c>
      <c r="N1" s="591" t="n">
        <v>60</v>
      </c>
      <c r="P1" s="591" t="inlineStr">
        <is>
          <t>품목2</t>
        </is>
      </c>
      <c r="R1" s="591" t="inlineStr">
        <is>
          <t>v+</t>
        </is>
      </c>
      <c r="S1" s="591" t="inlineStr">
        <is>
          <t>v-</t>
        </is>
      </c>
      <c r="V1" s="657" t="inlineStr">
        <is>
          <t>* 정상구독료 상각표</t>
        </is>
      </c>
      <c r="AG1" s="591" t="inlineStr">
        <is>
          <t>구독기간</t>
        </is>
      </c>
      <c r="AH1" s="591" t="n">
        <v>60</v>
      </c>
      <c r="AL1" s="591" t="inlineStr">
        <is>
          <t>v+</t>
        </is>
      </c>
      <c r="AM1" s="591" t="inlineStr">
        <is>
          <t>v-</t>
        </is>
      </c>
    </row>
    <row r="2">
      <c r="B2" s="591" t="inlineStr">
        <is>
          <t>리스채권</t>
        </is>
      </c>
      <c r="C2" s="591">
        <f>MIN(S3,PV(K2/12,N1,-(S2-S5-S6-S7)/N1))</f>
        <v/>
      </c>
      <c r="D2" s="591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C3/N1</f>
        <v/>
      </c>
      <c r="J2" s="591" t="inlineStr">
        <is>
          <t>현할차할인율</t>
        </is>
      </c>
      <c r="K2" s="439" t="n">
        <v>0.0313</v>
      </c>
      <c r="M2" s="591" t="inlineStr">
        <is>
          <t>설치일</t>
        </is>
      </c>
      <c r="N2" s="596" t="inlineStr">
        <is>
          <t>2025-07-05</t>
        </is>
      </c>
      <c r="P2" s="2" t="n"/>
      <c r="Q2" s="2" t="n"/>
      <c r="R2" s="660">
        <f>+'[1]리스 상각표 (A+B결합할인)'!AK2</f>
        <v/>
      </c>
      <c r="S2" s="598">
        <f>+'[1]리스 상각표 (A+B결합할인)'!AL2</f>
        <v/>
      </c>
      <c r="V2" s="591" t="inlineStr">
        <is>
          <t>리스채권</t>
        </is>
      </c>
      <c r="W2" s="591">
        <f>MIN(AM3,PV(AE2/12,AH1,-(AM2-AM5-AM6-AM7)/AH1))</f>
        <v/>
      </c>
      <c r="X2" s="591">
        <f>W3-W2</f>
        <v/>
      </c>
      <c r="Y2" s="591" t="inlineStr">
        <is>
          <t>연 이자율</t>
        </is>
      </c>
      <c r="Z2" s="439">
        <f>Z3*12</f>
        <v/>
      </c>
      <c r="AA2" s="591" t="inlineStr">
        <is>
          <t>리스료</t>
        </is>
      </c>
      <c r="AB2" s="591">
        <f>W3/AH1</f>
        <v/>
      </c>
      <c r="AD2" s="591" t="inlineStr">
        <is>
          <t>현할차할인율</t>
        </is>
      </c>
      <c r="AE2" s="439" t="n">
        <v>0.0313</v>
      </c>
      <c r="AG2" s="591" t="inlineStr">
        <is>
          <t>설치일</t>
        </is>
      </c>
      <c r="AH2" s="596" t="inlineStr">
        <is>
          <t>2025-07-05</t>
        </is>
      </c>
      <c r="AJ2" s="2" t="n"/>
      <c r="AK2" s="2" t="n"/>
      <c r="AL2" s="660" t="n">
        <v>8170800</v>
      </c>
      <c r="AM2" s="598">
        <f>SUM(AM3:AM6)</f>
        <v/>
      </c>
    </row>
    <row r="3">
      <c r="B3" s="591" t="inlineStr">
        <is>
          <t>총 순수구독료</t>
        </is>
      </c>
      <c r="C3" s="591">
        <f>S2-S5-S6-S7</f>
        <v/>
      </c>
      <c r="D3" s="661">
        <f>SUM(D6:D66)</f>
        <v/>
      </c>
      <c r="E3" s="591" t="inlineStr">
        <is>
          <t>월 이자율</t>
        </is>
      </c>
      <c r="F3" s="110">
        <f>RATE(N1,-H2,C2,0,0)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2" t="inlineStr">
        <is>
          <t>제품</t>
        </is>
      </c>
      <c r="Q3" s="2" t="inlineStr">
        <is>
          <t>제품제공</t>
        </is>
      </c>
      <c r="R3" s="506">
        <f>+'[1]리스 상각표 (A+B결합할인)'!AK3</f>
        <v/>
      </c>
      <c r="S3" s="598">
        <f>+'[1]리스 상각표 (A+B결합할인)'!AL3</f>
        <v/>
      </c>
      <c r="V3" s="591" t="inlineStr">
        <is>
          <t>총 순수구독료</t>
        </is>
      </c>
      <c r="W3" s="591">
        <f>AM2-AM5-AM6-AM7</f>
        <v/>
      </c>
      <c r="X3" s="661">
        <f>SUM(X6:X66)</f>
        <v/>
      </c>
      <c r="Y3" s="591" t="inlineStr">
        <is>
          <t>월 이자율</t>
        </is>
      </c>
      <c r="Z3" s="110">
        <f>RATE(AH1,-AB2,W2,0,0)</f>
        <v/>
      </c>
      <c r="AA3" s="602" t="inlineStr">
        <is>
          <t>※ 리스채권을 리스기간동안 분할상환시 내재이자율 적용</t>
        </is>
      </c>
      <c r="AG3" s="591" t="inlineStr">
        <is>
          <t>결제일</t>
        </is>
      </c>
      <c r="AH3" s="596" t="inlineStr">
        <is>
          <t>2025-08-10</t>
        </is>
      </c>
      <c r="AJ3" s="2" t="inlineStr">
        <is>
          <t>제품</t>
        </is>
      </c>
      <c r="AK3" s="2" t="inlineStr">
        <is>
          <t>제품제공</t>
        </is>
      </c>
      <c r="AL3" s="506" t="n">
        <v>5290000</v>
      </c>
      <c r="AM3" s="598">
        <f>AL3/1.1</f>
        <v/>
      </c>
    </row>
    <row r="4">
      <c r="C4" s="606" t="inlineStr">
        <is>
          <t>기초</t>
        </is>
      </c>
      <c r="D4" s="606" t="inlineStr">
        <is>
          <t>이자수익</t>
        </is>
      </c>
      <c r="E4" s="606" t="inlineStr">
        <is>
          <t>리스료수령</t>
        </is>
      </c>
      <c r="F4" s="445" t="inlineStr">
        <is>
          <t>기말</t>
        </is>
      </c>
      <c r="P4" s="2" t="n"/>
      <c r="Q4" s="211" t="inlineStr">
        <is>
          <t>구독원가</t>
        </is>
      </c>
      <c r="R4" s="506">
        <f>+'[1]리스 상각표 (A+B결합할인)'!AK4</f>
        <v/>
      </c>
      <c r="S4" s="598">
        <f>+'[1]리스 상각표 (A+B결합할인)'!AL4</f>
        <v/>
      </c>
      <c r="W4" s="606" t="inlineStr">
        <is>
          <t>기초</t>
        </is>
      </c>
      <c r="X4" s="606" t="inlineStr">
        <is>
          <t>이자수익</t>
        </is>
      </c>
      <c r="Y4" s="606" t="inlineStr">
        <is>
          <t>리스료수령</t>
        </is>
      </c>
      <c r="Z4" s="445" t="inlineStr">
        <is>
          <t>기말</t>
        </is>
      </c>
      <c r="AJ4" s="2" t="n"/>
      <c r="AK4" s="211" t="inlineStr">
        <is>
          <t>구독원가</t>
        </is>
      </c>
      <c r="AL4" s="506">
        <f>AL2-SUM(AL3,AL5:AL6)</f>
        <v/>
      </c>
      <c r="AM4" s="598">
        <f>AL4/1.1</f>
        <v/>
      </c>
    </row>
    <row r="5">
      <c r="A5" s="596" t="inlineStr">
        <is>
          <t>2025-07-05</t>
        </is>
      </c>
      <c r="B5" s="591" t="n">
        <v>0</v>
      </c>
      <c r="C5" s="594" t="n"/>
      <c r="D5" s="594" t="n"/>
      <c r="E5" s="594" t="n"/>
      <c r="F5" s="662">
        <f>ROUND(C2,)</f>
        <v/>
      </c>
      <c r="P5" s="2" t="inlineStr">
        <is>
          <t>서비스</t>
        </is>
      </c>
      <c r="Q5" s="2" t="inlineStr">
        <is>
          <t>가전케어/세척</t>
        </is>
      </c>
      <c r="R5" s="506">
        <f>+'[1]리스 상각표 (A+B결합할인)'!AK5</f>
        <v/>
      </c>
      <c r="S5" s="598">
        <f>+'[1]리스 상각표 (A+B결합할인)'!AL5</f>
        <v/>
      </c>
      <c r="U5" s="596" t="n"/>
      <c r="V5" s="591" t="n">
        <v>0</v>
      </c>
      <c r="W5" s="594" t="n"/>
      <c r="X5" s="594" t="n"/>
      <c r="Y5" s="594" t="n"/>
      <c r="Z5" s="662">
        <f>ROUND(W2,)</f>
        <v/>
      </c>
      <c r="AJ5" s="2" t="inlineStr">
        <is>
          <t>서비스</t>
        </is>
      </c>
      <c r="AK5" s="2" t="inlineStr">
        <is>
          <t>가전케어/세척</t>
        </is>
      </c>
      <c r="AL5" s="506">
        <f>AM5*1.1</f>
        <v/>
      </c>
      <c r="AM5" s="598">
        <f>6900*60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662">
        <f>ROUND(-E6+(C2*F3*27/31-H2*27/31),0)</f>
        <v/>
      </c>
      <c r="E6" s="662">
        <f>-(ROUNDDOWN($S$8*27/31,-2)-ROUNDDOWN((S6/60)*27/31,-2)-ROUNDDOWN((S5/60)*27/31,-2))</f>
        <v/>
      </c>
      <c r="F6" s="594">
        <f>SUM(C6:E6)</f>
        <v/>
      </c>
      <c r="H6" s="591">
        <f>-(ROUNDDOWN((($S$2-S7)/60)*27/31,-2)-ROUNDDOWN(($S$5/60)*27/31,-2)-ROUNDDOWN(($S$6/60)*27/31,-2))</f>
        <v/>
      </c>
      <c r="P6" s="2" t="n"/>
      <c r="Q6" s="2" t="inlineStr">
        <is>
          <t>보증연장</t>
        </is>
      </c>
      <c r="R6" s="506">
        <f>+'[1]리스 상각표 (A+B결합할인)'!AK6</f>
        <v/>
      </c>
      <c r="S6" s="598">
        <f>+'[1]리스 상각표 (A+B결합할인)'!AL6</f>
        <v/>
      </c>
      <c r="U6" s="596" t="n"/>
      <c r="V6" s="591">
        <f>V5+1</f>
        <v/>
      </c>
      <c r="W6" s="594">
        <f>Z5</f>
        <v/>
      </c>
      <c r="X6" s="662">
        <f>ROUND(-Y6+(W2*Z3*27/31-AB2*27/31),0)</f>
        <v/>
      </c>
      <c r="Y6" s="662">
        <f>-(ROUNDDOWN($AM$8*27/31,-2)-ROUNDDOWN((AM6/60)*27/31,-2)-ROUNDDOWN((AM5/60)*27/31,-2))</f>
        <v/>
      </c>
      <c r="Z6" s="594">
        <f>SUM(W6:Y6)</f>
        <v/>
      </c>
      <c r="AB6" s="591">
        <f>-(ROUNDDOWN((($S$2-AM7)/60)*27/31,-2)-ROUNDDOWN(($S$5/60)*27/31,-2)-ROUNDDOWN(($S$6/60)*27/31,-2))</f>
        <v/>
      </c>
      <c r="AJ6" s="2" t="n"/>
      <c r="AK6" s="2" t="inlineStr">
        <is>
          <t>보증연장</t>
        </is>
      </c>
      <c r="AL6" s="506">
        <f>AM6*1.1</f>
        <v/>
      </c>
      <c r="AM6" s="598">
        <f>900*60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inlineStr">
        <is>
          <t>* 구독료 일할로직 변경시, 1회차 리스료 산식도 업데이트 필요</t>
        </is>
      </c>
      <c r="O7" s="610" t="n"/>
      <c r="P7" s="2" t="inlineStr">
        <is>
          <t>할인</t>
        </is>
      </c>
      <c r="Q7" s="2" t="n">
        <v>2</v>
      </c>
      <c r="R7" s="506">
        <f>+'[1]리스 상각표 (A+B결합할인)'!AK7</f>
        <v/>
      </c>
      <c r="S7" s="598">
        <f>+'[1]리스 상각표 (A+B결합할인)'!AL7</f>
        <v/>
      </c>
      <c r="V7" s="591">
        <f>V6+1</f>
        <v/>
      </c>
      <c r="W7" s="594">
        <f>Z6</f>
        <v/>
      </c>
      <c r="X7" s="594">
        <f>ROUND(W7*$Z$3,)</f>
        <v/>
      </c>
      <c r="Y7" s="594">
        <f>-$AB$2</f>
        <v/>
      </c>
      <c r="Z7" s="594">
        <f>SUM(W7:Y7)</f>
        <v/>
      </c>
      <c r="AB7" s="666" t="inlineStr">
        <is>
          <t>* 구독료 일할로직 변경시, 1회차 리스료 산식도 업데이트 필요</t>
        </is>
      </c>
      <c r="AI7" s="610" t="n"/>
      <c r="AJ7" s="359" t="inlineStr">
        <is>
          <t>할인</t>
        </is>
      </c>
      <c r="AK7" s="359" t="n">
        <v>2</v>
      </c>
      <c r="AL7" s="669" t="n"/>
      <c r="AM7" s="670" t="n"/>
    </row>
    <row r="8"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O8" s="613" t="n"/>
      <c r="S8" s="591">
        <f>+(S2-S7)/N1</f>
        <v/>
      </c>
      <c r="V8" s="591">
        <f>V7+1</f>
        <v/>
      </c>
      <c r="W8" s="594">
        <f>Z7</f>
        <v/>
      </c>
      <c r="X8" s="594">
        <f>ROUND(W8*$Z$3,)</f>
        <v/>
      </c>
      <c r="Y8" s="594">
        <f>-$AB$2</f>
        <v/>
      </c>
      <c r="Z8" s="594">
        <f>SUM(W8:Y8)</f>
        <v/>
      </c>
      <c r="AI8" s="613" t="n"/>
      <c r="AM8" s="591">
        <f>+AM2/AH1</f>
        <v/>
      </c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V9" s="591">
        <f>V8+1</f>
        <v/>
      </c>
      <c r="W9" s="594">
        <f>Z8</f>
        <v/>
      </c>
      <c r="X9" s="594">
        <f>ROUND(W9*$Z$3,)</f>
        <v/>
      </c>
      <c r="Y9" s="594">
        <f>-$AB$2</f>
        <v/>
      </c>
      <c r="Z9" s="594">
        <f>SUM(W9:Y9)</f>
        <v/>
      </c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V10" s="591">
        <f>V9+1</f>
        <v/>
      </c>
      <c r="W10" s="594">
        <f>Z9</f>
        <v/>
      </c>
      <c r="X10" s="594">
        <f>ROUND(W10*$Z$3,)</f>
        <v/>
      </c>
      <c r="Y10" s="594">
        <f>-$AB$2</f>
        <v/>
      </c>
      <c r="Z10" s="594">
        <f>SUM(W10:Y10)</f>
        <v/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V11" s="591">
        <f>V10+1</f>
        <v/>
      </c>
      <c r="W11" s="594">
        <f>Z10</f>
        <v/>
      </c>
      <c r="X11" s="594">
        <f>ROUND(W11*$Z$3,)</f>
        <v/>
      </c>
      <c r="Y11" s="594">
        <f>-$AB$2</f>
        <v/>
      </c>
      <c r="Z11" s="594">
        <f>SUM(W11:Y11)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V12" s="591">
        <f>V11+1</f>
        <v/>
      </c>
      <c r="W12" s="594">
        <f>Z11</f>
        <v/>
      </c>
      <c r="X12" s="594">
        <f>ROUND(W12*$Z$3,)</f>
        <v/>
      </c>
      <c r="Y12" s="594">
        <f>-$AB$2</f>
        <v/>
      </c>
      <c r="Z12" s="594">
        <f>SUM(W12:Y12)</f>
        <v/>
      </c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V13" s="591">
        <f>V12+1</f>
        <v/>
      </c>
      <c r="W13" s="594">
        <f>Z12</f>
        <v/>
      </c>
      <c r="X13" s="594">
        <f>ROUND(W13*$Z$3,)</f>
        <v/>
      </c>
      <c r="Y13" s="594">
        <f>-$AB$2</f>
        <v/>
      </c>
      <c r="Z13" s="594">
        <f>SUM(W13:Y13)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V14" s="591">
        <f>V13+1</f>
        <v/>
      </c>
      <c r="W14" s="594">
        <f>Z13</f>
        <v/>
      </c>
      <c r="X14" s="594">
        <f>ROUND(W14*$Z$3,)</f>
        <v/>
      </c>
      <c r="Y14" s="594">
        <f>-$AB$2</f>
        <v/>
      </c>
      <c r="Z14" s="594">
        <f>SUM(W14:Y14)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  <c r="V15" s="591">
        <f>V14+1</f>
        <v/>
      </c>
      <c r="W15" s="594">
        <f>Z14</f>
        <v/>
      </c>
      <c r="X15" s="594">
        <f>ROUND(W15*$Z$3,)</f>
        <v/>
      </c>
      <c r="Y15" s="594">
        <f>-$AB$2</f>
        <v/>
      </c>
      <c r="Z15" s="594">
        <f>SUM(W15:Y15)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V16" s="591">
        <f>V15+1</f>
        <v/>
      </c>
      <c r="W16" s="594">
        <f>Z15</f>
        <v/>
      </c>
      <c r="X16" s="594">
        <f>ROUND(W16*$Z$3,)</f>
        <v/>
      </c>
      <c r="Y16" s="594">
        <f>-$AB$2</f>
        <v/>
      </c>
      <c r="Z16" s="594">
        <f>SUM(W16:Y16)</f>
        <v/>
      </c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V17" s="591">
        <f>V16+1</f>
        <v/>
      </c>
      <c r="W17" s="594">
        <f>Z16</f>
        <v/>
      </c>
      <c r="X17" s="594">
        <f>ROUND(W17*$Z$3,)</f>
        <v/>
      </c>
      <c r="Y17" s="594">
        <f>-$AB$2</f>
        <v/>
      </c>
      <c r="Z17" s="594">
        <f>SUM(W17:Y17)</f>
        <v/>
      </c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V18" s="591">
        <f>V17+1</f>
        <v/>
      </c>
      <c r="W18" s="594">
        <f>Z17</f>
        <v/>
      </c>
      <c r="X18" s="594">
        <f>ROUND(W18*$Z$3,)</f>
        <v/>
      </c>
      <c r="Y18" s="594">
        <f>-$AB$2</f>
        <v/>
      </c>
      <c r="Z18" s="594">
        <f>SUM(W18:Y18)</f>
        <v/>
      </c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V19" s="591">
        <f>V18+1</f>
        <v/>
      </c>
      <c r="W19" s="594">
        <f>Z18</f>
        <v/>
      </c>
      <c r="X19" s="594">
        <f>ROUND(W19*$Z$3,)</f>
        <v/>
      </c>
      <c r="Y19" s="594">
        <f>-$AB$2</f>
        <v/>
      </c>
      <c r="Z19" s="594">
        <f>SUM(W19:Y19)</f>
        <v/>
      </c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V20" s="591">
        <f>V19+1</f>
        <v/>
      </c>
      <c r="W20" s="594">
        <f>Z19</f>
        <v/>
      </c>
      <c r="X20" s="594">
        <f>ROUND(W20*$Z$3,)</f>
        <v/>
      </c>
      <c r="Y20" s="594">
        <f>-$AB$2</f>
        <v/>
      </c>
      <c r="Z20" s="594">
        <f>SUM(W20:Y20)</f>
        <v/>
      </c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V21" s="591">
        <f>V20+1</f>
        <v/>
      </c>
      <c r="W21" s="594">
        <f>Z20</f>
        <v/>
      </c>
      <c r="X21" s="594">
        <f>ROUND(W21*$Z$3,)</f>
        <v/>
      </c>
      <c r="Y21" s="594">
        <f>-$AB$2</f>
        <v/>
      </c>
      <c r="Z21" s="594">
        <f>SUM(W21:Y21)</f>
        <v/>
      </c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V22" s="591">
        <f>V21+1</f>
        <v/>
      </c>
      <c r="W22" s="594">
        <f>Z21</f>
        <v/>
      </c>
      <c r="X22" s="594">
        <f>ROUND(W22*$Z$3,)</f>
        <v/>
      </c>
      <c r="Y22" s="594">
        <f>-$AB$2</f>
        <v/>
      </c>
      <c r="Z22" s="594">
        <f>SUM(W22:Y22)</f>
        <v/>
      </c>
    </row>
    <row r="23"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I23" s="591" t="inlineStr">
        <is>
          <t>┌ 정상구독료 원복</t>
        </is>
      </c>
      <c r="V23" s="591">
        <f>V22+1</f>
        <v/>
      </c>
      <c r="W23" s="594">
        <f>Z22</f>
        <v/>
      </c>
      <c r="X23" s="594">
        <f>ROUND(W23*$Z$3,)</f>
        <v/>
      </c>
      <c r="Y23" s="594">
        <f>-$AB$2</f>
        <v/>
      </c>
      <c r="Z23" s="594">
        <f>SUM(W23:Y23)</f>
        <v/>
      </c>
    </row>
    <row r="24"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H24" s="591" t="inlineStr">
        <is>
          <t>잔여 원복 순수구독료</t>
        </is>
      </c>
      <c r="I24" s="591" t="inlineStr">
        <is>
          <t>리스료</t>
        </is>
      </c>
      <c r="J24" s="591" t="inlineStr">
        <is>
          <t>잔여구독기간</t>
        </is>
      </c>
      <c r="K24" s="591" t="inlineStr">
        <is>
          <t>월 이자율</t>
        </is>
      </c>
      <c r="L24" s="591" t="inlineStr">
        <is>
          <t>연 이자율</t>
        </is>
      </c>
      <c r="M24" s="591" t="inlineStr">
        <is>
          <t>이자수익</t>
        </is>
      </c>
      <c r="N24" s="591" t="inlineStr">
        <is>
          <t>검증</t>
        </is>
      </c>
      <c r="V24" s="591">
        <f>V23+1</f>
        <v/>
      </c>
      <c r="W24" s="594">
        <f>Z23</f>
        <v/>
      </c>
      <c r="X24" s="594">
        <f>ROUND(W24*$Z$3,)</f>
        <v/>
      </c>
      <c r="Y24" s="594">
        <f>-$AB$2</f>
        <v/>
      </c>
      <c r="Z24" s="594">
        <f>SUM(W24:Y24)</f>
        <v/>
      </c>
    </row>
    <row r="25"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H25" s="683">
        <f>+W3+SUM(Y6:Y28)</f>
        <v/>
      </c>
      <c r="I25" s="683">
        <f>+(S2-S5-S6)/60</f>
        <v/>
      </c>
      <c r="J25" s="687">
        <f>N1-B28+4/31</f>
        <v/>
      </c>
      <c r="K25" s="353">
        <f>RATE(J25,-I25,H29,0,0)</f>
        <v/>
      </c>
      <c r="L25" s="685">
        <f>K25*12</f>
        <v/>
      </c>
      <c r="M25" s="591">
        <f>H25-F28</f>
        <v/>
      </c>
      <c r="N25" s="591">
        <f>SUM(I29:I66)</f>
        <v/>
      </c>
      <c r="V25" s="591">
        <f>V24+1</f>
        <v/>
      </c>
      <c r="W25" s="594">
        <f>Z24</f>
        <v/>
      </c>
      <c r="X25" s="594">
        <f>ROUND(W25*$Z$3,)</f>
        <v/>
      </c>
      <c r="Y25" s="594">
        <f>-$AB$2</f>
        <v/>
      </c>
      <c r="Z25" s="594">
        <f>SUM(W25:Y25)</f>
        <v/>
      </c>
    </row>
    <row r="26"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H26" s="591">
        <f>+H25-F28</f>
        <v/>
      </c>
      <c r="V26" s="591">
        <f>V25+1</f>
        <v/>
      </c>
      <c r="W26" s="594">
        <f>Z25</f>
        <v/>
      </c>
      <c r="X26" s="594">
        <f>ROUND(W26*$Z$3,)</f>
        <v/>
      </c>
      <c r="Y26" s="594">
        <f>-$AB$2</f>
        <v/>
      </c>
      <c r="Z26" s="594">
        <f>SUM(W26:Y26)</f>
        <v/>
      </c>
    </row>
    <row r="27"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  <c r="V27" s="591">
        <f>V26+1</f>
        <v/>
      </c>
      <c r="W27" s="594">
        <f>Z26</f>
        <v/>
      </c>
      <c r="X27" s="594">
        <f>ROUND(W27*$Z$3,)</f>
        <v/>
      </c>
      <c r="Y27" s="594">
        <f>-$AB$2</f>
        <v/>
      </c>
      <c r="Z27" s="594">
        <f>SUM(W27:Y27)</f>
        <v/>
      </c>
    </row>
    <row r="28" customFormat="1" s="687">
      <c r="B28" s="687">
        <f>B27+1</f>
        <v/>
      </c>
      <c r="C28" s="683">
        <f>F27</f>
        <v/>
      </c>
      <c r="D28" s="683">
        <f>ROUND(C28*$F$3,)</f>
        <v/>
      </c>
      <c r="E28" s="683">
        <f>-$H$2</f>
        <v/>
      </c>
      <c r="F28" s="688">
        <f>SUM(C28:E28)</f>
        <v/>
      </c>
      <c r="H28" s="689" t="inlineStr">
        <is>
          <t>기초</t>
        </is>
      </c>
      <c r="I28" s="689" t="inlineStr">
        <is>
          <t>이자수익</t>
        </is>
      </c>
      <c r="J28" s="689" t="inlineStr">
        <is>
          <t>리스료수령</t>
        </is>
      </c>
      <c r="K28" s="357" t="inlineStr">
        <is>
          <t>기말</t>
        </is>
      </c>
      <c r="V28" s="687">
        <f>V27+1</f>
        <v/>
      </c>
      <c r="W28" s="683">
        <f>Z27</f>
        <v/>
      </c>
      <c r="X28" s="683">
        <f>ROUND(W28*$Z$3,)</f>
        <v/>
      </c>
      <c r="Y28" s="683">
        <f>-$AB$2</f>
        <v/>
      </c>
      <c r="Z28" s="683">
        <f>SUM(W28:Y28)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  <c r="H29" s="609">
        <f>+F28</f>
        <v/>
      </c>
      <c r="I29" s="594">
        <f>ROUND(H29*$K$25,)</f>
        <v/>
      </c>
      <c r="J29" s="594">
        <f>-$I$25</f>
        <v/>
      </c>
      <c r="K29" s="594">
        <f>SUM(H29:J29)</f>
        <v/>
      </c>
      <c r="V29" s="591">
        <f>V28+1</f>
        <v/>
      </c>
      <c r="W29" s="594">
        <f>Z28</f>
        <v/>
      </c>
      <c r="X29" s="594">
        <f>ROUND(W29*$Z$3,)</f>
        <v/>
      </c>
      <c r="Y29" s="594">
        <f>-$AB$2</f>
        <v/>
      </c>
      <c r="Z29" s="594">
        <f>SUM(W29:Y29)</f>
        <v/>
      </c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  <c r="H30" s="594">
        <f>+K29</f>
        <v/>
      </c>
      <c r="I30" s="594">
        <f>ROUND(H30*$K$25,)</f>
        <v/>
      </c>
      <c r="J30" s="594">
        <f>-$I$25</f>
        <v/>
      </c>
      <c r="K30" s="594">
        <f>SUM(H30:J30)</f>
        <v/>
      </c>
      <c r="V30" s="591">
        <f>V29+1</f>
        <v/>
      </c>
      <c r="W30" s="594">
        <f>Z29</f>
        <v/>
      </c>
      <c r="X30" s="594">
        <f>ROUND(W30*$Z$3,)</f>
        <v/>
      </c>
      <c r="Y30" s="594">
        <f>-$AB$2</f>
        <v/>
      </c>
      <c r="Z30" s="594">
        <f>SUM(W30:Y30)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  <c r="H31" s="594">
        <f>+K30</f>
        <v/>
      </c>
      <c r="I31" s="594">
        <f>ROUND(H31*$K$25,)</f>
        <v/>
      </c>
      <c r="J31" s="594">
        <f>-$I$25</f>
        <v/>
      </c>
      <c r="K31" s="594">
        <f>SUM(H31:J31)</f>
        <v/>
      </c>
      <c r="V31" s="591">
        <f>V30+1</f>
        <v/>
      </c>
      <c r="W31" s="594">
        <f>Z30</f>
        <v/>
      </c>
      <c r="X31" s="594">
        <f>ROUND(W31*$Z$3,)</f>
        <v/>
      </c>
      <c r="Y31" s="594">
        <f>-$AB$2</f>
        <v/>
      </c>
      <c r="Z31" s="594">
        <f>SUM(W31:Y31)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  <c r="H32" s="594">
        <f>+K31</f>
        <v/>
      </c>
      <c r="I32" s="594">
        <f>ROUND(H32*$K$25,)</f>
        <v/>
      </c>
      <c r="J32" s="594">
        <f>-$I$25</f>
        <v/>
      </c>
      <c r="K32" s="594">
        <f>SUM(H32:J32)</f>
        <v/>
      </c>
      <c r="V32" s="591">
        <f>V31+1</f>
        <v/>
      </c>
      <c r="W32" s="594">
        <f>Z31</f>
        <v/>
      </c>
      <c r="X32" s="594">
        <f>ROUND(W32*$Z$3,)</f>
        <v/>
      </c>
      <c r="Y32" s="594">
        <f>-$AB$2</f>
        <v/>
      </c>
      <c r="Z32" s="594">
        <f>SUM(W32:Y32)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  <c r="H33" s="594">
        <f>+K32</f>
        <v/>
      </c>
      <c r="I33" s="594">
        <f>ROUND(H33*$K$25,)</f>
        <v/>
      </c>
      <c r="J33" s="594">
        <f>-$I$25</f>
        <v/>
      </c>
      <c r="K33" s="594">
        <f>SUM(H33:J33)</f>
        <v/>
      </c>
      <c r="V33" s="591">
        <f>V32+1</f>
        <v/>
      </c>
      <c r="W33" s="594">
        <f>Z32</f>
        <v/>
      </c>
      <c r="X33" s="594">
        <f>ROUND(W33*$Z$3,)</f>
        <v/>
      </c>
      <c r="Y33" s="594">
        <f>-$AB$2</f>
        <v/>
      </c>
      <c r="Z33" s="594">
        <f>SUM(W33:Y33)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  <c r="H34" s="594">
        <f>+K33</f>
        <v/>
      </c>
      <c r="I34" s="594">
        <f>ROUND(H34*$K$25,)</f>
        <v/>
      </c>
      <c r="J34" s="594">
        <f>-$I$25</f>
        <v/>
      </c>
      <c r="K34" s="594">
        <f>SUM(H34:J34)</f>
        <v/>
      </c>
      <c r="V34" s="591">
        <f>V33+1</f>
        <v/>
      </c>
      <c r="W34" s="594">
        <f>Z33</f>
        <v/>
      </c>
      <c r="X34" s="594">
        <f>ROUND(W34*$Z$3,)</f>
        <v/>
      </c>
      <c r="Y34" s="594">
        <f>-$AB$2</f>
        <v/>
      </c>
      <c r="Z34" s="594">
        <f>SUM(W34:Y34)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  <c r="H35" s="594">
        <f>+K34</f>
        <v/>
      </c>
      <c r="I35" s="594">
        <f>ROUND(H35*$K$25,)</f>
        <v/>
      </c>
      <c r="J35" s="594">
        <f>-$I$25</f>
        <v/>
      </c>
      <c r="K35" s="594">
        <f>SUM(H35:J35)</f>
        <v/>
      </c>
      <c r="V35" s="591">
        <f>V34+1</f>
        <v/>
      </c>
      <c r="W35" s="594">
        <f>Z34</f>
        <v/>
      </c>
      <c r="X35" s="594">
        <f>ROUND(W35*$Z$3,)</f>
        <v/>
      </c>
      <c r="Y35" s="594">
        <f>-$AB$2</f>
        <v/>
      </c>
      <c r="Z35" s="594">
        <f>SUM(W35:Y35)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  <c r="H36" s="594">
        <f>+K35</f>
        <v/>
      </c>
      <c r="I36" s="594">
        <f>ROUND(H36*$K$25,)</f>
        <v/>
      </c>
      <c r="J36" s="594">
        <f>-$I$25</f>
        <v/>
      </c>
      <c r="K36" s="594">
        <f>SUM(H36:J36)</f>
        <v/>
      </c>
      <c r="V36" s="591">
        <f>V35+1</f>
        <v/>
      </c>
      <c r="W36" s="594">
        <f>Z35</f>
        <v/>
      </c>
      <c r="X36" s="594">
        <f>ROUND(W36*$Z$3,)</f>
        <v/>
      </c>
      <c r="Y36" s="594">
        <f>-$AB$2</f>
        <v/>
      </c>
      <c r="Z36" s="594">
        <f>SUM(W36:Y36)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  <c r="H37" s="594">
        <f>+K36</f>
        <v/>
      </c>
      <c r="I37" s="594">
        <f>ROUND(H37*$K$25,)</f>
        <v/>
      </c>
      <c r="J37" s="594">
        <f>-$I$25</f>
        <v/>
      </c>
      <c r="K37" s="594">
        <f>SUM(H37:J37)</f>
        <v/>
      </c>
      <c r="V37" s="591">
        <f>V36+1</f>
        <v/>
      </c>
      <c r="W37" s="594">
        <f>Z36</f>
        <v/>
      </c>
      <c r="X37" s="594">
        <f>ROUND(W37*$Z$3,)</f>
        <v/>
      </c>
      <c r="Y37" s="594">
        <f>-$AB$2</f>
        <v/>
      </c>
      <c r="Z37" s="594">
        <f>SUM(W37:Y37)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  <c r="H38" s="594">
        <f>+K37</f>
        <v/>
      </c>
      <c r="I38" s="594">
        <f>ROUND(H38*$K$25,)</f>
        <v/>
      </c>
      <c r="J38" s="594">
        <f>-$I$25</f>
        <v/>
      </c>
      <c r="K38" s="594">
        <f>SUM(H38:J38)</f>
        <v/>
      </c>
      <c r="V38" s="591">
        <f>V37+1</f>
        <v/>
      </c>
      <c r="W38" s="594">
        <f>Z37</f>
        <v/>
      </c>
      <c r="X38" s="594">
        <f>ROUND(W38*$Z$3,)</f>
        <v/>
      </c>
      <c r="Y38" s="594">
        <f>-$AB$2</f>
        <v/>
      </c>
      <c r="Z38" s="594">
        <f>SUM(W38:Y38)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  <c r="H39" s="594">
        <f>+K38</f>
        <v/>
      </c>
      <c r="I39" s="594">
        <f>ROUND(H39*$K$25,)</f>
        <v/>
      </c>
      <c r="J39" s="594">
        <f>-$I$25</f>
        <v/>
      </c>
      <c r="K39" s="594">
        <f>SUM(H39:J39)</f>
        <v/>
      </c>
      <c r="V39" s="591">
        <f>V38+1</f>
        <v/>
      </c>
      <c r="W39" s="594">
        <f>Z38</f>
        <v/>
      </c>
      <c r="X39" s="594">
        <f>ROUND(W39*$Z$3,)</f>
        <v/>
      </c>
      <c r="Y39" s="594">
        <f>-$AB$2</f>
        <v/>
      </c>
      <c r="Z39" s="594">
        <f>SUM(W39:Y39)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  <c r="H40" s="594">
        <f>+K39</f>
        <v/>
      </c>
      <c r="I40" s="594">
        <f>ROUND(H40*$K$25,)</f>
        <v/>
      </c>
      <c r="J40" s="594">
        <f>-$I$25</f>
        <v/>
      </c>
      <c r="K40" s="594">
        <f>SUM(H40:J40)</f>
        <v/>
      </c>
      <c r="V40" s="591">
        <f>V39+1</f>
        <v/>
      </c>
      <c r="W40" s="594">
        <f>Z39</f>
        <v/>
      </c>
      <c r="X40" s="594">
        <f>ROUND(W40*$Z$3,)</f>
        <v/>
      </c>
      <c r="Y40" s="594">
        <f>-$AB$2</f>
        <v/>
      </c>
      <c r="Z40" s="594">
        <f>SUM(W40:Y40)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  <c r="H41" s="594">
        <f>+K40</f>
        <v/>
      </c>
      <c r="I41" s="594">
        <f>ROUND(H41*$K$25,)</f>
        <v/>
      </c>
      <c r="J41" s="594">
        <f>-$I$25</f>
        <v/>
      </c>
      <c r="K41" s="594">
        <f>SUM(H41:J41)</f>
        <v/>
      </c>
      <c r="V41" s="591">
        <f>V40+1</f>
        <v/>
      </c>
      <c r="W41" s="594">
        <f>Z40</f>
        <v/>
      </c>
      <c r="X41" s="594">
        <f>ROUND(W41*$Z$3,)</f>
        <v/>
      </c>
      <c r="Y41" s="594">
        <f>-$AB$2</f>
        <v/>
      </c>
      <c r="Z41" s="594">
        <f>SUM(W41:Y41)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  <c r="H42" s="594">
        <f>+K41</f>
        <v/>
      </c>
      <c r="I42" s="594">
        <f>ROUND(H42*$K$25,)</f>
        <v/>
      </c>
      <c r="J42" s="594">
        <f>-$I$25</f>
        <v/>
      </c>
      <c r="K42" s="594">
        <f>SUM(H42:J42)</f>
        <v/>
      </c>
      <c r="V42" s="591">
        <f>V41+1</f>
        <v/>
      </c>
      <c r="W42" s="594">
        <f>Z41</f>
        <v/>
      </c>
      <c r="X42" s="594">
        <f>ROUND(W42*$Z$3,)</f>
        <v/>
      </c>
      <c r="Y42" s="594">
        <f>-$AB$2</f>
        <v/>
      </c>
      <c r="Z42" s="594">
        <f>SUM(W42:Y42)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  <c r="H43" s="594">
        <f>+K42</f>
        <v/>
      </c>
      <c r="I43" s="594">
        <f>ROUND(H43*$K$25,)</f>
        <v/>
      </c>
      <c r="J43" s="594">
        <f>-$I$25</f>
        <v/>
      </c>
      <c r="K43" s="594">
        <f>SUM(H43:J43)</f>
        <v/>
      </c>
      <c r="V43" s="591">
        <f>V42+1</f>
        <v/>
      </c>
      <c r="W43" s="594">
        <f>Z42</f>
        <v/>
      </c>
      <c r="X43" s="594">
        <f>ROUND(W43*$Z$3,)</f>
        <v/>
      </c>
      <c r="Y43" s="594">
        <f>-$AB$2</f>
        <v/>
      </c>
      <c r="Z43" s="594">
        <f>SUM(W43:Y43)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  <c r="H44" s="594">
        <f>+K43</f>
        <v/>
      </c>
      <c r="I44" s="594">
        <f>ROUND(H44*$K$25,)</f>
        <v/>
      </c>
      <c r="J44" s="594">
        <f>-$I$25</f>
        <v/>
      </c>
      <c r="K44" s="594">
        <f>SUM(H44:J44)</f>
        <v/>
      </c>
      <c r="V44" s="591">
        <f>V43+1</f>
        <v/>
      </c>
      <c r="W44" s="594">
        <f>Z43</f>
        <v/>
      </c>
      <c r="X44" s="594">
        <f>ROUND(W44*$Z$3,)</f>
        <v/>
      </c>
      <c r="Y44" s="594">
        <f>-$AB$2</f>
        <v/>
      </c>
      <c r="Z44" s="594">
        <f>SUM(W44:Y44)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  <c r="H45" s="594">
        <f>+K44</f>
        <v/>
      </c>
      <c r="I45" s="594">
        <f>ROUND(H45*$K$25,)</f>
        <v/>
      </c>
      <c r="J45" s="594">
        <f>-$I$25</f>
        <v/>
      </c>
      <c r="K45" s="594">
        <f>SUM(H45:J45)</f>
        <v/>
      </c>
      <c r="V45" s="591">
        <f>V44+1</f>
        <v/>
      </c>
      <c r="W45" s="594">
        <f>Z44</f>
        <v/>
      </c>
      <c r="X45" s="594">
        <f>ROUND(W45*$Z$3,)</f>
        <v/>
      </c>
      <c r="Y45" s="594">
        <f>-$AB$2</f>
        <v/>
      </c>
      <c r="Z45" s="594">
        <f>SUM(W45:Y45)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  <c r="H46" s="594">
        <f>+K45</f>
        <v/>
      </c>
      <c r="I46" s="594">
        <f>ROUND(H46*$K$25,)</f>
        <v/>
      </c>
      <c r="J46" s="594">
        <f>-$I$25</f>
        <v/>
      </c>
      <c r="K46" s="594">
        <f>SUM(H46:J46)</f>
        <v/>
      </c>
      <c r="V46" s="591">
        <f>V45+1</f>
        <v/>
      </c>
      <c r="W46" s="594">
        <f>Z45</f>
        <v/>
      </c>
      <c r="X46" s="594">
        <f>ROUND(W46*$Z$3,)</f>
        <v/>
      </c>
      <c r="Y46" s="594">
        <f>-$AB$2</f>
        <v/>
      </c>
      <c r="Z46" s="594">
        <f>SUM(W46:Y46)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  <c r="H47" s="594">
        <f>+K46</f>
        <v/>
      </c>
      <c r="I47" s="594">
        <f>ROUND(H47*$K$25,)</f>
        <v/>
      </c>
      <c r="J47" s="594">
        <f>-$I$25</f>
        <v/>
      </c>
      <c r="K47" s="594">
        <f>SUM(H47:J47)</f>
        <v/>
      </c>
      <c r="V47" s="591">
        <f>V46+1</f>
        <v/>
      </c>
      <c r="W47" s="594">
        <f>Z46</f>
        <v/>
      </c>
      <c r="X47" s="594">
        <f>ROUND(W47*$Z$3,)</f>
        <v/>
      </c>
      <c r="Y47" s="594">
        <f>-$AB$2</f>
        <v/>
      </c>
      <c r="Z47" s="594">
        <f>SUM(W47:Y47)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  <c r="H48" s="594">
        <f>+K47</f>
        <v/>
      </c>
      <c r="I48" s="594">
        <f>ROUND(H48*$K$25,)</f>
        <v/>
      </c>
      <c r="J48" s="594">
        <f>-$I$25</f>
        <v/>
      </c>
      <c r="K48" s="594">
        <f>SUM(H48:J48)</f>
        <v/>
      </c>
      <c r="V48" s="591">
        <f>V47+1</f>
        <v/>
      </c>
      <c r="W48" s="594">
        <f>Z47</f>
        <v/>
      </c>
      <c r="X48" s="594">
        <f>ROUND(W48*$Z$3,)</f>
        <v/>
      </c>
      <c r="Y48" s="594">
        <f>-$AB$2</f>
        <v/>
      </c>
      <c r="Z48" s="594">
        <f>SUM(W48:Y48)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  <c r="H49" s="594">
        <f>+K48</f>
        <v/>
      </c>
      <c r="I49" s="594">
        <f>ROUND(H49*$K$25,)</f>
        <v/>
      </c>
      <c r="J49" s="594">
        <f>-$I$25</f>
        <v/>
      </c>
      <c r="K49" s="594">
        <f>SUM(H49:J49)</f>
        <v/>
      </c>
      <c r="V49" s="591">
        <f>V48+1</f>
        <v/>
      </c>
      <c r="W49" s="594">
        <f>Z48</f>
        <v/>
      </c>
      <c r="X49" s="594">
        <f>ROUND(W49*$Z$3,)</f>
        <v/>
      </c>
      <c r="Y49" s="594">
        <f>-$AB$2</f>
        <v/>
      </c>
      <c r="Z49" s="594">
        <f>SUM(W49:Y49)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  <c r="H50" s="594">
        <f>+K49</f>
        <v/>
      </c>
      <c r="I50" s="594">
        <f>ROUND(H50*$K$25,)</f>
        <v/>
      </c>
      <c r="J50" s="594">
        <f>-$I$25</f>
        <v/>
      </c>
      <c r="K50" s="594">
        <f>SUM(H50:J50)</f>
        <v/>
      </c>
      <c r="V50" s="591">
        <f>V49+1</f>
        <v/>
      </c>
      <c r="W50" s="594">
        <f>Z49</f>
        <v/>
      </c>
      <c r="X50" s="594">
        <f>ROUND(W50*$Z$3,)</f>
        <v/>
      </c>
      <c r="Y50" s="594">
        <f>-$AB$2</f>
        <v/>
      </c>
      <c r="Z50" s="594">
        <f>SUM(W50:Y50)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  <c r="H51" s="594">
        <f>+K50</f>
        <v/>
      </c>
      <c r="I51" s="594">
        <f>ROUND(H51*$K$25,)</f>
        <v/>
      </c>
      <c r="J51" s="594">
        <f>-$I$25</f>
        <v/>
      </c>
      <c r="K51" s="594">
        <f>SUM(H51:J51)</f>
        <v/>
      </c>
      <c r="V51" s="591">
        <f>V50+1</f>
        <v/>
      </c>
      <c r="W51" s="594">
        <f>Z50</f>
        <v/>
      </c>
      <c r="X51" s="594">
        <f>ROUND(W51*$Z$3,)</f>
        <v/>
      </c>
      <c r="Y51" s="594">
        <f>-$AB$2</f>
        <v/>
      </c>
      <c r="Z51" s="594">
        <f>SUM(W51:Y51)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  <c r="H52" s="594">
        <f>+K51</f>
        <v/>
      </c>
      <c r="I52" s="594">
        <f>ROUND(H52*$K$25,)</f>
        <v/>
      </c>
      <c r="J52" s="594">
        <f>-$I$25</f>
        <v/>
      </c>
      <c r="K52" s="594">
        <f>SUM(H52:J52)</f>
        <v/>
      </c>
      <c r="V52" s="591">
        <f>V51+1</f>
        <v/>
      </c>
      <c r="W52" s="594">
        <f>Z51</f>
        <v/>
      </c>
      <c r="X52" s="594">
        <f>ROUND(W52*$Z$3,)</f>
        <v/>
      </c>
      <c r="Y52" s="594">
        <f>-$AB$2</f>
        <v/>
      </c>
      <c r="Z52" s="594">
        <f>SUM(W52:Y52)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  <c r="H53" s="594">
        <f>+K52</f>
        <v/>
      </c>
      <c r="I53" s="594">
        <f>ROUND(H53*$K$25,)</f>
        <v/>
      </c>
      <c r="J53" s="594">
        <f>-$I$25</f>
        <v/>
      </c>
      <c r="K53" s="594">
        <f>SUM(H53:J53)</f>
        <v/>
      </c>
      <c r="V53" s="591">
        <f>V52+1</f>
        <v/>
      </c>
      <c r="W53" s="594">
        <f>Z52</f>
        <v/>
      </c>
      <c r="X53" s="594">
        <f>ROUND(W53*$Z$3,)</f>
        <v/>
      </c>
      <c r="Y53" s="594">
        <f>-$AB$2</f>
        <v/>
      </c>
      <c r="Z53" s="594">
        <f>SUM(W53:Y53)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  <c r="H54" s="594">
        <f>+K53</f>
        <v/>
      </c>
      <c r="I54" s="594">
        <f>ROUND(H54*$K$25,)</f>
        <v/>
      </c>
      <c r="J54" s="594">
        <f>-$I$25</f>
        <v/>
      </c>
      <c r="K54" s="594">
        <f>SUM(H54:J54)</f>
        <v/>
      </c>
      <c r="V54" s="591">
        <f>V53+1</f>
        <v/>
      </c>
      <c r="W54" s="594">
        <f>Z53</f>
        <v/>
      </c>
      <c r="X54" s="594">
        <f>ROUND(W54*$Z$3,)</f>
        <v/>
      </c>
      <c r="Y54" s="594">
        <f>-$AB$2</f>
        <v/>
      </c>
      <c r="Z54" s="594">
        <f>SUM(W54:Y54)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  <c r="H55" s="594">
        <f>+K54</f>
        <v/>
      </c>
      <c r="I55" s="594">
        <f>ROUND(H55*$K$25,)</f>
        <v/>
      </c>
      <c r="J55" s="594">
        <f>-$I$25</f>
        <v/>
      </c>
      <c r="K55" s="594">
        <f>SUM(H55:J55)</f>
        <v/>
      </c>
      <c r="V55" s="591">
        <f>V54+1</f>
        <v/>
      </c>
      <c r="W55" s="594">
        <f>Z54</f>
        <v/>
      </c>
      <c r="X55" s="594">
        <f>ROUND(W55*$Z$3,)</f>
        <v/>
      </c>
      <c r="Y55" s="594">
        <f>-$AB$2</f>
        <v/>
      </c>
      <c r="Z55" s="594">
        <f>SUM(W55:Y55)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  <c r="H56" s="594">
        <f>+K55</f>
        <v/>
      </c>
      <c r="I56" s="594">
        <f>ROUND(H56*$K$25,)</f>
        <v/>
      </c>
      <c r="J56" s="594">
        <f>-$I$25</f>
        <v/>
      </c>
      <c r="K56" s="594">
        <f>SUM(H56:J56)</f>
        <v/>
      </c>
      <c r="V56" s="591">
        <f>V55+1</f>
        <v/>
      </c>
      <c r="W56" s="594">
        <f>Z55</f>
        <v/>
      </c>
      <c r="X56" s="594">
        <f>ROUND(W56*$Z$3,)</f>
        <v/>
      </c>
      <c r="Y56" s="594">
        <f>-$AB$2</f>
        <v/>
      </c>
      <c r="Z56" s="594">
        <f>SUM(W56:Y56)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  <c r="H57" s="594">
        <f>+K56</f>
        <v/>
      </c>
      <c r="I57" s="594">
        <f>ROUND(H57*$K$25,)</f>
        <v/>
      </c>
      <c r="J57" s="594">
        <f>-$I$25</f>
        <v/>
      </c>
      <c r="K57" s="594">
        <f>SUM(H57:J57)</f>
        <v/>
      </c>
      <c r="V57" s="591">
        <f>V56+1</f>
        <v/>
      </c>
      <c r="W57" s="594">
        <f>Z56</f>
        <v/>
      </c>
      <c r="X57" s="594">
        <f>ROUND(W57*$Z$3,)</f>
        <v/>
      </c>
      <c r="Y57" s="594">
        <f>-$AB$2</f>
        <v/>
      </c>
      <c r="Z57" s="594">
        <f>SUM(W57:Y57)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  <c r="H58" s="594">
        <f>+K57</f>
        <v/>
      </c>
      <c r="I58" s="594">
        <f>ROUND(H58*$K$25,)</f>
        <v/>
      </c>
      <c r="J58" s="594">
        <f>-$I$25</f>
        <v/>
      </c>
      <c r="K58" s="594">
        <f>SUM(H58:J58)</f>
        <v/>
      </c>
      <c r="V58" s="591">
        <f>V57+1</f>
        <v/>
      </c>
      <c r="W58" s="594">
        <f>Z57</f>
        <v/>
      </c>
      <c r="X58" s="594">
        <f>ROUND(W58*$Z$3,)</f>
        <v/>
      </c>
      <c r="Y58" s="594">
        <f>-$AB$2</f>
        <v/>
      </c>
      <c r="Z58" s="594">
        <f>SUM(W58:Y58)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  <c r="H59" s="594">
        <f>+K58</f>
        <v/>
      </c>
      <c r="I59" s="594">
        <f>ROUND(H59*$K$25,)</f>
        <v/>
      </c>
      <c r="J59" s="594">
        <f>-$I$25</f>
        <v/>
      </c>
      <c r="K59" s="594">
        <f>SUM(H59:J59)</f>
        <v/>
      </c>
      <c r="V59" s="591">
        <f>V58+1</f>
        <v/>
      </c>
      <c r="W59" s="594">
        <f>Z58</f>
        <v/>
      </c>
      <c r="X59" s="594">
        <f>ROUND(W59*$Z$3,)</f>
        <v/>
      </c>
      <c r="Y59" s="594">
        <f>-$AB$2</f>
        <v/>
      </c>
      <c r="Z59" s="594">
        <f>SUM(W59:Y59)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  <c r="H60" s="594">
        <f>+K59</f>
        <v/>
      </c>
      <c r="I60" s="594">
        <f>ROUND(H60*$K$25,)</f>
        <v/>
      </c>
      <c r="J60" s="594">
        <f>-$I$25</f>
        <v/>
      </c>
      <c r="K60" s="594">
        <f>SUM(H60:J60)</f>
        <v/>
      </c>
      <c r="V60" s="591">
        <f>V59+1</f>
        <v/>
      </c>
      <c r="W60" s="594">
        <f>Z59</f>
        <v/>
      </c>
      <c r="X60" s="594">
        <f>ROUND(W60*$Z$3,)</f>
        <v/>
      </c>
      <c r="Y60" s="594">
        <f>-$AB$2</f>
        <v/>
      </c>
      <c r="Z60" s="594">
        <f>SUM(W60:Y60)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  <c r="H61" s="594">
        <f>+K60</f>
        <v/>
      </c>
      <c r="I61" s="594">
        <f>ROUND(H61*$K$25,)</f>
        <v/>
      </c>
      <c r="J61" s="594">
        <f>-$I$25</f>
        <v/>
      </c>
      <c r="K61" s="594">
        <f>SUM(H61:J61)</f>
        <v/>
      </c>
      <c r="V61" s="591">
        <f>V60+1</f>
        <v/>
      </c>
      <c r="W61" s="594">
        <f>Z60</f>
        <v/>
      </c>
      <c r="X61" s="594">
        <f>ROUND(W61*$Z$3,)</f>
        <v/>
      </c>
      <c r="Y61" s="594">
        <f>-$AB$2</f>
        <v/>
      </c>
      <c r="Z61" s="594">
        <f>SUM(W61:Y61)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  <c r="H62" s="594">
        <f>+K61</f>
        <v/>
      </c>
      <c r="I62" s="594">
        <f>ROUND(H62*$K$25,)</f>
        <v/>
      </c>
      <c r="J62" s="594">
        <f>-$I$25</f>
        <v/>
      </c>
      <c r="K62" s="594">
        <f>SUM(H62:J62)</f>
        <v/>
      </c>
      <c r="V62" s="591">
        <f>V61+1</f>
        <v/>
      </c>
      <c r="W62" s="594">
        <f>Z61</f>
        <v/>
      </c>
      <c r="X62" s="594">
        <f>ROUND(W62*$Z$3,)</f>
        <v/>
      </c>
      <c r="Y62" s="594">
        <f>-$AB$2</f>
        <v/>
      </c>
      <c r="Z62" s="594">
        <f>SUM(W62:Y62)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  <c r="H63" s="594">
        <f>+K62</f>
        <v/>
      </c>
      <c r="I63" s="594">
        <f>ROUND(H63*$K$25,)</f>
        <v/>
      </c>
      <c r="J63" s="594">
        <f>-$I$25</f>
        <v/>
      </c>
      <c r="K63" s="594">
        <f>SUM(H63:J63)</f>
        <v/>
      </c>
      <c r="V63" s="591">
        <f>V62+1</f>
        <v/>
      </c>
      <c r="W63" s="594">
        <f>Z62</f>
        <v/>
      </c>
      <c r="X63" s="594">
        <f>ROUND(W63*$Z$3,)</f>
        <v/>
      </c>
      <c r="Y63" s="594">
        <f>-$AB$2</f>
        <v/>
      </c>
      <c r="Z63" s="594">
        <f>SUM(W63:Y63)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  <c r="H64" s="594">
        <f>+K63</f>
        <v/>
      </c>
      <c r="I64" s="594">
        <f>ROUND(H64*$K$25,)</f>
        <v/>
      </c>
      <c r="J64" s="594">
        <f>-$I$25</f>
        <v/>
      </c>
      <c r="K64" s="594">
        <f>SUM(H64:J64)</f>
        <v/>
      </c>
      <c r="V64" s="591">
        <f>V63+1</f>
        <v/>
      </c>
      <c r="W64" s="594">
        <f>Z63</f>
        <v/>
      </c>
      <c r="X64" s="594">
        <f>ROUND(W64*$Z$3,)</f>
        <v/>
      </c>
      <c r="Y64" s="594">
        <f>-$AB$2</f>
        <v/>
      </c>
      <c r="Z64" s="594">
        <f>SUM(W64:Y64)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  <c r="H65" s="594">
        <f>+K64</f>
        <v/>
      </c>
      <c r="I65" s="662">
        <f>IF(('[1]리스 상각표 (할인전,품목B)'!H2+'[1]리스 상각표 (할인전,품목B)'!E6)-(K64+K64*K25-I25)&lt;0,H26-SUM(I29:I64),ROUND(H65*$K$25,))</f>
        <v/>
      </c>
      <c r="J65" s="594">
        <f>-$I$25</f>
        <v/>
      </c>
      <c r="K65" s="594">
        <f>SUM(H65:J65)</f>
        <v/>
      </c>
      <c r="V65" s="591">
        <f>V64+1</f>
        <v/>
      </c>
      <c r="W65" s="594">
        <f>Z64</f>
        <v/>
      </c>
      <c r="X65" s="662">
        <f>IF((AB2+Y6)-(Z64+Z64*Z3-AB2)&lt;0,X2-SUM(X6:X64),ROUND(W65*$Z$3,))</f>
        <v/>
      </c>
      <c r="Y65" s="594">
        <f>-$AB$2</f>
        <v/>
      </c>
      <c r="Z65" s="594">
        <f>SUM(W65:Y65)</f>
        <v/>
      </c>
    </row>
    <row r="66">
      <c r="B66" s="591" t="n">
        <v>61</v>
      </c>
      <c r="C66" s="594">
        <f>F65</f>
        <v/>
      </c>
      <c r="D66" s="662">
        <f>C66*$F$3-(C66+C66*$F$3+E66)</f>
        <v/>
      </c>
      <c r="E66" s="594">
        <f>-$H$2-E6</f>
        <v/>
      </c>
      <c r="F66" s="594">
        <f>SUM(C66:E66)</f>
        <v/>
      </c>
      <c r="H66" s="594">
        <f>+K65</f>
        <v/>
      </c>
      <c r="I66" s="662">
        <f>H66*$K$25-(H66+H66*$K$25+J66)</f>
        <v/>
      </c>
      <c r="J66" s="594">
        <f>'[1]리스 상각표 (할인전,품목B)'!E66</f>
        <v/>
      </c>
      <c r="K66" s="594">
        <f>SUM(H66:J66)</f>
        <v/>
      </c>
      <c r="V66" s="591" t="n">
        <v>61</v>
      </c>
      <c r="W66" s="594">
        <f>Z65</f>
        <v/>
      </c>
      <c r="X66" s="662">
        <f>W66*$Z$3-(W66+W66*$Z$3+Y66)</f>
        <v/>
      </c>
      <c r="Y66" s="594">
        <f>-$AB$2-Y6</f>
        <v/>
      </c>
      <c r="Z66" s="594">
        <f>SUM(W66:Y66)</f>
        <v/>
      </c>
    </row>
  </sheetData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tabColor rgb="00A6A6A6"/>
    <outlinePr summaryBelow="1" summaryRight="1"/>
    <pageSetUpPr/>
  </sheetPr>
  <dimension ref="A2:X78"/>
  <sheetViews>
    <sheetView showGridLines="0" zoomScale="70" zoomScaleNormal="70" workbookViewId="0">
      <selection activeCell="D55" sqref="D55"/>
    </sheetView>
  </sheetViews>
  <sheetFormatPr baseColWidth="8" defaultRowHeight="16.9"/>
  <cols>
    <col width="8" customWidth="1" style="497" min="1" max="1"/>
    <col width="44.375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customWidth="1" style="185" min="6" max="6"/>
    <col width="11.125" customWidth="1" style="185" min="7" max="9"/>
    <col width="13.375" customWidth="1" style="497" min="10" max="11"/>
    <col width="12.125" customWidth="1" style="497" min="12" max="12"/>
    <col width="10.5" customWidth="1" style="497" min="13" max="13"/>
    <col width="12.125" customWidth="1" style="497" min="14" max="16"/>
    <col width="10.5" customWidth="1" style="497" min="17" max="17"/>
    <col width="15.875" customWidth="1" style="497" min="18" max="19"/>
    <col width="11.6875" bestFit="1" customWidth="1" style="497" min="20" max="20"/>
    <col width="10.1875" bestFit="1" customWidth="1" style="497" min="21" max="21"/>
    <col width="25.625" bestFit="1" customWidth="1" style="497" min="23" max="23"/>
    <col width="12.125" bestFit="1" customWidth="1" style="497" min="24" max="24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선납+선납할인+단품+결합할인 시 (v-)</t>
        </is>
      </c>
      <c r="S3" s="76" t="n"/>
      <c r="T3" s="76" t="n"/>
      <c r="U3" s="76" t="n"/>
      <c r="W3" s="9" t="inlineStr">
        <is>
          <t>고객노출 기본 구독료 (v+)</t>
        </is>
      </c>
      <c r="X3" s="506">
        <f>C15*1.1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W4" s="9" t="inlineStr">
        <is>
          <t>선납금 월할(v+)</t>
        </is>
      </c>
      <c r="X4" s="506">
        <f>C22*1.1/C7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08">
        <f>ROUNDDOWN(($C$34/$C$7)*(H5-G5+1)/DAY(H5),-2)</f>
        <v/>
      </c>
      <c r="O5" s="509">
        <f>N5-P5-Q5</f>
        <v/>
      </c>
      <c r="P5" s="512">
        <f>L5</f>
        <v/>
      </c>
      <c r="Q5" s="513">
        <f>M5</f>
        <v/>
      </c>
      <c r="R5" s="508">
        <f>ROUNDDOWN(($C$58/$C$7)*($H5-$G5+1)/DAY($H5),-2)</f>
        <v/>
      </c>
      <c r="S5" s="509">
        <f>R5-T5-U5</f>
        <v/>
      </c>
      <c r="T5" s="512">
        <f>P5</f>
        <v/>
      </c>
      <c r="U5" s="513">
        <f>Q5</f>
        <v/>
      </c>
      <c r="W5" s="9" t="inlineStr">
        <is>
          <t>선납할인금 월할 (v+)</t>
        </is>
      </c>
      <c r="X5" s="506">
        <f>C31*1.1/C7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$C$33</f>
        <v/>
      </c>
      <c r="O6" s="516">
        <f>N6-P6-Q6</f>
        <v/>
      </c>
      <c r="P6" s="500">
        <f>L6</f>
        <v/>
      </c>
      <c r="Q6" s="519">
        <f>M6</f>
        <v/>
      </c>
      <c r="R6" s="515">
        <f>$C$57</f>
        <v/>
      </c>
      <c r="S6" s="516">
        <f>R6-T6-U6</f>
        <v/>
      </c>
      <c r="T6" s="500">
        <f>P6</f>
        <v/>
      </c>
      <c r="U6" s="519">
        <f>Q6</f>
        <v/>
      </c>
      <c r="W6" s="9" t="inlineStr">
        <is>
          <t>단품할인금 월할 (v+)</t>
        </is>
      </c>
      <c r="X6" s="524">
        <f>+C41*1.1/C7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$C$33</f>
        <v/>
      </c>
      <c r="O7" s="516">
        <f>N7-P7-Q7</f>
        <v/>
      </c>
      <c r="P7" s="500">
        <f>L7</f>
        <v/>
      </c>
      <c r="Q7" s="519">
        <f>M7</f>
        <v/>
      </c>
      <c r="R7" s="515">
        <f>$C$57</f>
        <v/>
      </c>
      <c r="S7" s="516">
        <f>R7-T7-U7</f>
        <v/>
      </c>
      <c r="T7" s="500">
        <f>P7</f>
        <v/>
      </c>
      <c r="U7" s="519">
        <f>Q7</f>
        <v/>
      </c>
      <c r="W7" s="9" t="inlineStr">
        <is>
          <t>선납시 최종 납부금 (v+)</t>
        </is>
      </c>
      <c r="X7" s="527">
        <f>X3-X4-X5-X6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$C$33</f>
        <v/>
      </c>
      <c r="O8" s="516">
        <f>N8-P8-Q8</f>
        <v/>
      </c>
      <c r="P8" s="500">
        <f>L8</f>
        <v/>
      </c>
      <c r="Q8" s="519">
        <f>M8</f>
        <v/>
      </c>
      <c r="R8" s="515">
        <f>$C$57</f>
        <v/>
      </c>
      <c r="S8" s="516">
        <f>R8-T8-U8</f>
        <v/>
      </c>
      <c r="T8" s="500">
        <f>P8</f>
        <v/>
      </c>
      <c r="U8" s="519">
        <f>Q8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$C$33</f>
        <v/>
      </c>
      <c r="O9" s="516">
        <f>N9-P9-Q9</f>
        <v/>
      </c>
      <c r="P9" s="500">
        <f>L9</f>
        <v/>
      </c>
      <c r="Q9" s="519">
        <f>M9</f>
        <v/>
      </c>
      <c r="R9" s="515">
        <f>$C$57</f>
        <v/>
      </c>
      <c r="S9" s="516">
        <f>R9-T9-U9</f>
        <v/>
      </c>
      <c r="T9" s="500">
        <f>P9</f>
        <v/>
      </c>
      <c r="U9" s="519">
        <f>Q9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$C$33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$C$57</f>
        <v/>
      </c>
      <c r="S10" s="516">
        <f>R10-T10-U10</f>
        <v/>
      </c>
      <c r="T10" s="500">
        <f>P10</f>
        <v/>
      </c>
      <c r="U10" s="519">
        <f>Q10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$C$33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$C$57</f>
        <v/>
      </c>
      <c r="S11" s="516">
        <f>R11-T11-U11</f>
        <v/>
      </c>
      <c r="T11" s="500">
        <f>P11</f>
        <v/>
      </c>
      <c r="U11" s="519">
        <f>Q11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$C$33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$C$57</f>
        <v/>
      </c>
      <c r="S12" s="516">
        <f>R12-T12-U12</f>
        <v/>
      </c>
      <c r="T12" s="500">
        <f>P12</f>
        <v/>
      </c>
      <c r="U12" s="519">
        <f>Q12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$C$33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$C$57</f>
        <v/>
      </c>
      <c r="S13" s="516">
        <f>R13-T13-U13</f>
        <v/>
      </c>
      <c r="T13" s="500">
        <f>P13</f>
        <v/>
      </c>
      <c r="U13" s="519">
        <f>Q13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$C$33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$C$57</f>
        <v/>
      </c>
      <c r="S14" s="516">
        <f>R14-T14-U14</f>
        <v/>
      </c>
      <c r="T14" s="500">
        <f>P14</f>
        <v/>
      </c>
      <c r="U14" s="519">
        <f>Q14</f>
        <v/>
      </c>
    </row>
    <row r="15">
      <c r="B15" s="9" t="inlineStr">
        <is>
          <t>월구독료(v-)</t>
        </is>
      </c>
      <c r="C15" s="526" t="n">
        <v>163300</v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$C$33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$C$57</f>
        <v/>
      </c>
      <c r="S15" s="516">
        <f>R15-T15-U15</f>
        <v/>
      </c>
      <c r="T15" s="500">
        <f>P15</f>
        <v/>
      </c>
      <c r="U15" s="519">
        <f>Q15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$C$33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$C$57</f>
        <v/>
      </c>
      <c r="S16" s="516">
        <f>R16-T16-U16</f>
        <v/>
      </c>
      <c r="T16" s="500">
        <f>P16</f>
        <v/>
      </c>
      <c r="U16" s="519">
        <f>Q16</f>
        <v/>
      </c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$C$33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$C$57</f>
        <v/>
      </c>
      <c r="S17" s="516">
        <f>R17-T17-U17</f>
        <v/>
      </c>
      <c r="T17" s="500">
        <f>P17</f>
        <v/>
      </c>
      <c r="U17" s="519">
        <f>Q17</f>
        <v/>
      </c>
    </row>
    <row r="18" ht="17.45" customHeight="1" s="497">
      <c r="A18" s="176" t="n"/>
      <c r="B18" s="314" t="inlineStr">
        <is>
          <t>선납금 %</t>
        </is>
      </c>
      <c r="C18" s="349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$C$33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$C$57</f>
        <v/>
      </c>
      <c r="S18" s="516">
        <f>R18-T18-U18</f>
        <v/>
      </c>
      <c r="T18" s="500">
        <f>P18</f>
        <v/>
      </c>
      <c r="U18" s="519">
        <f>Q18</f>
        <v/>
      </c>
    </row>
    <row r="19">
      <c r="A19" s="176" t="n"/>
      <c r="B19" s="9" t="inlineStr">
        <is>
          <t>(계산용) 선납금(V+)</t>
        </is>
      </c>
      <c r="C19" s="506">
        <f>C16*C18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$C$33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$C$57</f>
        <v/>
      </c>
      <c r="S19" s="516">
        <f>R19-T19-U19</f>
        <v/>
      </c>
      <c r="T19" s="500">
        <f>P19</f>
        <v/>
      </c>
      <c r="U19" s="519">
        <f>Q19</f>
        <v/>
      </c>
    </row>
    <row r="20">
      <c r="A20" s="176" t="n"/>
      <c r="B20" s="9" t="inlineStr">
        <is>
          <t>(계산용) 선납금(V-)</t>
        </is>
      </c>
      <c r="C20" s="506">
        <f>+C19/1.1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$C$33</f>
        <v/>
      </c>
      <c r="O20" s="516">
        <f>N20-P20-Q20</f>
        <v/>
      </c>
      <c r="P20" s="500">
        <f>L20</f>
        <v/>
      </c>
      <c r="Q20" s="519">
        <f>M20</f>
        <v/>
      </c>
      <c r="R20" s="515">
        <f>$C$57</f>
        <v/>
      </c>
      <c r="S20" s="516">
        <f>R20-T20-U20</f>
        <v/>
      </c>
      <c r="T20" s="500">
        <f>P20</f>
        <v/>
      </c>
      <c r="U20" s="519">
        <f>Q20</f>
        <v/>
      </c>
    </row>
    <row r="21">
      <c r="A21" s="176" t="n"/>
      <c r="B21" s="9" t="inlineStr">
        <is>
          <t>(계산용) 월 선납금(V-)</t>
        </is>
      </c>
      <c r="C21" s="506">
        <f>+ROUND(C20/C7,-2)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$C$33</f>
        <v/>
      </c>
      <c r="O21" s="516">
        <f>N21-P21-Q21</f>
        <v/>
      </c>
      <c r="P21" s="500">
        <f>L21</f>
        <v/>
      </c>
      <c r="Q21" s="519">
        <f>M21</f>
        <v/>
      </c>
      <c r="R21" s="515">
        <f>$C$57</f>
        <v/>
      </c>
      <c r="S21" s="516">
        <f>R21-T21-U21</f>
        <v/>
      </c>
      <c r="T21" s="500">
        <f>P21</f>
        <v/>
      </c>
      <c r="U21" s="519">
        <f>Q21</f>
        <v/>
      </c>
    </row>
    <row r="22">
      <c r="A22" s="176" t="n"/>
      <c r="B22" s="9" t="inlineStr">
        <is>
          <t>(최종) 선납금 (V-)</t>
        </is>
      </c>
      <c r="C22" s="506">
        <f>+C21*C7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$C$33</f>
        <v/>
      </c>
      <c r="O22" s="516">
        <f>N22-P22-Q22</f>
        <v/>
      </c>
      <c r="P22" s="500">
        <f>L22</f>
        <v/>
      </c>
      <c r="Q22" s="519">
        <f>M22</f>
        <v/>
      </c>
      <c r="R22" s="515">
        <f>$C$57</f>
        <v/>
      </c>
      <c r="S22" s="516">
        <f>R22-T22-U22</f>
        <v/>
      </c>
      <c r="T22" s="500">
        <f>P22</f>
        <v/>
      </c>
      <c r="U22" s="519">
        <f>Q22</f>
        <v/>
      </c>
    </row>
    <row r="23">
      <c r="A23" s="176" t="n"/>
      <c r="B23" s="9" t="inlineStr">
        <is>
          <t>(최종) 월 선납금 (V-)</t>
        </is>
      </c>
      <c r="C23" s="506">
        <f>+C22/C7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$C$33</f>
        <v/>
      </c>
      <c r="O23" s="516">
        <f>N23-P23-Q23</f>
        <v/>
      </c>
      <c r="P23" s="500">
        <f>L23</f>
        <v/>
      </c>
      <c r="Q23" s="519">
        <f>M23</f>
        <v/>
      </c>
      <c r="R23" s="515">
        <f>$C$57</f>
        <v/>
      </c>
      <c r="S23" s="516">
        <f>R23-T23-U23</f>
        <v/>
      </c>
      <c r="T23" s="500">
        <f>P23</f>
        <v/>
      </c>
      <c r="U23" s="519">
        <f>Q23</f>
        <v/>
      </c>
    </row>
    <row r="24">
      <c r="B24" s="9" t="inlineStr">
        <is>
          <t>(최종) 선납금 반영 월 구독료 (V+)</t>
        </is>
      </c>
      <c r="C24" s="506">
        <f>+(C15-C23)*1.1</f>
        <v/>
      </c>
      <c r="D24" s="505">
        <f>C22*1.1=C26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$C$33</f>
        <v/>
      </c>
      <c r="O24" s="516">
        <f>N24-P24-Q24</f>
        <v/>
      </c>
      <c r="P24" s="500">
        <f>L24</f>
        <v/>
      </c>
      <c r="Q24" s="519">
        <f>M24</f>
        <v/>
      </c>
      <c r="R24" s="515">
        <f>$C$57</f>
        <v/>
      </c>
      <c r="S24" s="516">
        <f>R24-T24-U24</f>
        <v/>
      </c>
      <c r="T24" s="500">
        <f>P24</f>
        <v/>
      </c>
      <c r="U24" s="519">
        <f>Q24</f>
        <v/>
      </c>
    </row>
    <row r="25">
      <c r="B25" s="9" t="inlineStr">
        <is>
          <t>(최종) 선납금 반영 총 구독료 (V+)</t>
        </is>
      </c>
      <c r="C25" s="506">
        <f>+C24*C7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$C$33</f>
        <v/>
      </c>
      <c r="O25" s="516">
        <f>N25-P25-Q25</f>
        <v/>
      </c>
      <c r="P25" s="500">
        <f>L25</f>
        <v/>
      </c>
      <c r="Q25" s="519">
        <f>M25</f>
        <v/>
      </c>
      <c r="R25" s="515">
        <f>$C$57</f>
        <v/>
      </c>
      <c r="S25" s="516">
        <f>R25-T25-U25</f>
        <v/>
      </c>
      <c r="T25" s="500">
        <f>P25</f>
        <v/>
      </c>
      <c r="U25" s="519">
        <f>Q25</f>
        <v/>
      </c>
    </row>
    <row r="26" ht="17.25" customHeight="1" s="497" thickBot="1">
      <c r="B26" s="9" t="inlineStr">
        <is>
          <t>(최종) 선납금 (V+)</t>
        </is>
      </c>
      <c r="C26" s="506">
        <f>+C16-C25</f>
        <v/>
      </c>
      <c r="D26" s="348" t="inlineStr">
        <is>
          <t>* 정책별 할인율</t>
        </is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$C$33</f>
        <v/>
      </c>
      <c r="O26" s="516">
        <f>N26-P26-Q26</f>
        <v/>
      </c>
      <c r="P26" s="500">
        <f>L26</f>
        <v/>
      </c>
      <c r="Q26" s="519">
        <f>M26</f>
        <v/>
      </c>
      <c r="R26" s="515">
        <f>$C$57</f>
        <v/>
      </c>
      <c r="S26" s="516">
        <f>R26-T26-U26</f>
        <v/>
      </c>
      <c r="T26" s="500">
        <f>P26</f>
        <v/>
      </c>
      <c r="U26" s="519">
        <f>Q26</f>
        <v/>
      </c>
    </row>
    <row r="27">
      <c r="A27" s="176" t="n"/>
      <c r="B27" s="296" t="inlineStr">
        <is>
          <t>(계산용) 선납 할인금 (V+)</t>
        </is>
      </c>
      <c r="C27" s="528">
        <f>C16*D27</f>
        <v/>
      </c>
      <c r="D27" s="529" t="n">
        <v>0.04</v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$C$33</f>
        <v/>
      </c>
      <c r="O27" s="516">
        <f>N27-P27-Q27</f>
        <v/>
      </c>
      <c r="P27" s="500">
        <f>L27</f>
        <v/>
      </c>
      <c r="Q27" s="519">
        <f>M27</f>
        <v/>
      </c>
      <c r="R27" s="515">
        <f>$C$57</f>
        <v/>
      </c>
      <c r="S27" s="516">
        <f>R27-T27-U27</f>
        <v/>
      </c>
      <c r="T27" s="500">
        <f>P27</f>
        <v/>
      </c>
      <c r="U27" s="519">
        <f>Q27</f>
        <v/>
      </c>
    </row>
    <row r="28">
      <c r="B28" s="298" t="inlineStr">
        <is>
          <t>(계산용) 선납 할인금 (V-)</t>
        </is>
      </c>
      <c r="C28" s="530">
        <f>+C27/1.1</f>
        <v/>
      </c>
      <c r="D28" s="531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$C$33</f>
        <v/>
      </c>
      <c r="O28" s="516">
        <f>N28-P28-Q28</f>
        <v/>
      </c>
      <c r="P28" s="500">
        <f>L28</f>
        <v/>
      </c>
      <c r="Q28" s="519">
        <f>M28</f>
        <v/>
      </c>
      <c r="R28" s="515">
        <f>$C$57</f>
        <v/>
      </c>
      <c r="S28" s="516">
        <f>R28-T28-U28</f>
        <v/>
      </c>
      <c r="T28" s="500">
        <f>P28</f>
        <v/>
      </c>
      <c r="U28" s="519">
        <f>Q28</f>
        <v/>
      </c>
    </row>
    <row r="29">
      <c r="B29" s="298" t="inlineStr">
        <is>
          <t>(계산용) 선납 월할인금 (V-)</t>
        </is>
      </c>
      <c r="C29" s="532">
        <f>+ROUNDUP(C28/C7,-2)</f>
        <v/>
      </c>
      <c r="D29" s="531" t="n"/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$C$33</f>
        <v/>
      </c>
      <c r="O29" s="516">
        <f>N29-P29-Q29</f>
        <v/>
      </c>
      <c r="P29" s="500">
        <f>L29</f>
        <v/>
      </c>
      <c r="Q29" s="519">
        <f>M29</f>
        <v/>
      </c>
      <c r="R29" s="515">
        <f>$C$57</f>
        <v/>
      </c>
      <c r="S29" s="516">
        <f>R29-T29-U29</f>
        <v/>
      </c>
      <c r="T29" s="500">
        <f>P29</f>
        <v/>
      </c>
      <c r="U29" s="519">
        <f>Q29</f>
        <v/>
      </c>
    </row>
    <row r="30" ht="17.25" customHeight="1" s="497" thickBot="1">
      <c r="B30" s="301" t="inlineStr">
        <is>
          <t>(계산용) 선납 월할인금 (V+)</t>
        </is>
      </c>
      <c r="C30" s="533">
        <f>+C29*1.1</f>
        <v/>
      </c>
      <c r="D30" s="534" t="n"/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$C$33</f>
        <v/>
      </c>
      <c r="O30" s="516">
        <f>N30-P30-Q30</f>
        <v/>
      </c>
      <c r="P30" s="500">
        <f>L30</f>
        <v/>
      </c>
      <c r="Q30" s="519">
        <f>M30</f>
        <v/>
      </c>
      <c r="R30" s="515">
        <f>$C$57</f>
        <v/>
      </c>
      <c r="S30" s="516">
        <f>R30-T30-U30</f>
        <v/>
      </c>
      <c r="T30" s="500">
        <f>P30</f>
        <v/>
      </c>
      <c r="U30" s="519">
        <f>Q30</f>
        <v/>
      </c>
    </row>
    <row r="31">
      <c r="B31" s="265" t="inlineStr">
        <is>
          <t>(최종) 선납 할인금 (V-)</t>
        </is>
      </c>
      <c r="C31" s="506">
        <f>+C29*C7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$C$33</f>
        <v/>
      </c>
      <c r="O31" s="516">
        <f>N31-P31-Q31</f>
        <v/>
      </c>
      <c r="P31" s="500">
        <f>L31</f>
        <v/>
      </c>
      <c r="Q31" s="519">
        <f>M31</f>
        <v/>
      </c>
      <c r="R31" s="515">
        <f>$C$57</f>
        <v/>
      </c>
      <c r="S31" s="516">
        <f>R31-T31-U31</f>
        <v/>
      </c>
      <c r="T31" s="500">
        <f>P31</f>
        <v/>
      </c>
      <c r="U31" s="519">
        <f>Q31</f>
        <v/>
      </c>
    </row>
    <row r="32" ht="17.25" customHeight="1" s="497" thickBot="1">
      <c r="B32" s="9" t="inlineStr">
        <is>
          <t>(최종) 선납 할인금 (V+)</t>
        </is>
      </c>
      <c r="C32" s="506">
        <f>+C30*C7</f>
        <v/>
      </c>
      <c r="D32" s="535">
        <f>C31*1.1=C32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$C$33</f>
        <v/>
      </c>
      <c r="O32" s="516">
        <f>N32-P32-Q32</f>
        <v/>
      </c>
      <c r="P32" s="500">
        <f>L32</f>
        <v/>
      </c>
      <c r="Q32" s="519">
        <f>M32</f>
        <v/>
      </c>
      <c r="R32" s="515">
        <f>$C$57</f>
        <v/>
      </c>
      <c r="S32" s="516">
        <f>R32-T32-U32</f>
        <v/>
      </c>
      <c r="T32" s="500">
        <f>P32</f>
        <v/>
      </c>
      <c r="U32" s="519">
        <f>Q32</f>
        <v/>
      </c>
    </row>
    <row r="33">
      <c r="B33" s="293" t="inlineStr">
        <is>
          <t>(최종) 선납금+선납 할인 반영 월 구독료 (V-)</t>
        </is>
      </c>
      <c r="C33" s="536">
        <f>+(C14-C31-C22)/C7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$C$33</f>
        <v/>
      </c>
      <c r="O33" s="516">
        <f>N33-P33-Q33</f>
        <v/>
      </c>
      <c r="P33" s="500">
        <f>L33</f>
        <v/>
      </c>
      <c r="Q33" s="519">
        <f>M33</f>
        <v/>
      </c>
      <c r="R33" s="515">
        <f>$C$57</f>
        <v/>
      </c>
      <c r="S33" s="516">
        <f>R33-T33-U33</f>
        <v/>
      </c>
      <c r="T33" s="500">
        <f>P33</f>
        <v/>
      </c>
      <c r="U33" s="519">
        <f>Q33</f>
        <v/>
      </c>
    </row>
    <row r="34" ht="17.25" customHeight="1" s="497" thickBot="1">
      <c r="B34" s="294" t="inlineStr">
        <is>
          <t>(최종) 선납금+선납 할인 반영 총 구독료 (V-)</t>
        </is>
      </c>
      <c r="C34" s="537">
        <f>C33*C7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$C$33</f>
        <v/>
      </c>
      <c r="O34" s="516">
        <f>N34-P34-Q34</f>
        <v/>
      </c>
      <c r="P34" s="500">
        <f>L34</f>
        <v/>
      </c>
      <c r="Q34" s="519">
        <f>M34</f>
        <v/>
      </c>
      <c r="R34" s="515">
        <f>$C$57</f>
        <v/>
      </c>
      <c r="S34" s="516">
        <f>R34-T34-U34</f>
        <v/>
      </c>
      <c r="T34" s="500">
        <f>P34</f>
        <v/>
      </c>
      <c r="U34" s="519">
        <f>Q34</f>
        <v/>
      </c>
    </row>
    <row r="35">
      <c r="B35" s="295" t="inlineStr">
        <is>
          <t>(최종) 선납금+선납 할인 반영 월 구독료 (V+)</t>
        </is>
      </c>
      <c r="C35" s="538">
        <f>+(C16-C22*1.1-C32)/C7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$C$33</f>
        <v/>
      </c>
      <c r="O35" s="516">
        <f>N35-P35-Q35</f>
        <v/>
      </c>
      <c r="P35" s="500">
        <f>L35</f>
        <v/>
      </c>
      <c r="Q35" s="519">
        <f>M35</f>
        <v/>
      </c>
      <c r="R35" s="515">
        <f>$C$57</f>
        <v/>
      </c>
      <c r="S35" s="516">
        <f>R35-T35-U35</f>
        <v/>
      </c>
      <c r="T35" s="500">
        <f>P35</f>
        <v/>
      </c>
      <c r="U35" s="519">
        <f>Q35</f>
        <v/>
      </c>
    </row>
    <row r="36" ht="17.25" customHeight="1" s="497" thickBot="1">
      <c r="B36" s="294" t="inlineStr">
        <is>
          <t>(최종) 선납금+선납 할인 반영 총 구독료 (V+)</t>
        </is>
      </c>
      <c r="C36" s="537">
        <f>C35*C7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$C$33</f>
        <v/>
      </c>
      <c r="O36" s="516">
        <f>N36-P36-Q36</f>
        <v/>
      </c>
      <c r="P36" s="500">
        <f>L36</f>
        <v/>
      </c>
      <c r="Q36" s="519">
        <f>M36</f>
        <v/>
      </c>
      <c r="R36" s="515">
        <f>$C$57</f>
        <v/>
      </c>
      <c r="S36" s="516">
        <f>R36-T36-U36</f>
        <v/>
      </c>
      <c r="T36" s="500">
        <f>P36</f>
        <v/>
      </c>
      <c r="U36" s="519">
        <f>Q36</f>
        <v/>
      </c>
    </row>
    <row r="37">
      <c r="B37" s="296" t="inlineStr">
        <is>
          <t>(계산용) 단품 할인금 (V+)</t>
        </is>
      </c>
      <c r="C37" s="528">
        <f>C16*D37</f>
        <v/>
      </c>
      <c r="D37" s="540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$C$33</f>
        <v/>
      </c>
      <c r="O37" s="516">
        <f>N37-P37-Q37</f>
        <v/>
      </c>
      <c r="P37" s="500">
        <f>L37</f>
        <v/>
      </c>
      <c r="Q37" s="519">
        <f>M37</f>
        <v/>
      </c>
      <c r="R37" s="515">
        <f>$C$57</f>
        <v/>
      </c>
      <c r="S37" s="516">
        <f>R37-T37-U37</f>
        <v/>
      </c>
      <c r="T37" s="500">
        <f>P37</f>
        <v/>
      </c>
      <c r="U37" s="519">
        <f>Q37</f>
        <v/>
      </c>
    </row>
    <row r="38">
      <c r="B38" s="298" t="inlineStr">
        <is>
          <t>(계산용) 단품 할인금 (V-)</t>
        </is>
      </c>
      <c r="C38" s="530">
        <f>+C37/1.1</f>
        <v/>
      </c>
      <c r="D38" s="531" t="n"/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$C$33</f>
        <v/>
      </c>
      <c r="O38" s="516">
        <f>N38-P38-Q38</f>
        <v/>
      </c>
      <c r="P38" s="500">
        <f>L38</f>
        <v/>
      </c>
      <c r="Q38" s="519">
        <f>M38</f>
        <v/>
      </c>
      <c r="R38" s="515">
        <f>$C$57</f>
        <v/>
      </c>
      <c r="S38" s="516">
        <f>R38-T38-U38</f>
        <v/>
      </c>
      <c r="T38" s="500">
        <f>P38</f>
        <v/>
      </c>
      <c r="U38" s="519">
        <f>Q38</f>
        <v/>
      </c>
    </row>
    <row r="39">
      <c r="B39" s="298" t="inlineStr">
        <is>
          <t>(계산용) 단품 월할인금 (V-)</t>
        </is>
      </c>
      <c r="C39" s="532">
        <f>+ROUNDUP(C38/C7,-2)</f>
        <v/>
      </c>
      <c r="D39" s="531" t="n"/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$C$33</f>
        <v/>
      </c>
      <c r="O39" s="516">
        <f>N39-P39-Q39</f>
        <v/>
      </c>
      <c r="P39" s="500">
        <f>L39</f>
        <v/>
      </c>
      <c r="Q39" s="519">
        <f>M39</f>
        <v/>
      </c>
      <c r="R39" s="515">
        <f>$C$57</f>
        <v/>
      </c>
      <c r="S39" s="516">
        <f>R39-T39-U39</f>
        <v/>
      </c>
      <c r="T39" s="500">
        <f>P39</f>
        <v/>
      </c>
      <c r="U39" s="519">
        <f>Q39</f>
        <v/>
      </c>
    </row>
    <row r="40" ht="17.25" customHeight="1" s="497" thickBot="1">
      <c r="B40" s="301" t="inlineStr">
        <is>
          <t>(계산용) 단품 월할인금 (V+)</t>
        </is>
      </c>
      <c r="C40" s="533">
        <f>+C39*1.1</f>
        <v/>
      </c>
      <c r="D40" s="541" t="n"/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$C$33</f>
        <v/>
      </c>
      <c r="O40" s="516">
        <f>N40-P40-Q40</f>
        <v/>
      </c>
      <c r="P40" s="500">
        <f>L40</f>
        <v/>
      </c>
      <c r="Q40" s="519">
        <f>M40</f>
        <v/>
      </c>
      <c r="R40" s="515">
        <f>$C$57</f>
        <v/>
      </c>
      <c r="S40" s="516">
        <f>R40-T40-U40</f>
        <v/>
      </c>
      <c r="T40" s="500">
        <f>P40</f>
        <v/>
      </c>
      <c r="U40" s="519">
        <f>Q40</f>
        <v/>
      </c>
    </row>
    <row r="41">
      <c r="B41" s="265" t="inlineStr">
        <is>
          <t>(최종) 단품 할인금 (V-)</t>
        </is>
      </c>
      <c r="C41" s="506">
        <f>+C39*C7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$C$33</f>
        <v/>
      </c>
      <c r="O41" s="516">
        <f>N41-P41-Q41</f>
        <v/>
      </c>
      <c r="P41" s="500">
        <f>L41</f>
        <v/>
      </c>
      <c r="Q41" s="519">
        <f>M41</f>
        <v/>
      </c>
      <c r="R41" s="515">
        <f>$C$57</f>
        <v/>
      </c>
      <c r="S41" s="516">
        <f>R41-T41-U41</f>
        <v/>
      </c>
      <c r="T41" s="500">
        <f>P41</f>
        <v/>
      </c>
      <c r="U41" s="519">
        <f>Q41</f>
        <v/>
      </c>
    </row>
    <row r="42" ht="17.25" customHeight="1" s="497" thickBot="1">
      <c r="B42" s="9" t="inlineStr">
        <is>
          <t>(최종) 단품 할인금 (V+)</t>
        </is>
      </c>
      <c r="C42" s="506">
        <f>+C40*C7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$C$33</f>
        <v/>
      </c>
      <c r="O42" s="516">
        <f>N42-P42-Q42</f>
        <v/>
      </c>
      <c r="P42" s="500">
        <f>L42</f>
        <v/>
      </c>
      <c r="Q42" s="519">
        <f>M42</f>
        <v/>
      </c>
      <c r="R42" s="515">
        <f>$C$57</f>
        <v/>
      </c>
      <c r="S42" s="516">
        <f>R42-T42-U42</f>
        <v/>
      </c>
      <c r="T42" s="500">
        <f>P42</f>
        <v/>
      </c>
      <c r="U42" s="519">
        <f>Q42</f>
        <v/>
      </c>
    </row>
    <row r="43">
      <c r="B43" s="293" t="inlineStr">
        <is>
          <t>(최종) 단품 할인 반영 월 구독료 (V-)</t>
        </is>
      </c>
      <c r="C43" s="536">
        <f>+(C14-C41)/C7</f>
        <v/>
      </c>
      <c r="D43" s="343">
        <f>+C15-C39=C43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$C$33</f>
        <v/>
      </c>
      <c r="O43" s="516">
        <f>N43-P43-Q43</f>
        <v/>
      </c>
      <c r="P43" s="500">
        <f>L43</f>
        <v/>
      </c>
      <c r="Q43" s="519">
        <f>M43</f>
        <v/>
      </c>
      <c r="R43" s="515">
        <f>$C$57</f>
        <v/>
      </c>
      <c r="S43" s="516">
        <f>R43-T43-U43</f>
        <v/>
      </c>
      <c r="T43" s="500">
        <f>P43</f>
        <v/>
      </c>
      <c r="U43" s="519">
        <f>Q43</f>
        <v/>
      </c>
    </row>
    <row r="44" ht="17.25" customHeight="1" s="497" thickBot="1">
      <c r="B44" s="294" t="inlineStr">
        <is>
          <t>(최종) 단품 할인 반영 총 구독료 (V-)</t>
        </is>
      </c>
      <c r="C44" s="537">
        <f>C43*C7</f>
        <v/>
      </c>
      <c r="D44" s="343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$C$33</f>
        <v/>
      </c>
      <c r="O44" s="516">
        <f>N44-P44-Q44</f>
        <v/>
      </c>
      <c r="P44" s="500">
        <f>L44</f>
        <v/>
      </c>
      <c r="Q44" s="519">
        <f>M44</f>
        <v/>
      </c>
      <c r="R44" s="515">
        <f>$C$57</f>
        <v/>
      </c>
      <c r="S44" s="516">
        <f>R44-T44-U44</f>
        <v/>
      </c>
      <c r="T44" s="500">
        <f>P44</f>
        <v/>
      </c>
      <c r="U44" s="519">
        <f>Q44</f>
        <v/>
      </c>
    </row>
    <row r="45">
      <c r="B45" s="295" t="inlineStr">
        <is>
          <t>(최종) 단품 할인 반영 월 구독료 (V+)</t>
        </is>
      </c>
      <c r="C45" s="538">
        <f>+C43*1.1</f>
        <v/>
      </c>
      <c r="D45" s="343">
        <f>+C15*1.1-C40=C45</f>
        <v/>
      </c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$C$33</f>
        <v/>
      </c>
      <c r="O45" s="516">
        <f>N45-P45-Q45</f>
        <v/>
      </c>
      <c r="P45" s="500">
        <f>L45</f>
        <v/>
      </c>
      <c r="Q45" s="519">
        <f>M45</f>
        <v/>
      </c>
      <c r="R45" s="515">
        <f>$C$57</f>
        <v/>
      </c>
      <c r="S45" s="516">
        <f>R45-T45-U45</f>
        <v/>
      </c>
      <c r="T45" s="500">
        <f>P45</f>
        <v/>
      </c>
      <c r="U45" s="519">
        <f>Q45</f>
        <v/>
      </c>
    </row>
    <row r="46" ht="17.25" customHeight="1" s="497" thickBot="1">
      <c r="B46" s="294" t="inlineStr">
        <is>
          <t>(최종) 단품 할인 반영 총 구독료 (V+)</t>
        </is>
      </c>
      <c r="C46" s="537">
        <f>+C45*C7</f>
        <v/>
      </c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$C$33</f>
        <v/>
      </c>
      <c r="O46" s="516">
        <f>N46-P46-Q46</f>
        <v/>
      </c>
      <c r="P46" s="500">
        <f>L46</f>
        <v/>
      </c>
      <c r="Q46" s="519">
        <f>M46</f>
        <v/>
      </c>
      <c r="R46" s="515">
        <f>$C$57</f>
        <v/>
      </c>
      <c r="S46" s="516">
        <f>R46-T46-U46</f>
        <v/>
      </c>
      <c r="T46" s="500">
        <f>P46</f>
        <v/>
      </c>
      <c r="U46" s="519">
        <f>Q46</f>
        <v/>
      </c>
    </row>
    <row r="47">
      <c r="B47" s="296" t="inlineStr">
        <is>
          <t>(계산용) 결합 할인금 (V+)</t>
        </is>
      </c>
      <c r="C47" s="528">
        <f>C16*D47</f>
        <v/>
      </c>
      <c r="D47" s="540" t="n">
        <v>0.05</v>
      </c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$C$33</f>
        <v/>
      </c>
      <c r="O47" s="516">
        <f>N47-P47-Q47</f>
        <v/>
      </c>
      <c r="P47" s="500">
        <f>L47</f>
        <v/>
      </c>
      <c r="Q47" s="519">
        <f>M47</f>
        <v/>
      </c>
      <c r="R47" s="515">
        <f>$C$57</f>
        <v/>
      </c>
      <c r="S47" s="516">
        <f>R47-T47-U47</f>
        <v/>
      </c>
      <c r="T47" s="500">
        <f>P47</f>
        <v/>
      </c>
      <c r="U47" s="519">
        <f>Q47</f>
        <v/>
      </c>
    </row>
    <row r="48">
      <c r="B48" s="298" t="inlineStr">
        <is>
          <t>(계산용) 결합 할인금 (V-)</t>
        </is>
      </c>
      <c r="C48" s="530">
        <f>+C47/1.1</f>
        <v/>
      </c>
      <c r="D48" s="531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$C$33</f>
        <v/>
      </c>
      <c r="O48" s="516">
        <f>N48-P48-Q48</f>
        <v/>
      </c>
      <c r="P48" s="500">
        <f>L48</f>
        <v/>
      </c>
      <c r="Q48" s="519">
        <f>M48</f>
        <v/>
      </c>
      <c r="R48" s="515">
        <f>$C$57</f>
        <v/>
      </c>
      <c r="S48" s="516">
        <f>R48-T48-U48</f>
        <v/>
      </c>
      <c r="T48" s="500">
        <f>P48</f>
        <v/>
      </c>
      <c r="U48" s="519">
        <f>Q48</f>
        <v/>
      </c>
    </row>
    <row r="49">
      <c r="B49" s="298" t="inlineStr">
        <is>
          <t>(계산용) 결합 월할인금 (V-)</t>
        </is>
      </c>
      <c r="C49" s="532">
        <f>+ROUNDUP(C48/C7,-2)</f>
        <v/>
      </c>
      <c r="D49" s="531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$C$33</f>
        <v/>
      </c>
      <c r="O49" s="516">
        <f>N49-P49-Q49</f>
        <v/>
      </c>
      <c r="P49" s="500">
        <f>L49</f>
        <v/>
      </c>
      <c r="Q49" s="519">
        <f>M49</f>
        <v/>
      </c>
      <c r="R49" s="515">
        <f>$C$57</f>
        <v/>
      </c>
      <c r="S49" s="516">
        <f>R49-T49-U49</f>
        <v/>
      </c>
      <c r="T49" s="500">
        <f>P49</f>
        <v/>
      </c>
      <c r="U49" s="519">
        <f>Q49</f>
        <v/>
      </c>
    </row>
    <row r="50" ht="17.25" customHeight="1" s="497" thickBot="1">
      <c r="B50" s="301" t="inlineStr">
        <is>
          <t>(계산용) 결합 월할인금 (V+)</t>
        </is>
      </c>
      <c r="C50" s="533">
        <f>+C49*1.1</f>
        <v/>
      </c>
      <c r="D50" s="541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$C$33</f>
        <v/>
      </c>
      <c r="O50" s="516">
        <f>N50-P50-Q50</f>
        <v/>
      </c>
      <c r="P50" s="500">
        <f>L50</f>
        <v/>
      </c>
      <c r="Q50" s="519">
        <f>M50</f>
        <v/>
      </c>
      <c r="R50" s="515">
        <f>$C$57</f>
        <v/>
      </c>
      <c r="S50" s="516">
        <f>R50-T50-U50</f>
        <v/>
      </c>
      <c r="T50" s="500">
        <f>P50</f>
        <v/>
      </c>
      <c r="U50" s="519">
        <f>Q50</f>
        <v/>
      </c>
    </row>
    <row r="51">
      <c r="B51" s="265" t="inlineStr">
        <is>
          <t>(최종) 결합 할인금 (V-)</t>
        </is>
      </c>
      <c r="C51" s="506">
        <f>+C49*C7</f>
        <v/>
      </c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$C$33</f>
        <v/>
      </c>
      <c r="O51" s="516">
        <f>N51-P51-Q51</f>
        <v/>
      </c>
      <c r="P51" s="500">
        <f>L51</f>
        <v/>
      </c>
      <c r="Q51" s="519">
        <f>M51</f>
        <v/>
      </c>
      <c r="R51" s="515">
        <f>$C$57</f>
        <v/>
      </c>
      <c r="S51" s="516">
        <f>R51-T51-U51</f>
        <v/>
      </c>
      <c r="T51" s="500">
        <f>P51</f>
        <v/>
      </c>
      <c r="U51" s="519">
        <f>Q51</f>
        <v/>
      </c>
    </row>
    <row r="52" ht="17.25" customHeight="1" s="497" thickBot="1">
      <c r="B52" s="9" t="inlineStr">
        <is>
          <t>(최종) 결합 할인금 (V+)</t>
        </is>
      </c>
      <c r="C52" s="506">
        <f>+C50*C7</f>
        <v/>
      </c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$C$33</f>
        <v/>
      </c>
      <c r="O52" s="516">
        <f>N52-P52-Q52</f>
        <v/>
      </c>
      <c r="P52" s="500">
        <f>L52</f>
        <v/>
      </c>
      <c r="Q52" s="519">
        <f>M52</f>
        <v/>
      </c>
      <c r="R52" s="515">
        <f>$C$57</f>
        <v/>
      </c>
      <c r="S52" s="516">
        <f>R52-T52-U52</f>
        <v/>
      </c>
      <c r="T52" s="500">
        <f>P52</f>
        <v/>
      </c>
      <c r="U52" s="519">
        <f>Q52</f>
        <v/>
      </c>
    </row>
    <row r="53">
      <c r="B53" s="293" t="inlineStr">
        <is>
          <t>(최종) 결합 할인 반영 월 구독료 (V-)</t>
        </is>
      </c>
      <c r="C53" s="536">
        <f>+(C14-C51)/C7</f>
        <v/>
      </c>
      <c r="D53" s="343">
        <f>+C15-C49=C53</f>
        <v/>
      </c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$C$33</f>
        <v/>
      </c>
      <c r="O53" s="516">
        <f>N53-P53-Q53</f>
        <v/>
      </c>
      <c r="P53" s="500">
        <f>L53</f>
        <v/>
      </c>
      <c r="Q53" s="519">
        <f>M53</f>
        <v/>
      </c>
      <c r="R53" s="515">
        <f>$C$57</f>
        <v/>
      </c>
      <c r="S53" s="516">
        <f>R53-T53-U53</f>
        <v/>
      </c>
      <c r="T53" s="500">
        <f>P53</f>
        <v/>
      </c>
      <c r="U53" s="519">
        <f>Q53</f>
        <v/>
      </c>
    </row>
    <row r="54" ht="17.25" customHeight="1" s="497" thickBot="1">
      <c r="B54" s="294" t="inlineStr">
        <is>
          <t>(최종) 결합 할인 반영 총 구독료 (V-)</t>
        </is>
      </c>
      <c r="C54" s="537">
        <f>C53*C7</f>
        <v/>
      </c>
      <c r="D54" s="343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$C$33</f>
        <v/>
      </c>
      <c r="O54" s="516">
        <f>N54-P54-Q54</f>
        <v/>
      </c>
      <c r="P54" s="500">
        <f>L54</f>
        <v/>
      </c>
      <c r="Q54" s="519">
        <f>M54</f>
        <v/>
      </c>
      <c r="R54" s="515">
        <f>$C$57</f>
        <v/>
      </c>
      <c r="S54" s="516">
        <f>R54-T54-U54</f>
        <v/>
      </c>
      <c r="T54" s="500">
        <f>P54</f>
        <v/>
      </c>
      <c r="U54" s="519">
        <f>Q54</f>
        <v/>
      </c>
    </row>
    <row r="55">
      <c r="B55" s="295" t="inlineStr">
        <is>
          <t>(최종) 결합 할인 반영 월 구독료 (V+)</t>
        </is>
      </c>
      <c r="C55" s="538">
        <f>+C53*1.1</f>
        <v/>
      </c>
      <c r="D55" s="343">
        <f>+C15*1.1-C50=C55</f>
        <v/>
      </c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$C$33</f>
        <v/>
      </c>
      <c r="O55" s="516">
        <f>N55-P55-Q55</f>
        <v/>
      </c>
      <c r="P55" s="500">
        <f>L55</f>
        <v/>
      </c>
      <c r="Q55" s="519">
        <f>M55</f>
        <v/>
      </c>
      <c r="R55" s="515">
        <f>$C$57</f>
        <v/>
      </c>
      <c r="S55" s="516">
        <f>R55-T55-U55</f>
        <v/>
      </c>
      <c r="T55" s="500">
        <f>P55</f>
        <v/>
      </c>
      <c r="U55" s="519">
        <f>Q55</f>
        <v/>
      </c>
    </row>
    <row r="56" ht="17.25" customHeight="1" s="497" thickBot="1">
      <c r="B56" s="294" t="inlineStr">
        <is>
          <t>(최종) 결합 할인 반영 총 구독료 (V+)</t>
        </is>
      </c>
      <c r="C56" s="537">
        <f>+C55*C7</f>
        <v/>
      </c>
      <c r="D56" s="343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$C$33</f>
        <v/>
      </c>
      <c r="O56" s="516">
        <f>N56-P56-Q56</f>
        <v/>
      </c>
      <c r="P56" s="500">
        <f>L56</f>
        <v/>
      </c>
      <c r="Q56" s="519">
        <f>M56</f>
        <v/>
      </c>
      <c r="R56" s="515">
        <f>$C$57</f>
        <v/>
      </c>
      <c r="S56" s="516">
        <f>R56-T56-U56</f>
        <v/>
      </c>
      <c r="T56" s="500">
        <f>P56</f>
        <v/>
      </c>
      <c r="U56" s="519">
        <f>Q56</f>
        <v/>
      </c>
    </row>
    <row r="57">
      <c r="B57" s="320" t="inlineStr">
        <is>
          <t>(최종) 선납+단품+결합 할인 반영 월 구독료 (V-)</t>
        </is>
      </c>
      <c r="C57" s="542">
        <f>+(C14-C26/1.1-C41-C31-C51)/C7</f>
        <v/>
      </c>
      <c r="D57" s="543">
        <f>+C15-C39-C29-C26/1.1/C7-C49=C57</f>
        <v/>
      </c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$C$33</f>
        <v/>
      </c>
      <c r="O57" s="516">
        <f>N57-P57-Q57</f>
        <v/>
      </c>
      <c r="P57" s="500">
        <f>L57</f>
        <v/>
      </c>
      <c r="Q57" s="519">
        <f>M57</f>
        <v/>
      </c>
      <c r="R57" s="515">
        <f>$C$57</f>
        <v/>
      </c>
      <c r="S57" s="516">
        <f>R57-T57-U57</f>
        <v/>
      </c>
      <c r="T57" s="500">
        <f>P57</f>
        <v/>
      </c>
      <c r="U57" s="519">
        <f>Q57</f>
        <v/>
      </c>
    </row>
    <row r="58" ht="17.25" customHeight="1" s="497" thickBot="1">
      <c r="B58" s="322" t="inlineStr">
        <is>
          <t>(최종) 선납+단품+결합 할인 반영 총 구독료 (V-)</t>
        </is>
      </c>
      <c r="C58" s="544">
        <f>+C57*C7</f>
        <v/>
      </c>
      <c r="D58" s="343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$C$33</f>
        <v/>
      </c>
      <c r="O58" s="516">
        <f>N58-P58-Q58</f>
        <v/>
      </c>
      <c r="P58" s="500">
        <f>L58</f>
        <v/>
      </c>
      <c r="Q58" s="519">
        <f>M58</f>
        <v/>
      </c>
      <c r="R58" s="515">
        <f>$C$57</f>
        <v/>
      </c>
      <c r="S58" s="516">
        <f>R58-T58-U58</f>
        <v/>
      </c>
      <c r="T58" s="500">
        <f>P58</f>
        <v/>
      </c>
      <c r="U58" s="519">
        <f>Q58</f>
        <v/>
      </c>
    </row>
    <row r="59">
      <c r="B59" s="324" t="inlineStr">
        <is>
          <t>(최종) 선납+단품+결합 할인 반영 월 구독료 (V+)</t>
        </is>
      </c>
      <c r="C59" s="545">
        <f>+C57*1.1</f>
        <v/>
      </c>
      <c r="D59" s="343">
        <f>+C15*1.1-C30-C40-C26/C7-C50=C59</f>
        <v/>
      </c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$C$33</f>
        <v/>
      </c>
      <c r="O59" s="516">
        <f>N59-P59-Q59</f>
        <v/>
      </c>
      <c r="P59" s="500">
        <f>L59</f>
        <v/>
      </c>
      <c r="Q59" s="519">
        <f>M59</f>
        <v/>
      </c>
      <c r="R59" s="515">
        <f>$C$57</f>
        <v/>
      </c>
      <c r="S59" s="516">
        <f>R59-T59-U59</f>
        <v/>
      </c>
      <c r="T59" s="500">
        <f>P59</f>
        <v/>
      </c>
      <c r="U59" s="519">
        <f>Q59</f>
        <v/>
      </c>
    </row>
    <row r="60" ht="17.25" customHeight="1" s="497" thickBot="1">
      <c r="B60" s="322" t="inlineStr">
        <is>
          <t>(최종) 선납+단품+결합 할인 반영 총 구독료 (V+)</t>
        </is>
      </c>
      <c r="C60" s="544">
        <f>+C59*C7</f>
        <v/>
      </c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$C$33</f>
        <v/>
      </c>
      <c r="O60" s="516">
        <f>N60-P60-Q60</f>
        <v/>
      </c>
      <c r="P60" s="500">
        <f>L60</f>
        <v/>
      </c>
      <c r="Q60" s="519">
        <f>M60</f>
        <v/>
      </c>
      <c r="R60" s="515">
        <f>$C$57</f>
        <v/>
      </c>
      <c r="S60" s="516">
        <f>R60-T60-U60</f>
        <v/>
      </c>
      <c r="T60" s="500">
        <f>P60</f>
        <v/>
      </c>
      <c r="U60" s="519">
        <f>Q60</f>
        <v/>
      </c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$C$33</f>
        <v/>
      </c>
      <c r="O61" s="516">
        <f>N61-P61-Q61</f>
        <v/>
      </c>
      <c r="P61" s="500">
        <f>L61</f>
        <v/>
      </c>
      <c r="Q61" s="519">
        <f>M61</f>
        <v/>
      </c>
      <c r="R61" s="515">
        <f>$C$57</f>
        <v/>
      </c>
      <c r="S61" s="516">
        <f>R61-T61-U61</f>
        <v/>
      </c>
      <c r="T61" s="500">
        <f>P61</f>
        <v/>
      </c>
      <c r="U61" s="519">
        <f>Q61</f>
        <v/>
      </c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$C$33</f>
        <v/>
      </c>
      <c r="O62" s="516">
        <f>N62-P62-Q62</f>
        <v/>
      </c>
      <c r="P62" s="500">
        <f>L62</f>
        <v/>
      </c>
      <c r="Q62" s="519">
        <f>M62</f>
        <v/>
      </c>
      <c r="R62" s="515">
        <f>$C$57</f>
        <v/>
      </c>
      <c r="S62" s="516">
        <f>R62-T62-U62</f>
        <v/>
      </c>
      <c r="T62" s="500">
        <f>P62</f>
        <v/>
      </c>
      <c r="U62" s="519">
        <f>Q62</f>
        <v/>
      </c>
    </row>
    <row r="63">
      <c r="C63" s="505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$C$33</f>
        <v/>
      </c>
      <c r="O63" s="516">
        <f>N63-P63-Q63</f>
        <v/>
      </c>
      <c r="P63" s="500">
        <f>L63</f>
        <v/>
      </c>
      <c r="Q63" s="519">
        <f>M63</f>
        <v/>
      </c>
      <c r="R63" s="515">
        <f>$C$57</f>
        <v/>
      </c>
      <c r="S63" s="516">
        <f>R63-T63-U63</f>
        <v/>
      </c>
      <c r="T63" s="500">
        <f>P63</f>
        <v/>
      </c>
      <c r="U63" s="519">
        <f>Q63</f>
        <v/>
      </c>
    </row>
    <row r="64">
      <c r="B64" s="9" t="inlineStr">
        <is>
          <t>선납+단품+결합 할인 반영 순수 구독료 (V-)</t>
        </is>
      </c>
      <c r="C64" s="506">
        <f>C58-C11-C12</f>
        <v/>
      </c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$C$33</f>
        <v/>
      </c>
      <c r="O64" s="516">
        <f>N64-P64-Q64</f>
        <v/>
      </c>
      <c r="P64" s="500">
        <f>L64</f>
        <v/>
      </c>
      <c r="Q64" s="519">
        <f>M64</f>
        <v/>
      </c>
      <c r="R64" s="515">
        <f>$C$57</f>
        <v/>
      </c>
      <c r="S64" s="516">
        <f>R64-T64-U64</f>
        <v/>
      </c>
      <c r="T64" s="500">
        <f>P64</f>
        <v/>
      </c>
      <c r="U64" s="519">
        <f>Q64</f>
        <v/>
      </c>
    </row>
    <row r="65">
      <c r="B65" s="9" t="inlineStr">
        <is>
          <t>선납+단품+결합 할인 반영 순수 구독료 월할 (V-)</t>
        </is>
      </c>
      <c r="C65" s="506">
        <f>C64/C7</f>
        <v/>
      </c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$C$33</f>
        <v/>
      </c>
      <c r="O65" s="516">
        <f>N65-P65-Q65</f>
        <v/>
      </c>
      <c r="P65" s="500">
        <f>L65</f>
        <v/>
      </c>
      <c r="Q65" s="519">
        <f>M65</f>
        <v/>
      </c>
      <c r="R65" s="515">
        <f>$C$57</f>
        <v/>
      </c>
      <c r="S65" s="516">
        <f>R65-T65-U65</f>
        <v/>
      </c>
      <c r="T65" s="500">
        <f>P65</f>
        <v/>
      </c>
      <c r="U65" s="519">
        <f>Q65</f>
        <v/>
      </c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$C$33</f>
        <v/>
      </c>
      <c r="O66" s="516">
        <f>N66-P66-Q66</f>
        <v/>
      </c>
      <c r="P66" s="500">
        <f>L66</f>
        <v/>
      </c>
      <c r="Q66" s="519">
        <f>M66</f>
        <v/>
      </c>
      <c r="R66" s="515">
        <f>$C$57</f>
        <v/>
      </c>
      <c r="S66" s="516">
        <f>R66-T66-U66</f>
        <v/>
      </c>
      <c r="T66" s="500">
        <f>P66</f>
        <v/>
      </c>
      <c r="U66" s="519">
        <f>Q66</f>
        <v/>
      </c>
    </row>
    <row r="67">
      <c r="C67" s="505">
        <f>(C15*1.1)*5%/1.1</f>
        <v/>
      </c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$C$33</f>
        <v/>
      </c>
      <c r="O67" s="516">
        <f>N67-P67-Q67</f>
        <v/>
      </c>
      <c r="P67" s="500">
        <f>L67</f>
        <v/>
      </c>
      <c r="Q67" s="519">
        <f>M67</f>
        <v/>
      </c>
      <c r="R67" s="515">
        <f>$C$57</f>
        <v/>
      </c>
      <c r="S67" s="516">
        <f>R67-T67-U67</f>
        <v/>
      </c>
      <c r="T67" s="500">
        <f>P67</f>
        <v/>
      </c>
      <c r="U67" s="519">
        <f>Q67</f>
        <v/>
      </c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$C$33</f>
        <v/>
      </c>
      <c r="O68" s="516">
        <f>N68-P68-Q68</f>
        <v/>
      </c>
      <c r="P68" s="500">
        <f>L68</f>
        <v/>
      </c>
      <c r="Q68" s="519">
        <f>M68</f>
        <v/>
      </c>
      <c r="R68" s="515">
        <f>$C$57</f>
        <v/>
      </c>
      <c r="S68" s="516">
        <f>R68-T68-U68</f>
        <v/>
      </c>
      <c r="T68" s="500">
        <f>P68</f>
        <v/>
      </c>
      <c r="U68" s="519">
        <f>Q68</f>
        <v/>
      </c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$C$33</f>
        <v/>
      </c>
      <c r="O69" s="516">
        <f>N69-P69-Q69</f>
        <v/>
      </c>
      <c r="P69" s="500">
        <f>L69</f>
        <v/>
      </c>
      <c r="Q69" s="519">
        <f>M69</f>
        <v/>
      </c>
      <c r="R69" s="515">
        <f>$C$57</f>
        <v/>
      </c>
      <c r="S69" s="516">
        <f>R69-T69-U69</f>
        <v/>
      </c>
      <c r="T69" s="500">
        <f>P69</f>
        <v/>
      </c>
      <c r="U69" s="519">
        <f>Q69</f>
        <v/>
      </c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$C$33</f>
        <v/>
      </c>
      <c r="O70" s="516">
        <f>N70-P70-Q70</f>
        <v/>
      </c>
      <c r="P70" s="500">
        <f>L70</f>
        <v/>
      </c>
      <c r="Q70" s="519">
        <f>M70</f>
        <v/>
      </c>
      <c r="R70" s="515">
        <f>$C$57</f>
        <v/>
      </c>
      <c r="S70" s="516">
        <f>R70-T70-U70</f>
        <v/>
      </c>
      <c r="T70" s="500">
        <f>P70</f>
        <v/>
      </c>
      <c r="U70" s="519">
        <f>Q70</f>
        <v/>
      </c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$C$33</f>
        <v/>
      </c>
      <c r="O71" s="516">
        <f>N71-P71-Q71</f>
        <v/>
      </c>
      <c r="P71" s="500">
        <f>L71</f>
        <v/>
      </c>
      <c r="Q71" s="519">
        <f>M71</f>
        <v/>
      </c>
      <c r="R71" s="515">
        <f>$C$57</f>
        <v/>
      </c>
      <c r="S71" s="516">
        <f>R71-T71-U71</f>
        <v/>
      </c>
      <c r="T71" s="500">
        <f>P71</f>
        <v/>
      </c>
      <c r="U71" s="519">
        <f>Q71</f>
        <v/>
      </c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$C$33</f>
        <v/>
      </c>
      <c r="O72" s="516">
        <f>N72-P72-Q72</f>
        <v/>
      </c>
      <c r="P72" s="500">
        <f>L72</f>
        <v/>
      </c>
      <c r="Q72" s="519">
        <f>M72</f>
        <v/>
      </c>
      <c r="R72" s="515">
        <f>$C$57</f>
        <v/>
      </c>
      <c r="S72" s="516">
        <f>R72-T72-U72</f>
        <v/>
      </c>
      <c r="T72" s="500">
        <f>P72</f>
        <v/>
      </c>
      <c r="U72" s="519">
        <f>Q72</f>
        <v/>
      </c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$C$33</f>
        <v/>
      </c>
      <c r="O73" s="516">
        <f>N73-P73-Q73</f>
        <v/>
      </c>
      <c r="P73" s="500">
        <f>L73</f>
        <v/>
      </c>
      <c r="Q73" s="519">
        <f>M73</f>
        <v/>
      </c>
      <c r="R73" s="515">
        <f>$C$57</f>
        <v/>
      </c>
      <c r="S73" s="516">
        <f>R73-T73-U73</f>
        <v/>
      </c>
      <c r="T73" s="500">
        <f>P73</f>
        <v/>
      </c>
      <c r="U73" s="519">
        <f>Q73</f>
        <v/>
      </c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$C$33</f>
        <v/>
      </c>
      <c r="O74" s="516">
        <f>N74-P74-Q74</f>
        <v/>
      </c>
      <c r="P74" s="500">
        <f>L74</f>
        <v/>
      </c>
      <c r="Q74" s="519">
        <f>M74</f>
        <v/>
      </c>
      <c r="R74" s="515">
        <f>$C$57</f>
        <v/>
      </c>
      <c r="S74" s="516">
        <f>R74-T74-U74</f>
        <v/>
      </c>
      <c r="T74" s="500">
        <f>P74</f>
        <v/>
      </c>
      <c r="U74" s="519">
        <f>Q74</f>
        <v/>
      </c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$C$33</f>
        <v/>
      </c>
      <c r="O75" s="516">
        <f>N75-P75-Q75</f>
        <v/>
      </c>
      <c r="P75" s="500">
        <f>L75</f>
        <v/>
      </c>
      <c r="Q75" s="519">
        <f>M75</f>
        <v/>
      </c>
      <c r="R75" s="515">
        <f>$C$57</f>
        <v/>
      </c>
      <c r="S75" s="516">
        <f>R75-T75-U75</f>
        <v/>
      </c>
      <c r="T75" s="500">
        <f>P75</f>
        <v/>
      </c>
      <c r="U75" s="519">
        <f>Q75</f>
        <v/>
      </c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$C$33</f>
        <v/>
      </c>
      <c r="O76" s="516">
        <f>N76-P76-Q76</f>
        <v/>
      </c>
      <c r="P76" s="500">
        <f>L76</f>
        <v/>
      </c>
      <c r="Q76" s="519">
        <f>M76</f>
        <v/>
      </c>
      <c r="R76" s="515">
        <f>$C$57</f>
        <v/>
      </c>
      <c r="S76" s="516">
        <f>R76-T76-U76</f>
        <v/>
      </c>
      <c r="T76" s="500">
        <f>P76</f>
        <v/>
      </c>
      <c r="U76" s="519">
        <f>Q76</f>
        <v/>
      </c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46">
        <f>$C$33-N5</f>
        <v/>
      </c>
      <c r="O77" s="547">
        <f>N77-P77-Q77</f>
        <v/>
      </c>
      <c r="P77" s="550">
        <f>L77</f>
        <v/>
      </c>
      <c r="Q77" s="551">
        <f>M77</f>
        <v/>
      </c>
      <c r="R77" s="546">
        <f>$C$57-R5</f>
        <v/>
      </c>
      <c r="S77" s="547">
        <f>R77-T77-U77</f>
        <v/>
      </c>
      <c r="T77" s="550">
        <f>P77</f>
        <v/>
      </c>
      <c r="U77" s="551">
        <f>Q77</f>
        <v/>
      </c>
    </row>
    <row r="78">
      <c r="O78" s="500" t="n"/>
      <c r="S78" s="500" t="n"/>
    </row>
  </sheetData>
  <mergeCells count="3">
    <mergeCell ref="D47:D50"/>
    <mergeCell ref="D27:D30"/>
    <mergeCell ref="D37:D40"/>
  </mergeCells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tabColor rgb="00A6A6A6"/>
    <outlinePr summaryBelow="1" summaryRight="1"/>
    <pageSetUpPr/>
  </sheetPr>
  <dimension ref="A1:AD79"/>
  <sheetViews>
    <sheetView showGridLines="0" zoomScale="70" zoomScaleNormal="70" workbookViewId="0">
      <selection activeCell="C51" sqref="C51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hidden="1" width="13.375" customWidth="1" style="224" min="10" max="11"/>
    <col hidden="1" width="12.125" customWidth="1" style="224" min="12" max="12"/>
    <col hidden="1" width="10.5" customWidth="1" style="224" min="13" max="14"/>
    <col hidden="1" width="12.125" customWidth="1" style="224" min="15" max="15"/>
    <col width="20" bestFit="1" customWidth="1" style="497" min="16" max="16"/>
    <col width="13.375" bestFit="1" customWidth="1" style="497" min="17" max="17"/>
    <col width="12.125" bestFit="1" customWidth="1" style="497" min="18" max="18"/>
    <col width="10.5" bestFit="1" customWidth="1" style="497" min="19" max="19"/>
    <col width="10.5" customWidth="1" style="497" min="20" max="20"/>
    <col width="12.125" bestFit="1" customWidth="1" style="497" min="21" max="21"/>
    <col width="20" bestFit="1" customWidth="1" style="497" min="22" max="22"/>
    <col width="12.125" customWidth="1" style="497" min="23" max="24"/>
    <col width="10.5" customWidth="1" style="497" min="25" max="26"/>
    <col width="13.125" customWidth="1" style="497" min="27" max="27"/>
    <col width="25.625" bestFit="1" customWidth="1" style="497" min="29" max="29"/>
    <col width="12.125" bestFit="1" customWidth="1" style="497" min="30" max="30"/>
  </cols>
  <sheetData>
    <row r="1">
      <c r="I1" s="552" t="n"/>
      <c r="J1" s="244" t="n"/>
      <c r="K1" s="245" t="n"/>
      <c r="L1" s="245" t="n"/>
      <c r="M1" s="245" t="n"/>
      <c r="N1" s="245" t="n"/>
      <c r="O1" s="553" t="n"/>
      <c r="P1" s="505">
        <f>P2=C20/1.1</f>
        <v/>
      </c>
      <c r="Q1" s="505" t="n"/>
      <c r="R1" s="505" t="n"/>
      <c r="S1" s="505" t="n"/>
      <c r="T1" s="500" t="n"/>
      <c r="U1" s="505" t="n"/>
      <c r="V1" s="206">
        <f>V2=C68/1.1</f>
        <v/>
      </c>
    </row>
    <row r="2">
      <c r="I2" s="8" t="inlineStr">
        <is>
          <t>SUM =</t>
        </is>
      </c>
      <c r="J2" s="554">
        <f>SUM(J6:J78)</f>
        <v/>
      </c>
      <c r="K2" s="554">
        <f>SUM(K6:K78)</f>
        <v/>
      </c>
      <c r="L2" s="554">
        <f>SUM(L6:L78)</f>
        <v/>
      </c>
      <c r="M2" s="554">
        <f>SUM(M6:M78)</f>
        <v/>
      </c>
      <c r="N2" s="554">
        <f>SUM(N6:N78)</f>
        <v/>
      </c>
      <c r="O2" s="554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V2" s="500">
        <f>SUM(V6:V78)</f>
        <v/>
      </c>
      <c r="W2" s="500">
        <f>SUM(W6:W78)</f>
        <v/>
      </c>
      <c r="X2" s="500">
        <f>SUM(X6:X78)</f>
        <v/>
      </c>
      <c r="Y2" s="500">
        <f>SUM(Y6:Y78)</f>
        <v/>
      </c>
      <c r="Z2" s="500">
        <f>SUM(Z6:Z78)</f>
        <v/>
      </c>
      <c r="AA2" s="500">
        <f>SUM(AA6:AA78)</f>
        <v/>
      </c>
    </row>
    <row r="3">
      <c r="I3" s="8" t="n"/>
      <c r="J3" s="555" t="inlineStr">
        <is>
          <t>기본 (v-)</t>
        </is>
      </c>
      <c r="K3" s="556" t="n"/>
      <c r="L3" s="556" t="n"/>
      <c r="M3" s="557" t="n"/>
      <c r="N3" s="556" t="n"/>
      <c r="O3" s="556" t="n"/>
      <c r="P3" s="501" t="inlineStr">
        <is>
          <t>기본 (v-)</t>
        </is>
      </c>
      <c r="Q3" s="502" t="n"/>
      <c r="R3" s="502" t="n"/>
      <c r="S3" s="503" t="n"/>
      <c r="T3" s="502" t="n"/>
      <c r="U3" s="558" t="inlineStr">
        <is>
          <t>부가세포함</t>
        </is>
      </c>
      <c r="V3" s="75" t="inlineStr">
        <is>
          <t>선납+선납할인+단품+결합할인 시 (v-)</t>
        </is>
      </c>
      <c r="W3" s="76" t="n"/>
      <c r="X3" s="76" t="n"/>
      <c r="Y3" s="76" t="n"/>
      <c r="Z3" s="137" t="n"/>
      <c r="AA3" s="558" t="inlineStr">
        <is>
          <t>부가세포함</t>
        </is>
      </c>
    </row>
    <row r="4">
      <c r="I4" s="8" t="n"/>
      <c r="J4" s="555" t="n"/>
      <c r="K4" s="556" t="n"/>
      <c r="L4" s="556" t="n"/>
      <c r="M4" s="556" t="n"/>
      <c r="N4" s="556" t="n"/>
      <c r="O4" s="556" t="n"/>
      <c r="P4" s="261" t="inlineStr">
        <is>
          <t>파손제외 구독료청구</t>
        </is>
      </c>
      <c r="Q4" s="560" t="n"/>
      <c r="R4" s="560" t="n"/>
      <c r="S4" s="561" t="n"/>
      <c r="T4" s="264" t="inlineStr">
        <is>
          <t>파손</t>
        </is>
      </c>
      <c r="U4" s="264" t="inlineStr">
        <is>
          <t>월청구(v+)</t>
        </is>
      </c>
      <c r="V4" s="261" t="inlineStr">
        <is>
          <t>파손제외 구독료청구</t>
        </is>
      </c>
      <c r="W4" s="560" t="n"/>
      <c r="X4" s="560" t="n"/>
      <c r="Y4" s="561" t="n"/>
      <c r="Z4" s="264" t="inlineStr">
        <is>
          <t>파손</t>
        </is>
      </c>
      <c r="AA4" s="264" t="inlineStr">
        <is>
          <t>월청구(v+)</t>
        </is>
      </c>
      <c r="AC4" s="9" t="inlineStr">
        <is>
          <t>고객노출 기본 구독료 (v+)</t>
        </is>
      </c>
      <c r="AD4" s="506">
        <f>C19</f>
        <v/>
      </c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29" t="inlineStr">
        <is>
          <t>구독료청구</t>
        </is>
      </c>
      <c r="K5" s="230" t="inlineStr">
        <is>
          <t>제품</t>
        </is>
      </c>
      <c r="L5" s="231" t="inlineStr">
        <is>
          <t>케어</t>
        </is>
      </c>
      <c r="M5" s="231" t="inlineStr">
        <is>
          <t>보증</t>
        </is>
      </c>
      <c r="N5" s="232" t="inlineStr">
        <is>
          <t>파손</t>
        </is>
      </c>
      <c r="O5" s="232" t="inlineStr">
        <is>
          <t>월청구(v+)</t>
        </is>
      </c>
      <c r="P5" s="265" t="n"/>
      <c r="Q5" s="26" t="inlineStr">
        <is>
          <t>제품</t>
        </is>
      </c>
      <c r="R5" s="15" t="inlineStr">
        <is>
          <t>케어</t>
        </is>
      </c>
      <c r="S5" s="15" t="inlineStr">
        <is>
          <t>보증</t>
        </is>
      </c>
      <c r="T5" s="265" t="n"/>
      <c r="U5" s="265" t="n"/>
      <c r="V5" s="265" t="n"/>
      <c r="W5" s="26" t="inlineStr">
        <is>
          <t>제품</t>
        </is>
      </c>
      <c r="X5" s="15" t="inlineStr">
        <is>
          <t>케어</t>
        </is>
      </c>
      <c r="Y5" s="15" t="inlineStr">
        <is>
          <t>보증</t>
        </is>
      </c>
      <c r="Z5" s="265" t="n"/>
      <c r="AA5" s="265" t="n"/>
      <c r="AC5" s="9" t="inlineStr">
        <is>
          <t>선납금 월할(v+)</t>
        </is>
      </c>
      <c r="AD5" s="506">
        <f>C26*1.1/C8</f>
        <v/>
      </c>
    </row>
    <row r="6">
      <c r="B6" s="9" t="inlineStr">
        <is>
          <t>모델코드</t>
        </is>
      </c>
      <c r="C6" s="6" t="inlineStr">
        <is>
          <t>SM-X920NZAAKOO</t>
        </is>
      </c>
      <c r="F6" s="28" t="inlineStr">
        <is>
          <t>1회차</t>
        </is>
      </c>
      <c r="G6" s="29" t="n">
        <v>45912</v>
      </c>
      <c r="H6" s="29" t="n">
        <v>45930</v>
      </c>
      <c r="I6" s="30">
        <f>EOMONTH(G6,0)+15</f>
        <v/>
      </c>
      <c r="J6" s="562">
        <f>ROUNDDOWN(($C$16/$C$8)*(H6-G6+1)/DAY(H6),-2)</f>
        <v/>
      </c>
      <c r="K6" s="563">
        <f>J6-L6-M6-N6</f>
        <v/>
      </c>
      <c r="L6" s="564">
        <f>ROUNDDOWN(($C$12/$C$8)*(H6-G6+1)/DAY(H6),-2)</f>
        <v/>
      </c>
      <c r="M6" s="564">
        <f>ROUNDDOWN(($C$13/$C$8)*(H6-G6+1)/DAY(H6),-2)</f>
        <v/>
      </c>
      <c r="N6" s="565">
        <f>ROUNDDOWN(($C$14/$C$8)*(H6-G6+1)/DAY(H6),-2)</f>
        <v/>
      </c>
      <c r="O6" s="566">
        <f>SUM(K6:M6)*1.1+N6</f>
        <v/>
      </c>
      <c r="P6" s="508">
        <f>ROUNDDOWN((($C$20/1.1)/$C$8)*(H6-G6+1)/DAY(H6),-2)</f>
        <v/>
      </c>
      <c r="Q6" s="567">
        <f>P6-R6-S6</f>
        <v/>
      </c>
      <c r="R6" s="568">
        <f>ROUNDDOWN(($C$12/$C$8)*(H6-G6+1)/DAY(H6),-2)</f>
        <v/>
      </c>
      <c r="S6" s="568">
        <f>ROUNDDOWN(($C$13/$C$8)*(H6-G6+1)/DAY(H6),-2)</f>
        <v/>
      </c>
      <c r="T6" s="569">
        <f>ROUNDDOWN(($C$14/$C$8)*(H6-G6+1)/DAY(H6),-2)</f>
        <v/>
      </c>
      <c r="U6" s="511">
        <f>P6*1.1+T6</f>
        <v/>
      </c>
      <c r="V6" s="508">
        <f>ROUNDDOWN(((C68/1.1)/$C$8)*(H6-G6+1)/DAY(H6),-2)</f>
        <v/>
      </c>
      <c r="W6" s="567">
        <f>V6-X6-Y6</f>
        <v/>
      </c>
      <c r="X6" s="568">
        <f>L6</f>
        <v/>
      </c>
      <c r="Y6" s="568">
        <f>M6</f>
        <v/>
      </c>
      <c r="Z6" s="570">
        <f>T6</f>
        <v/>
      </c>
      <c r="AA6" s="511">
        <f>V6*1.1+Z6</f>
        <v/>
      </c>
      <c r="AC6" s="9" t="inlineStr">
        <is>
          <t>선납할인금 월할 (v+)</t>
        </is>
      </c>
      <c r="AD6" s="506">
        <f>C35*1.1/C8</f>
        <v/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62">
        <f>$C$17</f>
        <v/>
      </c>
      <c r="K7" s="571">
        <f>J7-L7-M7-N7</f>
        <v/>
      </c>
      <c r="L7" s="572">
        <f>$C$12/$C$8</f>
        <v/>
      </c>
      <c r="M7" s="572">
        <f>$C$13/$C$8</f>
        <v/>
      </c>
      <c r="N7" s="566">
        <f>$C$14/$C$8</f>
        <v/>
      </c>
      <c r="O7" s="566">
        <f>SUM(K7:M7)*1.1+N7</f>
        <v/>
      </c>
      <c r="P7" s="515">
        <f>($C$20/1.1)/$C$8</f>
        <v/>
      </c>
      <c r="Q7" s="516">
        <f>P7-R7-S7</f>
        <v/>
      </c>
      <c r="R7" s="517">
        <f>$C$12/$C$8</f>
        <v/>
      </c>
      <c r="S7" s="517">
        <f>$C$13/$C$8</f>
        <v/>
      </c>
      <c r="T7" s="515">
        <f>$C$14/$C$8</f>
        <v/>
      </c>
      <c r="U7" s="518">
        <f>P7*1.1+T7</f>
        <v/>
      </c>
      <c r="V7" s="515">
        <f>($C$68/1.1)/$C$8</f>
        <v/>
      </c>
      <c r="W7" s="516">
        <f>V7-X7-Y7</f>
        <v/>
      </c>
      <c r="X7" s="517">
        <f>L7</f>
        <v/>
      </c>
      <c r="Y7" s="517">
        <f>M7</f>
        <v/>
      </c>
      <c r="Z7" s="573">
        <f>T7</f>
        <v/>
      </c>
      <c r="AA7" s="518">
        <f>V7*1.1+Z7</f>
        <v/>
      </c>
      <c r="AC7" s="9" t="inlineStr">
        <is>
          <t>단품할인금 월할 (v+)</t>
        </is>
      </c>
      <c r="AD7" s="524">
        <f>+C45*1.1/C8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62">
        <f>$C$17</f>
        <v/>
      </c>
      <c r="K8" s="571">
        <f>$C$15/$C$8</f>
        <v/>
      </c>
      <c r="L8" s="572">
        <f>$C$12/$C$8</f>
        <v/>
      </c>
      <c r="M8" s="572">
        <f>$C$13/$C$8</f>
        <v/>
      </c>
      <c r="N8" s="566">
        <f>$C$14/$C$8</f>
        <v/>
      </c>
      <c r="O8" s="566">
        <f>SUM(K8:M8)*1.1+N8</f>
        <v/>
      </c>
      <c r="P8" s="515">
        <f>($C$20/1.1)/$C$8</f>
        <v/>
      </c>
      <c r="Q8" s="516">
        <f>P8-R8-S8</f>
        <v/>
      </c>
      <c r="R8" s="517">
        <f>$C$12/$C$8</f>
        <v/>
      </c>
      <c r="S8" s="517">
        <f>$C$13/$C$8</f>
        <v/>
      </c>
      <c r="T8" s="515">
        <f>$C$14/$C$8</f>
        <v/>
      </c>
      <c r="U8" s="518">
        <f>P8*1.1+T8</f>
        <v/>
      </c>
      <c r="V8" s="515">
        <f>($C$68/1.1)/$C$8</f>
        <v/>
      </c>
      <c r="W8" s="516">
        <f>V8-X8-Y8</f>
        <v/>
      </c>
      <c r="X8" s="517">
        <f>L8</f>
        <v/>
      </c>
      <c r="Y8" s="517">
        <f>M8</f>
        <v/>
      </c>
      <c r="Z8" s="573">
        <f>T8</f>
        <v/>
      </c>
      <c r="AA8" s="518">
        <f>V8*1.1+Z8</f>
        <v/>
      </c>
      <c r="AC8" s="9" t="inlineStr">
        <is>
          <t>선납시 최종 납부금 (v+)</t>
        </is>
      </c>
      <c r="AD8" s="527">
        <f>AD4-AD5-AD6-AD7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62">
        <f>$C$17</f>
        <v/>
      </c>
      <c r="K9" s="571">
        <f>$C$15/$C$8</f>
        <v/>
      </c>
      <c r="L9" s="572">
        <f>$C$12/$C$8</f>
        <v/>
      </c>
      <c r="M9" s="572">
        <f>$C$13/$C$8</f>
        <v/>
      </c>
      <c r="N9" s="566">
        <f>$C$14/$C$8</f>
        <v/>
      </c>
      <c r="O9" s="566">
        <f>SUM(K9:M9)*1.1+N9</f>
        <v/>
      </c>
      <c r="P9" s="515">
        <f>($C$20/1.1)/$C$8</f>
        <v/>
      </c>
      <c r="Q9" s="516">
        <f>P9-R9-S9</f>
        <v/>
      </c>
      <c r="R9" s="517">
        <f>$C$12/$C$8</f>
        <v/>
      </c>
      <c r="S9" s="517">
        <f>$C$13/$C$8</f>
        <v/>
      </c>
      <c r="T9" s="515">
        <f>$C$14/$C$8</f>
        <v/>
      </c>
      <c r="U9" s="518">
        <f>P9*1.1+T9</f>
        <v/>
      </c>
      <c r="V9" s="515">
        <f>($C$68/1.1)/$C$8</f>
        <v/>
      </c>
      <c r="W9" s="516">
        <f>V9-X9-Y9</f>
        <v/>
      </c>
      <c r="X9" s="517">
        <f>L9</f>
        <v/>
      </c>
      <c r="Y9" s="517">
        <f>M9</f>
        <v/>
      </c>
      <c r="Z9" s="573">
        <f>T9</f>
        <v/>
      </c>
      <c r="AA9" s="518">
        <f>V9*1.1+Z9</f>
        <v/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62">
        <f>$C$17</f>
        <v/>
      </c>
      <c r="K10" s="571">
        <f>$C$15/$C$8</f>
        <v/>
      </c>
      <c r="L10" s="572">
        <f>$C$12/$C$8</f>
        <v/>
      </c>
      <c r="M10" s="572">
        <f>$C$13/$C$8</f>
        <v/>
      </c>
      <c r="N10" s="566">
        <f>$C$14/$C$8</f>
        <v/>
      </c>
      <c r="O10" s="566">
        <f>SUM(K10:M10)*1.1+N10</f>
        <v/>
      </c>
      <c r="P10" s="515">
        <f>($C$20/1.1)/$C$8</f>
        <v/>
      </c>
      <c r="Q10" s="516">
        <f>P10-R10-S10</f>
        <v/>
      </c>
      <c r="R10" s="517">
        <f>$C$12/$C$8</f>
        <v/>
      </c>
      <c r="S10" s="517">
        <f>$C$13/$C$8</f>
        <v/>
      </c>
      <c r="T10" s="515">
        <f>$C$14/$C$8</f>
        <v/>
      </c>
      <c r="U10" s="518">
        <f>P10*1.1+T10</f>
        <v/>
      </c>
      <c r="V10" s="515">
        <f>($C$68/1.1)/$C$8</f>
        <v/>
      </c>
      <c r="W10" s="516">
        <f>V10-X10-Y10</f>
        <v/>
      </c>
      <c r="X10" s="517">
        <f>L10</f>
        <v/>
      </c>
      <c r="Y10" s="517">
        <f>M10</f>
        <v/>
      </c>
      <c r="Z10" s="573">
        <f>T10</f>
        <v/>
      </c>
      <c r="AA10" s="518">
        <f>V10*1.1+Z10</f>
        <v/>
      </c>
      <c r="AC10" s="505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62">
        <f>$C$17</f>
        <v/>
      </c>
      <c r="K11" s="571">
        <f>$C$15/$C$8</f>
        <v/>
      </c>
      <c r="L11" s="572">
        <f>$C$12/$C$8</f>
        <v/>
      </c>
      <c r="M11" s="572">
        <f>$C$13/$C$8</f>
        <v/>
      </c>
      <c r="N11" s="566">
        <f>$C$14/$C$8</f>
        <v/>
      </c>
      <c r="O11" s="566">
        <f>SUM(K11:M11)*1.1+N11</f>
        <v/>
      </c>
      <c r="P11" s="515">
        <f>($C$20/1.1)/$C$8</f>
        <v/>
      </c>
      <c r="Q11" s="516">
        <f>P11-R11-S11</f>
        <v/>
      </c>
      <c r="R11" s="517">
        <f>$C$12/$C$8</f>
        <v/>
      </c>
      <c r="S11" s="517">
        <f>$C$13/$C$8</f>
        <v/>
      </c>
      <c r="T11" s="515">
        <f>$C$14/$C$8</f>
        <v/>
      </c>
      <c r="U11" s="518">
        <f>P11*1.1+T11</f>
        <v/>
      </c>
      <c r="V11" s="515">
        <f>($C$68/1.1)/$C$8</f>
        <v/>
      </c>
      <c r="W11" s="516">
        <f>V11-X11-Y11</f>
        <v/>
      </c>
      <c r="X11" s="517">
        <f>L11</f>
        <v/>
      </c>
      <c r="Y11" s="517">
        <f>M11</f>
        <v/>
      </c>
      <c r="Z11" s="573">
        <f>T11</f>
        <v/>
      </c>
      <c r="AA11" s="518">
        <f>V11*1.1+Z11</f>
        <v/>
      </c>
      <c r="AC11" s="500" t="n"/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62">
        <f>$C$17</f>
        <v/>
      </c>
      <c r="K12" s="571">
        <f>$C$15/$C$8</f>
        <v/>
      </c>
      <c r="L12" s="572">
        <f>$C$12/$C$8</f>
        <v/>
      </c>
      <c r="M12" s="572">
        <f>$C$13/$C$8</f>
        <v/>
      </c>
      <c r="N12" s="566">
        <f>$C$14/$C$8</f>
        <v/>
      </c>
      <c r="O12" s="566">
        <f>SUM(K12:M12)*1.1+N12</f>
        <v/>
      </c>
      <c r="P12" s="515">
        <f>($C$20/1.1)/$C$8</f>
        <v/>
      </c>
      <c r="Q12" s="516">
        <f>P12-R12-S12</f>
        <v/>
      </c>
      <c r="R12" s="517">
        <f>$C$12/$C$8</f>
        <v/>
      </c>
      <c r="S12" s="517">
        <f>$C$13/$C$8</f>
        <v/>
      </c>
      <c r="T12" s="515">
        <f>$C$14/$C$8</f>
        <v/>
      </c>
      <c r="U12" s="518">
        <f>P12*1.1+T12</f>
        <v/>
      </c>
      <c r="V12" s="515">
        <f>($C$68/1.1)/$C$8</f>
        <v/>
      </c>
      <c r="W12" s="516">
        <f>V12-X12-Y12</f>
        <v/>
      </c>
      <c r="X12" s="517">
        <f>L12</f>
        <v/>
      </c>
      <c r="Y12" s="517">
        <f>M12</f>
        <v/>
      </c>
      <c r="Z12" s="573">
        <f>T12</f>
        <v/>
      </c>
      <c r="AA12" s="518">
        <f>V12*1.1+Z12</f>
        <v/>
      </c>
      <c r="AC12" s="500" t="n"/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62">
        <f>$C$17</f>
        <v/>
      </c>
      <c r="K13" s="571">
        <f>$C$15/$C$8</f>
        <v/>
      </c>
      <c r="L13" s="572">
        <f>$C$12/$C$8</f>
        <v/>
      </c>
      <c r="M13" s="572">
        <f>$C$13/$C$8</f>
        <v/>
      </c>
      <c r="N13" s="566">
        <f>$C$14/$C$8</f>
        <v/>
      </c>
      <c r="O13" s="566">
        <f>SUM(K13:M13)*1.1+N13</f>
        <v/>
      </c>
      <c r="P13" s="515">
        <f>($C$20/1.1)/$C$8</f>
        <v/>
      </c>
      <c r="Q13" s="516">
        <f>P13-R13-S13</f>
        <v/>
      </c>
      <c r="R13" s="517">
        <f>$C$12/$C$8</f>
        <v/>
      </c>
      <c r="S13" s="517">
        <f>$C$13/$C$8</f>
        <v/>
      </c>
      <c r="T13" s="515">
        <f>$C$14/$C$8</f>
        <v/>
      </c>
      <c r="U13" s="518">
        <f>P13*1.1+T13</f>
        <v/>
      </c>
      <c r="V13" s="515">
        <f>($C$68/1.1)/$C$8</f>
        <v/>
      </c>
      <c r="W13" s="516">
        <f>V13-X13-Y13</f>
        <v/>
      </c>
      <c r="X13" s="517">
        <f>L13</f>
        <v/>
      </c>
      <c r="Y13" s="517">
        <f>M13</f>
        <v/>
      </c>
      <c r="Z13" s="573">
        <f>T13</f>
        <v/>
      </c>
      <c r="AA13" s="518">
        <f>V13*1.1+Z13</f>
        <v/>
      </c>
      <c r="AC13" s="500" t="n"/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62">
        <f>$C$17</f>
        <v/>
      </c>
      <c r="K14" s="571">
        <f>$C$15/$C$8</f>
        <v/>
      </c>
      <c r="L14" s="572">
        <f>$C$12/$C$8</f>
        <v/>
      </c>
      <c r="M14" s="572">
        <f>$C$13/$C$8</f>
        <v/>
      </c>
      <c r="N14" s="566">
        <f>$C$14/$C$8</f>
        <v/>
      </c>
      <c r="O14" s="566">
        <f>SUM(K14:M14)*1.1+N14</f>
        <v/>
      </c>
      <c r="P14" s="515">
        <f>($C$20/1.1)/$C$8</f>
        <v/>
      </c>
      <c r="Q14" s="516">
        <f>P14-R14-S14</f>
        <v/>
      </c>
      <c r="R14" s="517">
        <f>$C$12/$C$8</f>
        <v/>
      </c>
      <c r="S14" s="517">
        <f>$C$13/$C$8</f>
        <v/>
      </c>
      <c r="T14" s="515">
        <f>$C$14/$C$8</f>
        <v/>
      </c>
      <c r="U14" s="518">
        <f>P14*1.1+T14</f>
        <v/>
      </c>
      <c r="V14" s="515">
        <f>($C$68/1.1)/$C$8</f>
        <v/>
      </c>
      <c r="W14" s="516">
        <f>V14-X14-Y14</f>
        <v/>
      </c>
      <c r="X14" s="517">
        <f>L14</f>
        <v/>
      </c>
      <c r="Y14" s="517">
        <f>M14</f>
        <v/>
      </c>
      <c r="Z14" s="573">
        <f>T14</f>
        <v/>
      </c>
      <c r="AA14" s="518">
        <f>V14*1.1+Z14</f>
        <v/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62">
        <f>$C$17</f>
        <v/>
      </c>
      <c r="K15" s="571">
        <f>$C$15/$C$8</f>
        <v/>
      </c>
      <c r="L15" s="572">
        <f>$C$12/$C$8</f>
        <v/>
      </c>
      <c r="M15" s="572">
        <f>$C$13/$C$8</f>
        <v/>
      </c>
      <c r="N15" s="566">
        <f>$C$14/$C$8</f>
        <v/>
      </c>
      <c r="O15" s="566">
        <f>SUM(K15:M15)*1.1+N15</f>
        <v/>
      </c>
      <c r="P15" s="515">
        <f>($C$20/1.1)/$C$8</f>
        <v/>
      </c>
      <c r="Q15" s="516">
        <f>P15-R15-S15</f>
        <v/>
      </c>
      <c r="R15" s="517">
        <f>$C$12/$C$8</f>
        <v/>
      </c>
      <c r="S15" s="517">
        <f>$C$13/$C$8</f>
        <v/>
      </c>
      <c r="T15" s="515">
        <f>$C$14/$C$8</f>
        <v/>
      </c>
      <c r="U15" s="518">
        <f>P15*1.1+T15</f>
        <v/>
      </c>
      <c r="V15" s="515">
        <f>($C$68/1.1)/$C$8</f>
        <v/>
      </c>
      <c r="W15" s="516">
        <f>V15-X15-Y15</f>
        <v/>
      </c>
      <c r="X15" s="517">
        <f>L15</f>
        <v/>
      </c>
      <c r="Y15" s="517">
        <f>M15</f>
        <v/>
      </c>
      <c r="Z15" s="573">
        <f>T15</f>
        <v/>
      </c>
      <c r="AA15" s="518">
        <f>V15*1.1+Z15</f>
        <v/>
      </c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62">
        <f>$C$17</f>
        <v/>
      </c>
      <c r="K16" s="571">
        <f>$C$15/$C$8</f>
        <v/>
      </c>
      <c r="L16" s="572">
        <f>$C$12/$C$8</f>
        <v/>
      </c>
      <c r="M16" s="572">
        <f>$C$13/$C$8</f>
        <v/>
      </c>
      <c r="N16" s="566">
        <f>$C$14/$C$8</f>
        <v/>
      </c>
      <c r="O16" s="566">
        <f>SUM(K16:M16)*1.1+N16</f>
        <v/>
      </c>
      <c r="P16" s="515">
        <f>($C$20/1.1)/$C$8</f>
        <v/>
      </c>
      <c r="Q16" s="516">
        <f>P16-R16-S16</f>
        <v/>
      </c>
      <c r="R16" s="517">
        <f>$C$12/$C$8</f>
        <v/>
      </c>
      <c r="S16" s="517">
        <f>$C$13/$C$8</f>
        <v/>
      </c>
      <c r="T16" s="515">
        <f>$C$14/$C$8</f>
        <v/>
      </c>
      <c r="U16" s="518">
        <f>P16*1.1+T16</f>
        <v/>
      </c>
      <c r="V16" s="515">
        <f>($C$68/1.1)/$C$8</f>
        <v/>
      </c>
      <c r="W16" s="516">
        <f>V16-X16-Y16</f>
        <v/>
      </c>
      <c r="X16" s="517">
        <f>L16</f>
        <v/>
      </c>
      <c r="Y16" s="517">
        <f>M16</f>
        <v/>
      </c>
      <c r="Z16" s="573">
        <f>T16</f>
        <v/>
      </c>
      <c r="AA16" s="518">
        <f>V16*1.1+Z16</f>
        <v/>
      </c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62">
        <f>$C$17</f>
        <v/>
      </c>
      <c r="K17" s="571">
        <f>$C$15/$C$8</f>
        <v/>
      </c>
      <c r="L17" s="572">
        <f>$C$12/$C$8</f>
        <v/>
      </c>
      <c r="M17" s="572">
        <f>$C$13/$C$8</f>
        <v/>
      </c>
      <c r="N17" s="566">
        <f>$C$14/$C$8</f>
        <v/>
      </c>
      <c r="O17" s="566">
        <f>SUM(K17:M17)*1.1+N17</f>
        <v/>
      </c>
      <c r="P17" s="515">
        <f>($C$20/1.1)/$C$8</f>
        <v/>
      </c>
      <c r="Q17" s="516">
        <f>P17-R17-S17</f>
        <v/>
      </c>
      <c r="R17" s="517">
        <f>$C$12/$C$8</f>
        <v/>
      </c>
      <c r="S17" s="517">
        <f>$C$13/$C$8</f>
        <v/>
      </c>
      <c r="T17" s="515">
        <f>$C$14/$C$8</f>
        <v/>
      </c>
      <c r="U17" s="518">
        <f>P17*1.1+T17</f>
        <v/>
      </c>
      <c r="V17" s="515">
        <f>($C$68/1.1)/$C$8</f>
        <v/>
      </c>
      <c r="W17" s="516">
        <f>V17-X17-Y17</f>
        <v/>
      </c>
      <c r="X17" s="517">
        <f>L17</f>
        <v/>
      </c>
      <c r="Y17" s="517">
        <f>M17</f>
        <v/>
      </c>
      <c r="Z17" s="573">
        <f>T17</f>
        <v/>
      </c>
      <c r="AA17" s="518">
        <f>V17*1.1+Z17</f>
        <v/>
      </c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62">
        <f>$C$17</f>
        <v/>
      </c>
      <c r="K18" s="571">
        <f>$C$15/$C$8</f>
        <v/>
      </c>
      <c r="L18" s="572">
        <f>$C$12/$C$8</f>
        <v/>
      </c>
      <c r="M18" s="572">
        <f>$C$13/$C$8</f>
        <v/>
      </c>
      <c r="N18" s="566">
        <f>$C$14/$C$8</f>
        <v/>
      </c>
      <c r="O18" s="566">
        <f>SUM(K18:M18)*1.1+N18</f>
        <v/>
      </c>
      <c r="P18" s="515">
        <f>($C$20/1.1)/$C$8</f>
        <v/>
      </c>
      <c r="Q18" s="516">
        <f>P18-R18-S18</f>
        <v/>
      </c>
      <c r="R18" s="517">
        <f>$C$12/$C$8</f>
        <v/>
      </c>
      <c r="S18" s="517">
        <f>$C$13/$C$8</f>
        <v/>
      </c>
      <c r="T18" s="515">
        <f>$C$14/$C$8</f>
        <v/>
      </c>
      <c r="U18" s="518">
        <f>P18*1.1+T18</f>
        <v/>
      </c>
      <c r="V18" s="515">
        <f>($C$68/1.1)/$C$8</f>
        <v/>
      </c>
      <c r="W18" s="516">
        <f>V18-X18-Y18</f>
        <v/>
      </c>
      <c r="X18" s="517">
        <f>L18</f>
        <v/>
      </c>
      <c r="Y18" s="517">
        <f>M18</f>
        <v/>
      </c>
      <c r="Z18" s="573">
        <f>T18</f>
        <v/>
      </c>
      <c r="AA18" s="518">
        <f>V18*1.1+Z18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62">
        <f>$C$17</f>
        <v/>
      </c>
      <c r="K19" s="571">
        <f>$C$15/$C$8</f>
        <v/>
      </c>
      <c r="L19" s="572">
        <f>$C$12/$C$8</f>
        <v/>
      </c>
      <c r="M19" s="572">
        <f>$C$13/$C$8</f>
        <v/>
      </c>
      <c r="N19" s="566">
        <f>$C$14/$C$8</f>
        <v/>
      </c>
      <c r="O19" s="566">
        <f>SUM(K19:M19)*1.1+N19</f>
        <v/>
      </c>
      <c r="P19" s="515">
        <f>($C$20/1.1)/$C$8</f>
        <v/>
      </c>
      <c r="Q19" s="516">
        <f>P19-R19-S19</f>
        <v/>
      </c>
      <c r="R19" s="517">
        <f>$C$12/$C$8</f>
        <v/>
      </c>
      <c r="S19" s="517">
        <f>$C$13/$C$8</f>
        <v/>
      </c>
      <c r="T19" s="515">
        <f>$C$14/$C$8</f>
        <v/>
      </c>
      <c r="U19" s="518">
        <f>P19*1.1+T19</f>
        <v/>
      </c>
      <c r="V19" s="515">
        <f>($C$68/1.1)/$C$8</f>
        <v/>
      </c>
      <c r="W19" s="516">
        <f>V19-X19-Y19</f>
        <v/>
      </c>
      <c r="X19" s="517">
        <f>L19</f>
        <v/>
      </c>
      <c r="Y19" s="517">
        <f>M19</f>
        <v/>
      </c>
      <c r="Z19" s="573">
        <f>T19</f>
        <v/>
      </c>
      <c r="AA19" s="518">
        <f>V19*1.1+Z19</f>
        <v/>
      </c>
    </row>
    <row r="20">
      <c r="B20" s="9" t="inlineStr">
        <is>
          <t>비과세 파손보험 제외 총 구독료 (v+)</t>
        </is>
      </c>
      <c r="C20" s="526">
        <f>C18-C14</f>
        <v/>
      </c>
      <c r="D20" s="343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62">
        <f>$C$17</f>
        <v/>
      </c>
      <c r="K20" s="571">
        <f>$C$15/$C$8</f>
        <v/>
      </c>
      <c r="L20" s="572">
        <f>$C$12/$C$8</f>
        <v/>
      </c>
      <c r="M20" s="572">
        <f>$C$13/$C$8</f>
        <v/>
      </c>
      <c r="N20" s="566">
        <f>$C$14/$C$8</f>
        <v/>
      </c>
      <c r="O20" s="566">
        <f>SUM(K20:M20)*1.1+N20</f>
        <v/>
      </c>
      <c r="P20" s="515">
        <f>($C$20/1.1)/$C$8</f>
        <v/>
      </c>
      <c r="Q20" s="516">
        <f>P20-R20-S20</f>
        <v/>
      </c>
      <c r="R20" s="517">
        <f>$C$12/$C$8</f>
        <v/>
      </c>
      <c r="S20" s="517">
        <f>$C$13/$C$8</f>
        <v/>
      </c>
      <c r="T20" s="515">
        <f>$C$14/$C$8</f>
        <v/>
      </c>
      <c r="U20" s="518">
        <f>P20*1.1+T20</f>
        <v/>
      </c>
      <c r="V20" s="515">
        <f>($C$68/1.1)/$C$8</f>
        <v/>
      </c>
      <c r="W20" s="516">
        <f>V20-X20-Y20</f>
        <v/>
      </c>
      <c r="X20" s="517">
        <f>L20</f>
        <v/>
      </c>
      <c r="Y20" s="517">
        <f>M20</f>
        <v/>
      </c>
      <c r="Z20" s="573">
        <f>T20</f>
        <v/>
      </c>
      <c r="AA20" s="518">
        <f>V20*1.1+Z20</f>
        <v/>
      </c>
    </row>
    <row r="21">
      <c r="D21" s="343" t="n"/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62">
        <f>$C$17</f>
        <v/>
      </c>
      <c r="K21" s="571">
        <f>$C$15/$C$8</f>
        <v/>
      </c>
      <c r="L21" s="572">
        <f>$C$12/$C$8</f>
        <v/>
      </c>
      <c r="M21" s="572">
        <f>$C$13/$C$8</f>
        <v/>
      </c>
      <c r="N21" s="566">
        <f>$C$14/$C$8</f>
        <v/>
      </c>
      <c r="O21" s="566">
        <f>SUM(K21:M21)*1.1+N21</f>
        <v/>
      </c>
      <c r="P21" s="515">
        <f>($C$20/1.1)/$C$8</f>
        <v/>
      </c>
      <c r="Q21" s="516">
        <f>P21-R21-S21</f>
        <v/>
      </c>
      <c r="R21" s="517">
        <f>$C$12/$C$8</f>
        <v/>
      </c>
      <c r="S21" s="517">
        <f>$C$13/$C$8</f>
        <v/>
      </c>
      <c r="T21" s="515">
        <f>$C$14/$C$8</f>
        <v/>
      </c>
      <c r="U21" s="518">
        <f>P21*1.1+T21</f>
        <v/>
      </c>
      <c r="V21" s="515">
        <f>($C$68/1.1)/$C$8</f>
        <v/>
      </c>
      <c r="W21" s="516">
        <f>V21-X21-Y21</f>
        <v/>
      </c>
      <c r="X21" s="517">
        <f>L21</f>
        <v/>
      </c>
      <c r="Y21" s="517">
        <f>M21</f>
        <v/>
      </c>
      <c r="Z21" s="573">
        <f>T21</f>
        <v/>
      </c>
      <c r="AA21" s="518">
        <f>V21*1.1+Z21</f>
        <v/>
      </c>
    </row>
    <row r="22" ht="17.45" customHeight="1" s="497">
      <c r="A22" s="303" t="n"/>
      <c r="B22" s="314" t="inlineStr">
        <is>
          <t>선납금 %</t>
        </is>
      </c>
      <c r="C22" s="349" t="n">
        <v>0.3</v>
      </c>
      <c r="D22" s="343" t="n"/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62">
        <f>$C$17</f>
        <v/>
      </c>
      <c r="K22" s="571">
        <f>$C$15/$C$8</f>
        <v/>
      </c>
      <c r="L22" s="572">
        <f>$C$12/$C$8</f>
        <v/>
      </c>
      <c r="M22" s="572">
        <f>$C$13/$C$8</f>
        <v/>
      </c>
      <c r="N22" s="566">
        <f>$C$14/$C$8</f>
        <v/>
      </c>
      <c r="O22" s="566">
        <f>SUM(K22:M22)*1.1+N22</f>
        <v/>
      </c>
      <c r="P22" s="515">
        <f>($C$20/1.1)/$C$8</f>
        <v/>
      </c>
      <c r="Q22" s="516">
        <f>P22-R22-S22</f>
        <v/>
      </c>
      <c r="R22" s="517">
        <f>$C$12/$C$8</f>
        <v/>
      </c>
      <c r="S22" s="517">
        <f>$C$13/$C$8</f>
        <v/>
      </c>
      <c r="T22" s="515">
        <f>$C$14/$C$8</f>
        <v/>
      </c>
      <c r="U22" s="518">
        <f>P22*1.1+T22</f>
        <v/>
      </c>
      <c r="V22" s="515">
        <f>($C$68/1.1)/$C$8</f>
        <v/>
      </c>
      <c r="W22" s="516">
        <f>V22-X22-Y22</f>
        <v/>
      </c>
      <c r="X22" s="517">
        <f>L22</f>
        <v/>
      </c>
      <c r="Y22" s="517">
        <f>M22</f>
        <v/>
      </c>
      <c r="Z22" s="573">
        <f>T22</f>
        <v/>
      </c>
      <c r="AA22" s="518">
        <f>V22*1.1+Z22</f>
        <v/>
      </c>
    </row>
    <row r="23">
      <c r="A23" s="303" t="n"/>
      <c r="B23" s="9" t="inlineStr">
        <is>
          <t>(계산용) 선납금(V+)</t>
        </is>
      </c>
      <c r="C23" s="506">
        <f>+C18*C22</f>
        <v/>
      </c>
      <c r="D23" s="343" t="n"/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62">
        <f>$C$17</f>
        <v/>
      </c>
      <c r="K23" s="571">
        <f>$C$15/$C$8</f>
        <v/>
      </c>
      <c r="L23" s="572">
        <f>$C$12/$C$8</f>
        <v/>
      </c>
      <c r="M23" s="572">
        <f>$C$13/$C$8</f>
        <v/>
      </c>
      <c r="N23" s="566">
        <f>$C$14/$C$8</f>
        <v/>
      </c>
      <c r="O23" s="566">
        <f>SUM(K23:M23)*1.1+N23</f>
        <v/>
      </c>
      <c r="P23" s="515">
        <f>($C$20/1.1)/$C$8</f>
        <v/>
      </c>
      <c r="Q23" s="516">
        <f>P23-R23-S23</f>
        <v/>
      </c>
      <c r="R23" s="517">
        <f>$C$12/$C$8</f>
        <v/>
      </c>
      <c r="S23" s="517">
        <f>$C$13/$C$8</f>
        <v/>
      </c>
      <c r="T23" s="515">
        <f>$C$14/$C$8</f>
        <v/>
      </c>
      <c r="U23" s="518">
        <f>P23*1.1+T23</f>
        <v/>
      </c>
      <c r="V23" s="515">
        <f>($C$68/1.1)/$C$8</f>
        <v/>
      </c>
      <c r="W23" s="516">
        <f>V23-X23-Y23</f>
        <v/>
      </c>
      <c r="X23" s="517">
        <f>L23</f>
        <v/>
      </c>
      <c r="Y23" s="517">
        <f>M23</f>
        <v/>
      </c>
      <c r="Z23" s="573">
        <f>T23</f>
        <v/>
      </c>
      <c r="AA23" s="518">
        <f>V23*1.1+Z23</f>
        <v/>
      </c>
    </row>
    <row r="24">
      <c r="A24" s="303" t="n"/>
      <c r="B24" s="9" t="inlineStr">
        <is>
          <t>(계산용) 선납금(V-)</t>
        </is>
      </c>
      <c r="C24" s="506">
        <f>+C23/1.1</f>
        <v/>
      </c>
      <c r="D24" s="343" t="n"/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62">
        <f>$C$17</f>
        <v/>
      </c>
      <c r="K24" s="571">
        <f>$C$15/$C$8</f>
        <v/>
      </c>
      <c r="L24" s="572">
        <f>$C$12/$C$8</f>
        <v/>
      </c>
      <c r="M24" s="572">
        <f>$C$13/$C$8</f>
        <v/>
      </c>
      <c r="N24" s="566">
        <f>$C$14/$C$8</f>
        <v/>
      </c>
      <c r="O24" s="566">
        <f>SUM(K24:M24)*1.1+N24</f>
        <v/>
      </c>
      <c r="P24" s="515">
        <f>($C$20/1.1)/$C$8</f>
        <v/>
      </c>
      <c r="Q24" s="516">
        <f>P24-R24-S24</f>
        <v/>
      </c>
      <c r="R24" s="517">
        <f>$C$12/$C$8</f>
        <v/>
      </c>
      <c r="S24" s="517">
        <f>$C$13/$C$8</f>
        <v/>
      </c>
      <c r="T24" s="515">
        <f>$C$14/$C$8</f>
        <v/>
      </c>
      <c r="U24" s="518">
        <f>P24*1.1+T24</f>
        <v/>
      </c>
      <c r="V24" s="515">
        <f>($C$68/1.1)/$C$8</f>
        <v/>
      </c>
      <c r="W24" s="516">
        <f>V24-X24-Y24</f>
        <v/>
      </c>
      <c r="X24" s="517">
        <f>L24</f>
        <v/>
      </c>
      <c r="Y24" s="517">
        <f>M24</f>
        <v/>
      </c>
      <c r="Z24" s="573">
        <f>T24</f>
        <v/>
      </c>
      <c r="AA24" s="518">
        <f>V24*1.1+Z24</f>
        <v/>
      </c>
    </row>
    <row r="25">
      <c r="A25" s="303" t="n"/>
      <c r="B25" s="9" t="inlineStr">
        <is>
          <t>(계산용) 월 선납금(V-)</t>
        </is>
      </c>
      <c r="C25" s="506">
        <f>+ROUND(C24/C8,-2)</f>
        <v/>
      </c>
      <c r="D25" s="343" t="n"/>
      <c r="F25" s="101" t="inlineStr">
        <is>
          <t>20회차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62">
        <f>$C$17</f>
        <v/>
      </c>
      <c r="K25" s="571">
        <f>$C$15/$C$8</f>
        <v/>
      </c>
      <c r="L25" s="572">
        <f>$C$12/$C$8</f>
        <v/>
      </c>
      <c r="M25" s="572">
        <f>$C$13/$C$8</f>
        <v/>
      </c>
      <c r="N25" s="566">
        <f>$C$14/$C$8</f>
        <v/>
      </c>
      <c r="O25" s="566">
        <f>SUM(K25:M25)*1.1+N25</f>
        <v/>
      </c>
      <c r="P25" s="515">
        <f>($C$20/1.1)/$C$8</f>
        <v/>
      </c>
      <c r="Q25" s="516">
        <f>P25-R25-S25</f>
        <v/>
      </c>
      <c r="R25" s="517">
        <f>$C$12/$C$8</f>
        <v/>
      </c>
      <c r="S25" s="517">
        <f>$C$13/$C$8</f>
        <v/>
      </c>
      <c r="T25" s="515">
        <f>$C$14/$C$8</f>
        <v/>
      </c>
      <c r="U25" s="518">
        <f>P25*1.1+T25</f>
        <v/>
      </c>
      <c r="V25" s="515">
        <f>($C$68/1.1)/$C$8</f>
        <v/>
      </c>
      <c r="W25" s="516">
        <f>V25-X25-Y25</f>
        <v/>
      </c>
      <c r="X25" s="517">
        <f>L25</f>
        <v/>
      </c>
      <c r="Y25" s="517">
        <f>M25</f>
        <v/>
      </c>
      <c r="Z25" s="573">
        <f>T25</f>
        <v/>
      </c>
      <c r="AA25" s="518">
        <f>V25*1.1+Z25</f>
        <v/>
      </c>
    </row>
    <row r="26">
      <c r="A26" s="303" t="n"/>
      <c r="B26" s="9" t="inlineStr">
        <is>
          <t>(최종) 선납금 (V-)</t>
        </is>
      </c>
      <c r="C26" s="506">
        <f>+C25*C8</f>
        <v/>
      </c>
      <c r="D26" s="343" t="n"/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62">
        <f>$C$17</f>
        <v/>
      </c>
      <c r="K26" s="571">
        <f>$C$15/$C$8</f>
        <v/>
      </c>
      <c r="L26" s="572">
        <f>$C$12/$C$8</f>
        <v/>
      </c>
      <c r="M26" s="572">
        <f>$C$13/$C$8</f>
        <v/>
      </c>
      <c r="N26" s="566">
        <f>$C$14/$C$8</f>
        <v/>
      </c>
      <c r="O26" s="566">
        <f>SUM(K26:M26)*1.1+N26</f>
        <v/>
      </c>
      <c r="P26" s="515">
        <f>($C$20/1.1)/$C$8</f>
        <v/>
      </c>
      <c r="Q26" s="516">
        <f>P26-R26-S26</f>
        <v/>
      </c>
      <c r="R26" s="517">
        <f>$C$12/$C$8</f>
        <v/>
      </c>
      <c r="S26" s="517">
        <f>$C$13/$C$8</f>
        <v/>
      </c>
      <c r="T26" s="515">
        <f>$C$14/$C$8</f>
        <v/>
      </c>
      <c r="U26" s="518">
        <f>P26*1.1+T26</f>
        <v/>
      </c>
      <c r="V26" s="515">
        <f>($C$68/1.1)/$C$8</f>
        <v/>
      </c>
      <c r="W26" s="516">
        <f>V26-X26-Y26</f>
        <v/>
      </c>
      <c r="X26" s="517">
        <f>L26</f>
        <v/>
      </c>
      <c r="Y26" s="517">
        <f>M26</f>
        <v/>
      </c>
      <c r="Z26" s="573">
        <f>T26</f>
        <v/>
      </c>
      <c r="AA26" s="518">
        <f>V26*1.1+Z26</f>
        <v/>
      </c>
    </row>
    <row r="27">
      <c r="A27" s="303" t="n"/>
      <c r="B27" s="264" t="inlineStr">
        <is>
          <t>(최종) 월 선납금 (V-)</t>
        </is>
      </c>
      <c r="C27" s="574">
        <f>+C26/C8</f>
        <v/>
      </c>
      <c r="D27" s="343" t="n"/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62">
        <f>$C$17</f>
        <v/>
      </c>
      <c r="K27" s="571">
        <f>$C$15/$C$8</f>
        <v/>
      </c>
      <c r="L27" s="572">
        <f>$C$12/$C$8</f>
        <v/>
      </c>
      <c r="M27" s="572">
        <f>$C$13/$C$8</f>
        <v/>
      </c>
      <c r="N27" s="566">
        <f>$C$14/$C$8</f>
        <v/>
      </c>
      <c r="O27" s="566">
        <f>SUM(K27:M27)*1.1+N27</f>
        <v/>
      </c>
      <c r="P27" s="515">
        <f>($C$20/1.1)/$C$8</f>
        <v/>
      </c>
      <c r="Q27" s="516">
        <f>P27-R27-S27</f>
        <v/>
      </c>
      <c r="R27" s="517">
        <f>$C$12/$C$8</f>
        <v/>
      </c>
      <c r="S27" s="517">
        <f>$C$13/$C$8</f>
        <v/>
      </c>
      <c r="T27" s="515">
        <f>$C$14/$C$8</f>
        <v/>
      </c>
      <c r="U27" s="518">
        <f>P27*1.1+T27</f>
        <v/>
      </c>
      <c r="V27" s="515">
        <f>($C$68/1.1)/$C$8</f>
        <v/>
      </c>
      <c r="W27" s="516">
        <f>V27-X27-Y27</f>
        <v/>
      </c>
      <c r="X27" s="517">
        <f>L27</f>
        <v/>
      </c>
      <c r="Y27" s="517">
        <f>M27</f>
        <v/>
      </c>
      <c r="Z27" s="573">
        <f>T27</f>
        <v/>
      </c>
      <c r="AA27" s="518">
        <f>V27*1.1+Z27</f>
        <v/>
      </c>
    </row>
    <row r="28">
      <c r="B28" s="9" t="inlineStr">
        <is>
          <t>(최종) 선납금 반영 월 구독료 (V+)</t>
        </is>
      </c>
      <c r="C28" s="506">
        <f>+C19-C27*1.1</f>
        <v/>
      </c>
      <c r="D28" s="575">
        <f>C26*1.1=C30</f>
        <v/>
      </c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62">
        <f>$C$17</f>
        <v/>
      </c>
      <c r="K28" s="571">
        <f>$C$15/$C$8</f>
        <v/>
      </c>
      <c r="L28" s="572">
        <f>$C$12/$C$8</f>
        <v/>
      </c>
      <c r="M28" s="572">
        <f>$C$13/$C$8</f>
        <v/>
      </c>
      <c r="N28" s="566">
        <f>$C$14/$C$8</f>
        <v/>
      </c>
      <c r="O28" s="566">
        <f>SUM(K28:M28)*1.1+N28</f>
        <v/>
      </c>
      <c r="P28" s="515">
        <f>($C$20/1.1)/$C$8</f>
        <v/>
      </c>
      <c r="Q28" s="516">
        <f>P28-R28-S28</f>
        <v/>
      </c>
      <c r="R28" s="517">
        <f>$C$12/$C$8</f>
        <v/>
      </c>
      <c r="S28" s="517">
        <f>$C$13/$C$8</f>
        <v/>
      </c>
      <c r="T28" s="515">
        <f>$C$14/$C$8</f>
        <v/>
      </c>
      <c r="U28" s="518">
        <f>P28*1.1+T28</f>
        <v/>
      </c>
      <c r="V28" s="515">
        <f>($C$68/1.1)/$C$8</f>
        <v/>
      </c>
      <c r="W28" s="516">
        <f>V28-X28-Y28</f>
        <v/>
      </c>
      <c r="X28" s="517">
        <f>L28</f>
        <v/>
      </c>
      <c r="Y28" s="517">
        <f>M28</f>
        <v/>
      </c>
      <c r="Z28" s="573">
        <f>T28</f>
        <v/>
      </c>
      <c r="AA28" s="518">
        <f>V28*1.1+Z28</f>
        <v/>
      </c>
    </row>
    <row r="29">
      <c r="B29" s="9" t="inlineStr">
        <is>
          <t>(최종) 선납금 반영 총 구독료 (V+)</t>
        </is>
      </c>
      <c r="C29" s="506">
        <f>+C28*C8</f>
        <v/>
      </c>
      <c r="D29" s="539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62">
        <f>$C$17</f>
        <v/>
      </c>
      <c r="K29" s="571">
        <f>$C$15/$C$8</f>
        <v/>
      </c>
      <c r="L29" s="572">
        <f>$C$12/$C$8</f>
        <v/>
      </c>
      <c r="M29" s="572">
        <f>$C$13/$C$8</f>
        <v/>
      </c>
      <c r="N29" s="566">
        <f>$C$14/$C$8</f>
        <v/>
      </c>
      <c r="O29" s="566">
        <f>SUM(K29:M29)*1.1+N29</f>
        <v/>
      </c>
      <c r="P29" s="515">
        <f>($C$20/1.1)/$C$8</f>
        <v/>
      </c>
      <c r="Q29" s="516">
        <f>P29-R29-S29</f>
        <v/>
      </c>
      <c r="R29" s="517">
        <f>$C$12/$C$8</f>
        <v/>
      </c>
      <c r="S29" s="517">
        <f>$C$13/$C$8</f>
        <v/>
      </c>
      <c r="T29" s="515">
        <f>$C$14/$C$8</f>
        <v/>
      </c>
      <c r="U29" s="518">
        <f>P29*1.1+T29</f>
        <v/>
      </c>
      <c r="V29" s="515">
        <f>($C$68/1.1)/$C$8</f>
        <v/>
      </c>
      <c r="W29" s="516">
        <f>V29-X29-Y29</f>
        <v/>
      </c>
      <c r="X29" s="517">
        <f>L29</f>
        <v/>
      </c>
      <c r="Y29" s="517">
        <f>M29</f>
        <v/>
      </c>
      <c r="Z29" s="573">
        <f>T29</f>
        <v/>
      </c>
      <c r="AA29" s="518">
        <f>V29*1.1+Z29</f>
        <v/>
      </c>
    </row>
    <row r="30" ht="17.25" customHeight="1" s="497" thickBot="1">
      <c r="B30" s="264" t="inlineStr">
        <is>
          <t>(최종) 선납금 (V+)</t>
        </is>
      </c>
      <c r="C30" s="574">
        <f>+C18-C29</f>
        <v/>
      </c>
      <c r="D30" s="505" t="inlineStr">
        <is>
          <t>* 정책별 할인율</t>
        </is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62">
        <f>$C$17</f>
        <v/>
      </c>
      <c r="K30" s="571">
        <f>$C$15/$C$8</f>
        <v/>
      </c>
      <c r="L30" s="572">
        <f>$C$12/$C$8</f>
        <v/>
      </c>
      <c r="M30" s="572">
        <f>$C$13/$C$8</f>
        <v/>
      </c>
      <c r="N30" s="566">
        <f>$C$14/$C$8</f>
        <v/>
      </c>
      <c r="O30" s="566">
        <f>SUM(K30:M30)*1.1+N30</f>
        <v/>
      </c>
      <c r="P30" s="515">
        <f>($C$20/1.1)/$C$8</f>
        <v/>
      </c>
      <c r="Q30" s="516">
        <f>P30-R30-S30</f>
        <v/>
      </c>
      <c r="R30" s="517">
        <f>$C$12/$C$8</f>
        <v/>
      </c>
      <c r="S30" s="517">
        <f>$C$13/$C$8</f>
        <v/>
      </c>
      <c r="T30" s="515">
        <f>$C$14/$C$8</f>
        <v/>
      </c>
      <c r="U30" s="518">
        <f>P30*1.1+T30</f>
        <v/>
      </c>
      <c r="V30" s="515">
        <f>($C$68/1.1)/$C$8</f>
        <v/>
      </c>
      <c r="W30" s="516">
        <f>V30-X30-Y30</f>
        <v/>
      </c>
      <c r="X30" s="517">
        <f>L30</f>
        <v/>
      </c>
      <c r="Y30" s="517">
        <f>M30</f>
        <v/>
      </c>
      <c r="Z30" s="573">
        <f>T30</f>
        <v/>
      </c>
      <c r="AA30" s="518">
        <f>V30*1.1+Z30</f>
        <v/>
      </c>
    </row>
    <row r="31">
      <c r="A31" s="303" t="n"/>
      <c r="B31" s="296" t="inlineStr">
        <is>
          <t>(계산용) 선납 할인금 (V+)</t>
        </is>
      </c>
      <c r="C31" s="576">
        <f>C18*$D$31</f>
        <v/>
      </c>
      <c r="D31" s="577" t="n">
        <v>0.04</v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62">
        <f>$C$17</f>
        <v/>
      </c>
      <c r="K31" s="571">
        <f>$C$15/$C$8</f>
        <v/>
      </c>
      <c r="L31" s="572">
        <f>$C$12/$C$8</f>
        <v/>
      </c>
      <c r="M31" s="572">
        <f>$C$13/$C$8</f>
        <v/>
      </c>
      <c r="N31" s="566">
        <f>$C$14/$C$8</f>
        <v/>
      </c>
      <c r="O31" s="566">
        <f>SUM(K31:M31)*1.1+N31</f>
        <v/>
      </c>
      <c r="P31" s="515">
        <f>($C$20/1.1)/$C$8</f>
        <v/>
      </c>
      <c r="Q31" s="516">
        <f>P31-R31-S31</f>
        <v/>
      </c>
      <c r="R31" s="517">
        <f>$C$12/$C$8</f>
        <v/>
      </c>
      <c r="S31" s="517">
        <f>$C$13/$C$8</f>
        <v/>
      </c>
      <c r="T31" s="515">
        <f>$C$14/$C$8</f>
        <v/>
      </c>
      <c r="U31" s="518">
        <f>P31*1.1+T31</f>
        <v/>
      </c>
      <c r="V31" s="515">
        <f>($C$68/1.1)/$C$8</f>
        <v/>
      </c>
      <c r="W31" s="516">
        <f>V31-X31-Y31</f>
        <v/>
      </c>
      <c r="X31" s="517">
        <f>L31</f>
        <v/>
      </c>
      <c r="Y31" s="517">
        <f>M31</f>
        <v/>
      </c>
      <c r="Z31" s="573">
        <f>T31</f>
        <v/>
      </c>
      <c r="AA31" s="518">
        <f>V31*1.1+Z31</f>
        <v/>
      </c>
    </row>
    <row r="32">
      <c r="B32" s="298" t="inlineStr">
        <is>
          <t>(계산용) 선납 할인금 (V-)</t>
        </is>
      </c>
      <c r="C32" s="578">
        <f>+C31/1.1</f>
        <v/>
      </c>
      <c r="D32" s="531" t="n"/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62">
        <f>$C$17</f>
        <v/>
      </c>
      <c r="K32" s="571">
        <f>$C$15/$C$8</f>
        <v/>
      </c>
      <c r="L32" s="572">
        <f>$C$12/$C$8</f>
        <v/>
      </c>
      <c r="M32" s="572">
        <f>$C$13/$C$8</f>
        <v/>
      </c>
      <c r="N32" s="566">
        <f>$C$14/$C$8</f>
        <v/>
      </c>
      <c r="O32" s="566">
        <f>SUM(K32:M32)*1.1+N32</f>
        <v/>
      </c>
      <c r="P32" s="515">
        <f>($C$20/1.1)/$C$8</f>
        <v/>
      </c>
      <c r="Q32" s="516">
        <f>P32-R32-S32</f>
        <v/>
      </c>
      <c r="R32" s="517">
        <f>$C$12/$C$8</f>
        <v/>
      </c>
      <c r="S32" s="517">
        <f>$C$13/$C$8</f>
        <v/>
      </c>
      <c r="T32" s="515">
        <f>$C$14/$C$8</f>
        <v/>
      </c>
      <c r="U32" s="518">
        <f>P32*1.1+T32</f>
        <v/>
      </c>
      <c r="V32" s="515">
        <f>($C$68/1.1)/$C$8</f>
        <v/>
      </c>
      <c r="W32" s="516">
        <f>V32-X32-Y32</f>
        <v/>
      </c>
      <c r="X32" s="517">
        <f>L32</f>
        <v/>
      </c>
      <c r="Y32" s="517">
        <f>M32</f>
        <v/>
      </c>
      <c r="Z32" s="573">
        <f>T32</f>
        <v/>
      </c>
      <c r="AA32" s="518">
        <f>V32*1.1+Z32</f>
        <v/>
      </c>
    </row>
    <row r="33">
      <c r="B33" s="298" t="inlineStr">
        <is>
          <t>(계산용) 선납 월할인금 (V-)</t>
        </is>
      </c>
      <c r="C33" s="579">
        <f>+ROUNDUP(C32/C8,-2)</f>
        <v/>
      </c>
      <c r="D33" s="531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62">
        <f>$C$17</f>
        <v/>
      </c>
      <c r="K33" s="571">
        <f>$C$15/$C$8</f>
        <v/>
      </c>
      <c r="L33" s="572">
        <f>$C$12/$C$8</f>
        <v/>
      </c>
      <c r="M33" s="572">
        <f>$C$13/$C$8</f>
        <v/>
      </c>
      <c r="N33" s="566">
        <f>$C$14/$C$8</f>
        <v/>
      </c>
      <c r="O33" s="566">
        <f>SUM(K33:M33)*1.1+N33</f>
        <v/>
      </c>
      <c r="P33" s="515">
        <f>($C$20/1.1)/$C$8</f>
        <v/>
      </c>
      <c r="Q33" s="516">
        <f>P33-R33-S33</f>
        <v/>
      </c>
      <c r="R33" s="517">
        <f>$C$12/$C$8</f>
        <v/>
      </c>
      <c r="S33" s="517">
        <f>$C$13/$C$8</f>
        <v/>
      </c>
      <c r="T33" s="515">
        <f>$C$14/$C$8</f>
        <v/>
      </c>
      <c r="U33" s="518">
        <f>P33*1.1+T33</f>
        <v/>
      </c>
      <c r="V33" s="515">
        <f>($C$68/1.1)/$C$8</f>
        <v/>
      </c>
      <c r="W33" s="516">
        <f>V33-X33-Y33</f>
        <v/>
      </c>
      <c r="X33" s="517">
        <f>L33</f>
        <v/>
      </c>
      <c r="Y33" s="517">
        <f>M33</f>
        <v/>
      </c>
      <c r="Z33" s="573">
        <f>T33</f>
        <v/>
      </c>
      <c r="AA33" s="518">
        <f>V33*1.1+Z33</f>
        <v/>
      </c>
    </row>
    <row r="34" ht="17.25" customHeight="1" s="497" thickBot="1">
      <c r="B34" s="301" t="inlineStr">
        <is>
          <t>(계산용) 선납 월할인금 (V+)</t>
        </is>
      </c>
      <c r="C34" s="580">
        <f>+C33*1.1</f>
        <v/>
      </c>
      <c r="D34" s="541" t="n"/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62">
        <f>$C$17</f>
        <v/>
      </c>
      <c r="K34" s="571">
        <f>$C$15/$C$8</f>
        <v/>
      </c>
      <c r="L34" s="572">
        <f>$C$12/$C$8</f>
        <v/>
      </c>
      <c r="M34" s="572">
        <f>$C$13/$C$8</f>
        <v/>
      </c>
      <c r="N34" s="566">
        <f>$C$14/$C$8</f>
        <v/>
      </c>
      <c r="O34" s="566">
        <f>SUM(K34:M34)*1.1+N34</f>
        <v/>
      </c>
      <c r="P34" s="515">
        <f>($C$20/1.1)/$C$8</f>
        <v/>
      </c>
      <c r="Q34" s="516">
        <f>P34-R34-S34</f>
        <v/>
      </c>
      <c r="R34" s="517">
        <f>$C$12/$C$8</f>
        <v/>
      </c>
      <c r="S34" s="517">
        <f>$C$13/$C$8</f>
        <v/>
      </c>
      <c r="T34" s="515">
        <f>$C$14/$C$8</f>
        <v/>
      </c>
      <c r="U34" s="518">
        <f>P34*1.1+T34</f>
        <v/>
      </c>
      <c r="V34" s="515">
        <f>($C$68/1.1)/$C$8</f>
        <v/>
      </c>
      <c r="W34" s="516">
        <f>V34-X34-Y34</f>
        <v/>
      </c>
      <c r="X34" s="517">
        <f>L34</f>
        <v/>
      </c>
      <c r="Y34" s="517">
        <f>M34</f>
        <v/>
      </c>
      <c r="Z34" s="573">
        <f>T34</f>
        <v/>
      </c>
      <c r="AA34" s="518">
        <f>V34*1.1+Z34</f>
        <v/>
      </c>
    </row>
    <row r="35">
      <c r="B35" s="265" t="inlineStr">
        <is>
          <t>(최종) 선납 할인금 (V-)</t>
        </is>
      </c>
      <c r="C35" s="581">
        <f>+C33*C8</f>
        <v/>
      </c>
      <c r="D35" s="505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62">
        <f>$C$17</f>
        <v/>
      </c>
      <c r="K35" s="571">
        <f>$C$15/$C$8</f>
        <v/>
      </c>
      <c r="L35" s="572">
        <f>$C$12/$C$8</f>
        <v/>
      </c>
      <c r="M35" s="572">
        <f>$C$13/$C$8</f>
        <v/>
      </c>
      <c r="N35" s="566">
        <f>$C$14/$C$8</f>
        <v/>
      </c>
      <c r="O35" s="566">
        <f>SUM(K35:M35)*1.1+N35</f>
        <v/>
      </c>
      <c r="P35" s="515">
        <f>($C$20/1.1)/$C$8</f>
        <v/>
      </c>
      <c r="Q35" s="516">
        <f>P35-R35-S35</f>
        <v/>
      </c>
      <c r="R35" s="517">
        <f>$C$12/$C$8</f>
        <v/>
      </c>
      <c r="S35" s="517">
        <f>$C$13/$C$8</f>
        <v/>
      </c>
      <c r="T35" s="515">
        <f>$C$14/$C$8</f>
        <v/>
      </c>
      <c r="U35" s="518">
        <f>P35*1.1+T35</f>
        <v/>
      </c>
      <c r="V35" s="515">
        <f>($C$68/1.1)/$C$8</f>
        <v/>
      </c>
      <c r="W35" s="516">
        <f>V35-X35-Y35</f>
        <v/>
      </c>
      <c r="X35" s="517">
        <f>L35</f>
        <v/>
      </c>
      <c r="Y35" s="517">
        <f>M35</f>
        <v/>
      </c>
      <c r="Z35" s="573">
        <f>T35</f>
        <v/>
      </c>
      <c r="AA35" s="518">
        <f>V35*1.1+Z35</f>
        <v/>
      </c>
    </row>
    <row r="36" ht="17.25" customHeight="1" s="497" thickBot="1">
      <c r="B36" s="9" t="inlineStr">
        <is>
          <t>(최종) 선납 할인금 (V+)</t>
        </is>
      </c>
      <c r="C36" s="506">
        <f>+C34*C8</f>
        <v/>
      </c>
      <c r="D36" s="505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62">
        <f>$C$17</f>
        <v/>
      </c>
      <c r="K36" s="571">
        <f>$C$15/$C$8</f>
        <v/>
      </c>
      <c r="L36" s="572">
        <f>$C$12/$C$8</f>
        <v/>
      </c>
      <c r="M36" s="572">
        <f>$C$13/$C$8</f>
        <v/>
      </c>
      <c r="N36" s="566">
        <f>$C$14/$C$8</f>
        <v/>
      </c>
      <c r="O36" s="566">
        <f>SUM(K36:M36)*1.1+N36</f>
        <v/>
      </c>
      <c r="P36" s="515">
        <f>($C$20/1.1)/$C$8</f>
        <v/>
      </c>
      <c r="Q36" s="516">
        <f>P36-R36-S36</f>
        <v/>
      </c>
      <c r="R36" s="517">
        <f>$C$12/$C$8</f>
        <v/>
      </c>
      <c r="S36" s="517">
        <f>$C$13/$C$8</f>
        <v/>
      </c>
      <c r="T36" s="515">
        <f>$C$14/$C$8</f>
        <v/>
      </c>
      <c r="U36" s="518">
        <f>P36*1.1+T36</f>
        <v/>
      </c>
      <c r="V36" s="515">
        <f>($C$68/1.1)/$C$8</f>
        <v/>
      </c>
      <c r="W36" s="516">
        <f>V36-X36-Y36</f>
        <v/>
      </c>
      <c r="X36" s="517">
        <f>L36</f>
        <v/>
      </c>
      <c r="Y36" s="517">
        <f>M36</f>
        <v/>
      </c>
      <c r="Z36" s="573">
        <f>T36</f>
        <v/>
      </c>
      <c r="AA36" s="518">
        <f>V36*1.1+Z36</f>
        <v/>
      </c>
    </row>
    <row r="37">
      <c r="B37" s="293" t="inlineStr">
        <is>
          <t>(최종) 선납금+선납 할인 반영 월 구독료 (V-)</t>
        </is>
      </c>
      <c r="C37" s="536">
        <f>+(C16-C35-C26)/C8</f>
        <v/>
      </c>
      <c r="D37" s="505" t="n"/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62">
        <f>$C$17</f>
        <v/>
      </c>
      <c r="K37" s="571">
        <f>$C$15/$C$8</f>
        <v/>
      </c>
      <c r="L37" s="572">
        <f>$C$12/$C$8</f>
        <v/>
      </c>
      <c r="M37" s="572">
        <f>$C$13/$C$8</f>
        <v/>
      </c>
      <c r="N37" s="566">
        <f>$C$14/$C$8</f>
        <v/>
      </c>
      <c r="O37" s="566">
        <f>SUM(K37:M37)*1.1+N37</f>
        <v/>
      </c>
      <c r="P37" s="515">
        <f>($C$20/1.1)/$C$8</f>
        <v/>
      </c>
      <c r="Q37" s="516">
        <f>P37-R37-S37</f>
        <v/>
      </c>
      <c r="R37" s="517">
        <f>$C$12/$C$8</f>
        <v/>
      </c>
      <c r="S37" s="517">
        <f>$C$13/$C$8</f>
        <v/>
      </c>
      <c r="T37" s="515">
        <f>$C$14/$C$8</f>
        <v/>
      </c>
      <c r="U37" s="518">
        <f>P37*1.1+T37</f>
        <v/>
      </c>
      <c r="V37" s="515">
        <f>($C$68/1.1)/$C$8</f>
        <v/>
      </c>
      <c r="W37" s="516">
        <f>V37-X37-Y37</f>
        <v/>
      </c>
      <c r="X37" s="517">
        <f>L37</f>
        <v/>
      </c>
      <c r="Y37" s="517">
        <f>M37</f>
        <v/>
      </c>
      <c r="Z37" s="573">
        <f>T37</f>
        <v/>
      </c>
      <c r="AA37" s="518">
        <f>V37*1.1+Z37</f>
        <v/>
      </c>
    </row>
    <row r="38" ht="17.25" customHeight="1" s="497" thickBot="1">
      <c r="B38" s="294" t="inlineStr">
        <is>
          <t>(최종) 선납금+선납 할인 반영 총 구독료 (V-)</t>
        </is>
      </c>
      <c r="C38" s="537">
        <f>C37*C8</f>
        <v/>
      </c>
      <c r="D38" s="543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62">
        <f>$C$17</f>
        <v/>
      </c>
      <c r="K38" s="571">
        <f>$C$15/$C$8</f>
        <v/>
      </c>
      <c r="L38" s="572">
        <f>$C$12/$C$8</f>
        <v/>
      </c>
      <c r="M38" s="572">
        <f>$C$13/$C$8</f>
        <v/>
      </c>
      <c r="N38" s="566">
        <f>$C$14/$C$8</f>
        <v/>
      </c>
      <c r="O38" s="566">
        <f>SUM(K38:M38)*1.1+N38</f>
        <v/>
      </c>
      <c r="P38" s="515">
        <f>($C$20/1.1)/$C$8</f>
        <v/>
      </c>
      <c r="Q38" s="516">
        <f>P38-R38-S38</f>
        <v/>
      </c>
      <c r="R38" s="517">
        <f>$C$12/$C$8</f>
        <v/>
      </c>
      <c r="S38" s="517">
        <f>$C$13/$C$8</f>
        <v/>
      </c>
      <c r="T38" s="515">
        <f>$C$14/$C$8</f>
        <v/>
      </c>
      <c r="U38" s="518">
        <f>P38*1.1+T38</f>
        <v/>
      </c>
      <c r="V38" s="515">
        <f>($C$68/1.1)/$C$8</f>
        <v/>
      </c>
      <c r="W38" s="516">
        <f>V38-X38-Y38</f>
        <v/>
      </c>
      <c r="X38" s="517">
        <f>L38</f>
        <v/>
      </c>
      <c r="Y38" s="517">
        <f>M38</f>
        <v/>
      </c>
      <c r="Z38" s="573">
        <f>T38</f>
        <v/>
      </c>
      <c r="AA38" s="518">
        <f>V38*1.1+Z38</f>
        <v/>
      </c>
    </row>
    <row r="39">
      <c r="B39" s="295" t="inlineStr">
        <is>
          <t>(최종) 선납금+선납 할인 반영 월 구독료 (V+)</t>
        </is>
      </c>
      <c r="C39" s="538">
        <f>+(C18-C26*1.1-C36)/C8</f>
        <v/>
      </c>
      <c r="D39" s="535" t="n"/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62">
        <f>$C$17</f>
        <v/>
      </c>
      <c r="K39" s="571">
        <f>$C$15/$C$8</f>
        <v/>
      </c>
      <c r="L39" s="572">
        <f>$C$12/$C$8</f>
        <v/>
      </c>
      <c r="M39" s="572">
        <f>$C$13/$C$8</f>
        <v/>
      </c>
      <c r="N39" s="566">
        <f>$C$14/$C$8</f>
        <v/>
      </c>
      <c r="O39" s="566">
        <f>SUM(K39:M39)*1.1+N39</f>
        <v/>
      </c>
      <c r="P39" s="515">
        <f>($C$20/1.1)/$C$8</f>
        <v/>
      </c>
      <c r="Q39" s="516">
        <f>P39-R39-S39</f>
        <v/>
      </c>
      <c r="R39" s="517">
        <f>$C$12/$C$8</f>
        <v/>
      </c>
      <c r="S39" s="517">
        <f>$C$13/$C$8</f>
        <v/>
      </c>
      <c r="T39" s="515">
        <f>$C$14/$C$8</f>
        <v/>
      </c>
      <c r="U39" s="518">
        <f>P39*1.1+T39</f>
        <v/>
      </c>
      <c r="V39" s="515">
        <f>($C$68/1.1)/$C$8</f>
        <v/>
      </c>
      <c r="W39" s="516">
        <f>V39-X39-Y39</f>
        <v/>
      </c>
      <c r="X39" s="517">
        <f>L39</f>
        <v/>
      </c>
      <c r="Y39" s="517">
        <f>M39</f>
        <v/>
      </c>
      <c r="Z39" s="573">
        <f>T39</f>
        <v/>
      </c>
      <c r="AA39" s="518">
        <f>V39*1.1+Z39</f>
        <v/>
      </c>
    </row>
    <row r="40" ht="17.25" customHeight="1" s="497" thickBot="1">
      <c r="B40" s="294" t="inlineStr">
        <is>
          <t>(최종) 선납금+선납 할인 반영 총 구독료 (V+)</t>
        </is>
      </c>
      <c r="C40" s="537">
        <f>C39*C8</f>
        <v/>
      </c>
      <c r="D40" s="582" t="n"/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62">
        <f>$C$17</f>
        <v/>
      </c>
      <c r="K40" s="571">
        <f>$C$15/$C$8</f>
        <v/>
      </c>
      <c r="L40" s="572">
        <f>$C$12/$C$8</f>
        <v/>
      </c>
      <c r="M40" s="572">
        <f>$C$13/$C$8</f>
        <v/>
      </c>
      <c r="N40" s="566">
        <f>$C$14/$C$8</f>
        <v/>
      </c>
      <c r="O40" s="566">
        <f>SUM(K40:M40)*1.1+N40</f>
        <v/>
      </c>
      <c r="P40" s="515">
        <f>($C$20/1.1)/$C$8</f>
        <v/>
      </c>
      <c r="Q40" s="516">
        <f>P40-R40-S40</f>
        <v/>
      </c>
      <c r="R40" s="517">
        <f>$C$12/$C$8</f>
        <v/>
      </c>
      <c r="S40" s="517">
        <f>$C$13/$C$8</f>
        <v/>
      </c>
      <c r="T40" s="515">
        <f>$C$14/$C$8</f>
        <v/>
      </c>
      <c r="U40" s="518">
        <f>P40*1.1+T40</f>
        <v/>
      </c>
      <c r="V40" s="515">
        <f>($C$68/1.1)/$C$8</f>
        <v/>
      </c>
      <c r="W40" s="516">
        <f>V40-X40-Y40</f>
        <v/>
      </c>
      <c r="X40" s="517">
        <f>L40</f>
        <v/>
      </c>
      <c r="Y40" s="517">
        <f>M40</f>
        <v/>
      </c>
      <c r="Z40" s="573">
        <f>T40</f>
        <v/>
      </c>
      <c r="AA40" s="518">
        <f>V40*1.1+Z40</f>
        <v/>
      </c>
    </row>
    <row r="41">
      <c r="B41" s="296" t="inlineStr">
        <is>
          <t>(계산용) 단품 할인금 (V+)</t>
        </is>
      </c>
      <c r="C41" s="576">
        <f>C18*$D$41</f>
        <v/>
      </c>
      <c r="D41" s="577" t="n">
        <v>0.05</v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62">
        <f>$C$17</f>
        <v/>
      </c>
      <c r="K41" s="571">
        <f>$C$15/$C$8</f>
        <v/>
      </c>
      <c r="L41" s="572">
        <f>$C$12/$C$8</f>
        <v/>
      </c>
      <c r="M41" s="572">
        <f>$C$13/$C$8</f>
        <v/>
      </c>
      <c r="N41" s="566">
        <f>$C$14/$C$8</f>
        <v/>
      </c>
      <c r="O41" s="566">
        <f>SUM(K41:M41)*1.1+N41</f>
        <v/>
      </c>
      <c r="P41" s="515">
        <f>($C$20/1.1)/$C$8</f>
        <v/>
      </c>
      <c r="Q41" s="516">
        <f>P41-R41-S41</f>
        <v/>
      </c>
      <c r="R41" s="517">
        <f>$C$12/$C$8</f>
        <v/>
      </c>
      <c r="S41" s="517">
        <f>$C$13/$C$8</f>
        <v/>
      </c>
      <c r="T41" s="515">
        <f>$C$14/$C$8</f>
        <v/>
      </c>
      <c r="U41" s="518">
        <f>P41*1.1+T41</f>
        <v/>
      </c>
      <c r="V41" s="515">
        <f>($C$68/1.1)/$C$8</f>
        <v/>
      </c>
      <c r="W41" s="516">
        <f>V41-X41-Y41</f>
        <v/>
      </c>
      <c r="X41" s="517">
        <f>L41</f>
        <v/>
      </c>
      <c r="Y41" s="517">
        <f>M41</f>
        <v/>
      </c>
      <c r="Z41" s="573">
        <f>T41</f>
        <v/>
      </c>
      <c r="AA41" s="518">
        <f>V41*1.1+Z41</f>
        <v/>
      </c>
    </row>
    <row r="42">
      <c r="B42" s="298" t="inlineStr">
        <is>
          <t>(계산용) 단품 할인금 (V-)</t>
        </is>
      </c>
      <c r="C42" s="578">
        <f>+C41/1.1</f>
        <v/>
      </c>
      <c r="D42" s="531" t="n"/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62">
        <f>$C$17</f>
        <v/>
      </c>
      <c r="K42" s="571">
        <f>$C$15/$C$8</f>
        <v/>
      </c>
      <c r="L42" s="572">
        <f>$C$12/$C$8</f>
        <v/>
      </c>
      <c r="M42" s="572">
        <f>$C$13/$C$8</f>
        <v/>
      </c>
      <c r="N42" s="566">
        <f>$C$14/$C$8</f>
        <v/>
      </c>
      <c r="O42" s="566">
        <f>SUM(K42:M42)*1.1+N42</f>
        <v/>
      </c>
      <c r="P42" s="515">
        <f>($C$20/1.1)/$C$8</f>
        <v/>
      </c>
      <c r="Q42" s="516">
        <f>P42-R42-S42</f>
        <v/>
      </c>
      <c r="R42" s="517">
        <f>$C$12/$C$8</f>
        <v/>
      </c>
      <c r="S42" s="517">
        <f>$C$13/$C$8</f>
        <v/>
      </c>
      <c r="T42" s="515">
        <f>$C$14/$C$8</f>
        <v/>
      </c>
      <c r="U42" s="518">
        <f>P42*1.1+T42</f>
        <v/>
      </c>
      <c r="V42" s="515">
        <f>($C$68/1.1)/$C$8</f>
        <v/>
      </c>
      <c r="W42" s="516">
        <f>V42-X42-Y42</f>
        <v/>
      </c>
      <c r="X42" s="517">
        <f>L42</f>
        <v/>
      </c>
      <c r="Y42" s="517">
        <f>M42</f>
        <v/>
      </c>
      <c r="Z42" s="573">
        <f>T42</f>
        <v/>
      </c>
      <c r="AA42" s="518">
        <f>V42*1.1+Z42</f>
        <v/>
      </c>
    </row>
    <row r="43">
      <c r="B43" s="298" t="inlineStr">
        <is>
          <t>(계산용) 단품 월할인금 (V-)</t>
        </is>
      </c>
      <c r="C43" s="579">
        <f>+ROUNDUP(C42/C8,-2)</f>
        <v/>
      </c>
      <c r="D43" s="531" t="n"/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62">
        <f>$C$17</f>
        <v/>
      </c>
      <c r="K43" s="571">
        <f>$C$15/$C$8</f>
        <v/>
      </c>
      <c r="L43" s="572">
        <f>$C$12/$C$8</f>
        <v/>
      </c>
      <c r="M43" s="572">
        <f>$C$13/$C$8</f>
        <v/>
      </c>
      <c r="N43" s="566">
        <f>$C$14/$C$8</f>
        <v/>
      </c>
      <c r="O43" s="566">
        <f>SUM(K43:M43)*1.1+N43</f>
        <v/>
      </c>
      <c r="P43" s="515">
        <f>($C$20/1.1)/$C$8</f>
        <v/>
      </c>
      <c r="Q43" s="516">
        <f>P43-R43-S43</f>
        <v/>
      </c>
      <c r="R43" s="517">
        <f>$C$12/$C$8</f>
        <v/>
      </c>
      <c r="S43" s="517">
        <f>$C$13/$C$8</f>
        <v/>
      </c>
      <c r="T43" s="515">
        <f>$C$14/$C$8</f>
        <v/>
      </c>
      <c r="U43" s="518">
        <f>P43*1.1+T43</f>
        <v/>
      </c>
      <c r="V43" s="515">
        <f>($C$68/1.1)/$C$8</f>
        <v/>
      </c>
      <c r="W43" s="516">
        <f>V43-X43-Y43</f>
        <v/>
      </c>
      <c r="X43" s="517">
        <f>L43</f>
        <v/>
      </c>
      <c r="Y43" s="517">
        <f>M43</f>
        <v/>
      </c>
      <c r="Z43" s="573">
        <f>T43</f>
        <v/>
      </c>
      <c r="AA43" s="518">
        <f>V43*1.1+Z43</f>
        <v/>
      </c>
    </row>
    <row r="44" ht="17.25" customHeight="1" s="497" thickBot="1">
      <c r="B44" s="301" t="inlineStr">
        <is>
          <t>(계산용) 단품 월할인금 (V+)</t>
        </is>
      </c>
      <c r="C44" s="580">
        <f>+C43*1.1</f>
        <v/>
      </c>
      <c r="D44" s="541" t="n"/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62">
        <f>$C$17</f>
        <v/>
      </c>
      <c r="K44" s="571">
        <f>$C$15/$C$8</f>
        <v/>
      </c>
      <c r="L44" s="572">
        <f>$C$12/$C$8</f>
        <v/>
      </c>
      <c r="M44" s="572">
        <f>$C$13/$C$8</f>
        <v/>
      </c>
      <c r="N44" s="566">
        <f>$C$14/$C$8</f>
        <v/>
      </c>
      <c r="O44" s="566">
        <f>SUM(K44:M44)*1.1+N44</f>
        <v/>
      </c>
      <c r="P44" s="515">
        <f>($C$20/1.1)/$C$8</f>
        <v/>
      </c>
      <c r="Q44" s="516">
        <f>P44-R44-S44</f>
        <v/>
      </c>
      <c r="R44" s="517">
        <f>$C$12/$C$8</f>
        <v/>
      </c>
      <c r="S44" s="517">
        <f>$C$13/$C$8</f>
        <v/>
      </c>
      <c r="T44" s="515">
        <f>$C$14/$C$8</f>
        <v/>
      </c>
      <c r="U44" s="518">
        <f>P44*1.1+T44</f>
        <v/>
      </c>
      <c r="V44" s="515">
        <f>($C$68/1.1)/$C$8</f>
        <v/>
      </c>
      <c r="W44" s="516">
        <f>V44-X44-Y44</f>
        <v/>
      </c>
      <c r="X44" s="517">
        <f>L44</f>
        <v/>
      </c>
      <c r="Y44" s="517">
        <f>M44</f>
        <v/>
      </c>
      <c r="Z44" s="573">
        <f>T44</f>
        <v/>
      </c>
      <c r="AA44" s="518">
        <f>V44*1.1+Z44</f>
        <v/>
      </c>
    </row>
    <row r="45">
      <c r="B45" s="265" t="inlineStr">
        <is>
          <t>(최종) 단품 할인금 (V-)</t>
        </is>
      </c>
      <c r="C45" s="506">
        <f>+C43*C8</f>
        <v/>
      </c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62">
        <f>$C$17</f>
        <v/>
      </c>
      <c r="K45" s="571">
        <f>$C$15/$C$8</f>
        <v/>
      </c>
      <c r="L45" s="572">
        <f>$C$12/$C$8</f>
        <v/>
      </c>
      <c r="M45" s="572">
        <f>$C$13/$C$8</f>
        <v/>
      </c>
      <c r="N45" s="566">
        <f>$C$14/$C$8</f>
        <v/>
      </c>
      <c r="O45" s="566">
        <f>SUM(K45:M45)*1.1+N45</f>
        <v/>
      </c>
      <c r="P45" s="515">
        <f>($C$20/1.1)/$C$8</f>
        <v/>
      </c>
      <c r="Q45" s="516">
        <f>P45-R45-S45</f>
        <v/>
      </c>
      <c r="R45" s="517">
        <f>$C$12/$C$8</f>
        <v/>
      </c>
      <c r="S45" s="517">
        <f>$C$13/$C$8</f>
        <v/>
      </c>
      <c r="T45" s="515">
        <f>$C$14/$C$8</f>
        <v/>
      </c>
      <c r="U45" s="518">
        <f>P45*1.1+T45</f>
        <v/>
      </c>
      <c r="V45" s="515">
        <f>($C$68/1.1)/$C$8</f>
        <v/>
      </c>
      <c r="W45" s="516">
        <f>V45-X45-Y45</f>
        <v/>
      </c>
      <c r="X45" s="517">
        <f>L45</f>
        <v/>
      </c>
      <c r="Y45" s="517">
        <f>M45</f>
        <v/>
      </c>
      <c r="Z45" s="573">
        <f>T45</f>
        <v/>
      </c>
      <c r="AA45" s="518">
        <f>V45*1.1+Z45</f>
        <v/>
      </c>
    </row>
    <row r="46" ht="17.25" customHeight="1" s="497" thickBot="1">
      <c r="B46" s="9" t="inlineStr">
        <is>
          <t>(최종) 단품 할인금 (V+)</t>
        </is>
      </c>
      <c r="C46" s="506">
        <f>+C44*C8</f>
        <v/>
      </c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62">
        <f>$C$17</f>
        <v/>
      </c>
      <c r="K46" s="571">
        <f>$C$15/$C$8</f>
        <v/>
      </c>
      <c r="L46" s="572">
        <f>$C$12/$C$8</f>
        <v/>
      </c>
      <c r="M46" s="572">
        <f>$C$13/$C$8</f>
        <v/>
      </c>
      <c r="N46" s="566">
        <f>$C$14/$C$8</f>
        <v/>
      </c>
      <c r="O46" s="566">
        <f>SUM(K46:M46)*1.1+N46</f>
        <v/>
      </c>
      <c r="P46" s="515">
        <f>($C$20/1.1)/$C$8</f>
        <v/>
      </c>
      <c r="Q46" s="516">
        <f>P46-R46-S46</f>
        <v/>
      </c>
      <c r="R46" s="517">
        <f>$C$12/$C$8</f>
        <v/>
      </c>
      <c r="S46" s="517">
        <f>$C$13/$C$8</f>
        <v/>
      </c>
      <c r="T46" s="515">
        <f>$C$14/$C$8</f>
        <v/>
      </c>
      <c r="U46" s="518">
        <f>P46*1.1+T46</f>
        <v/>
      </c>
      <c r="V46" s="515">
        <f>($C$68/1.1)/$C$8</f>
        <v/>
      </c>
      <c r="W46" s="516">
        <f>V46-X46-Y46</f>
        <v/>
      </c>
      <c r="X46" s="517">
        <f>L46</f>
        <v/>
      </c>
      <c r="Y46" s="517">
        <f>M46</f>
        <v/>
      </c>
      <c r="Z46" s="573">
        <f>T46</f>
        <v/>
      </c>
      <c r="AA46" s="518">
        <f>V46*1.1+Z46</f>
        <v/>
      </c>
    </row>
    <row r="47">
      <c r="B47" s="293" t="inlineStr">
        <is>
          <t>(최종) 단품 할인 반영 월 구독료 (V-)</t>
        </is>
      </c>
      <c r="C47" s="536">
        <f>+(C16-C45)/C8</f>
        <v/>
      </c>
      <c r="D47" s="343">
        <f>+C17-C43=C47</f>
        <v/>
      </c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62">
        <f>$C$17</f>
        <v/>
      </c>
      <c r="K47" s="571">
        <f>$C$15/$C$8</f>
        <v/>
      </c>
      <c r="L47" s="572">
        <f>$C$12/$C$8</f>
        <v/>
      </c>
      <c r="M47" s="572">
        <f>$C$13/$C$8</f>
        <v/>
      </c>
      <c r="N47" s="566">
        <f>$C$14/$C$8</f>
        <v/>
      </c>
      <c r="O47" s="566">
        <f>SUM(K47:M47)*1.1+N47</f>
        <v/>
      </c>
      <c r="P47" s="515">
        <f>($C$20/1.1)/$C$8</f>
        <v/>
      </c>
      <c r="Q47" s="516">
        <f>P47-R47-S47</f>
        <v/>
      </c>
      <c r="R47" s="517">
        <f>$C$12/$C$8</f>
        <v/>
      </c>
      <c r="S47" s="517">
        <f>$C$13/$C$8</f>
        <v/>
      </c>
      <c r="T47" s="515">
        <f>$C$14/$C$8</f>
        <v/>
      </c>
      <c r="U47" s="518">
        <f>P47*1.1+T47</f>
        <v/>
      </c>
      <c r="V47" s="515">
        <f>($C$68/1.1)/$C$8</f>
        <v/>
      </c>
      <c r="W47" s="516">
        <f>V47-X47-Y47</f>
        <v/>
      </c>
      <c r="X47" s="517">
        <f>L47</f>
        <v/>
      </c>
      <c r="Y47" s="517">
        <f>M47</f>
        <v/>
      </c>
      <c r="Z47" s="573">
        <f>T47</f>
        <v/>
      </c>
      <c r="AA47" s="518">
        <f>V47*1.1+Z47</f>
        <v/>
      </c>
    </row>
    <row r="48" ht="17.25" customHeight="1" s="497" thickBot="1">
      <c r="B48" s="294" t="inlineStr">
        <is>
          <t>(최종) 단품 할인 반영 총 구독료 (V-)</t>
        </is>
      </c>
      <c r="C48" s="537">
        <f>C47*C8</f>
        <v/>
      </c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62">
        <f>$C$17</f>
        <v/>
      </c>
      <c r="K48" s="571">
        <f>$C$15/$C$8</f>
        <v/>
      </c>
      <c r="L48" s="572">
        <f>$C$12/$C$8</f>
        <v/>
      </c>
      <c r="M48" s="572">
        <f>$C$13/$C$8</f>
        <v/>
      </c>
      <c r="N48" s="566">
        <f>$C$14/$C$8</f>
        <v/>
      </c>
      <c r="O48" s="566">
        <f>SUM(K48:M48)*1.1+N48</f>
        <v/>
      </c>
      <c r="P48" s="515">
        <f>($C$20/1.1)/$C$8</f>
        <v/>
      </c>
      <c r="Q48" s="516">
        <f>P48-R48-S48</f>
        <v/>
      </c>
      <c r="R48" s="517">
        <f>$C$12/$C$8</f>
        <v/>
      </c>
      <c r="S48" s="517">
        <f>$C$13/$C$8</f>
        <v/>
      </c>
      <c r="T48" s="515">
        <f>$C$14/$C$8</f>
        <v/>
      </c>
      <c r="U48" s="518">
        <f>P48*1.1+T48</f>
        <v/>
      </c>
      <c r="V48" s="515">
        <f>($C$68/1.1)/$C$8</f>
        <v/>
      </c>
      <c r="W48" s="516">
        <f>V48-X48-Y48</f>
        <v/>
      </c>
      <c r="X48" s="517">
        <f>L48</f>
        <v/>
      </c>
      <c r="Y48" s="517">
        <f>M48</f>
        <v/>
      </c>
      <c r="Z48" s="573">
        <f>T48</f>
        <v/>
      </c>
      <c r="AA48" s="518">
        <f>V48*1.1+Z48</f>
        <v/>
      </c>
    </row>
    <row r="49">
      <c r="B49" s="295" t="inlineStr">
        <is>
          <t>(최종) 단품 할인 반영 월 구독료 (V+)</t>
        </is>
      </c>
      <c r="C49" s="538">
        <f>+C47*1.1</f>
        <v/>
      </c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62">
        <f>$C$17</f>
        <v/>
      </c>
      <c r="K49" s="571">
        <f>$C$15/$C$8</f>
        <v/>
      </c>
      <c r="L49" s="572">
        <f>$C$12/$C$8</f>
        <v/>
      </c>
      <c r="M49" s="572">
        <f>$C$13/$C$8</f>
        <v/>
      </c>
      <c r="N49" s="566">
        <f>$C$14/$C$8</f>
        <v/>
      </c>
      <c r="O49" s="566">
        <f>SUM(K49:M49)*1.1+N49</f>
        <v/>
      </c>
      <c r="P49" s="515">
        <f>($C$20/1.1)/$C$8</f>
        <v/>
      </c>
      <c r="Q49" s="516">
        <f>P49-R49-S49</f>
        <v/>
      </c>
      <c r="R49" s="517">
        <f>$C$12/$C$8</f>
        <v/>
      </c>
      <c r="S49" s="517">
        <f>$C$13/$C$8</f>
        <v/>
      </c>
      <c r="T49" s="515">
        <f>$C$14/$C$8</f>
        <v/>
      </c>
      <c r="U49" s="518">
        <f>P49*1.1+T49</f>
        <v/>
      </c>
      <c r="V49" s="515">
        <f>($C$68/1.1)/$C$8</f>
        <v/>
      </c>
      <c r="W49" s="516">
        <f>V49-X49-Y49</f>
        <v/>
      </c>
      <c r="X49" s="517">
        <f>L49</f>
        <v/>
      </c>
      <c r="Y49" s="517">
        <f>M49</f>
        <v/>
      </c>
      <c r="Z49" s="573">
        <f>T49</f>
        <v/>
      </c>
      <c r="AA49" s="518">
        <f>V49*1.1+Z49</f>
        <v/>
      </c>
    </row>
    <row r="50" ht="17.25" customHeight="1" s="497" thickBot="1">
      <c r="B50" s="294" t="inlineStr">
        <is>
          <t>(최종) 단품 할인 반영 총 구독료 (V+)</t>
        </is>
      </c>
      <c r="C50" s="537">
        <f>+C49*C8</f>
        <v/>
      </c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62">
        <f>$C$17</f>
        <v/>
      </c>
      <c r="K50" s="571">
        <f>$C$15/$C$8</f>
        <v/>
      </c>
      <c r="L50" s="572">
        <f>$C$12/$C$8</f>
        <v/>
      </c>
      <c r="M50" s="572">
        <f>$C$13/$C$8</f>
        <v/>
      </c>
      <c r="N50" s="566">
        <f>$C$14/$C$8</f>
        <v/>
      </c>
      <c r="O50" s="566">
        <f>SUM(K50:M50)*1.1+N50</f>
        <v/>
      </c>
      <c r="P50" s="515">
        <f>($C$20/1.1)/$C$8</f>
        <v/>
      </c>
      <c r="Q50" s="516">
        <f>P50-R50-S50</f>
        <v/>
      </c>
      <c r="R50" s="517">
        <f>$C$12/$C$8</f>
        <v/>
      </c>
      <c r="S50" s="517">
        <f>$C$13/$C$8</f>
        <v/>
      </c>
      <c r="T50" s="515">
        <f>$C$14/$C$8</f>
        <v/>
      </c>
      <c r="U50" s="518">
        <f>P50*1.1+T50</f>
        <v/>
      </c>
      <c r="V50" s="515">
        <f>($C$68/1.1)/$C$8</f>
        <v/>
      </c>
      <c r="W50" s="516">
        <f>V50-X50-Y50</f>
        <v/>
      </c>
      <c r="X50" s="517">
        <f>L50</f>
        <v/>
      </c>
      <c r="Y50" s="517">
        <f>M50</f>
        <v/>
      </c>
      <c r="Z50" s="573">
        <f>T50</f>
        <v/>
      </c>
      <c r="AA50" s="518">
        <f>V50*1.1+Z50</f>
        <v/>
      </c>
    </row>
    <row r="51">
      <c r="B51" s="296" t="inlineStr">
        <is>
          <t>(계산용) 결합 할인금 (V+)</t>
        </is>
      </c>
      <c r="C51" s="576">
        <f>C18*$D$51</f>
        <v/>
      </c>
      <c r="D51" s="583" t="n">
        <v>0.05</v>
      </c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62">
        <f>$C$17</f>
        <v/>
      </c>
      <c r="K51" s="571">
        <f>$C$15/$C$8</f>
        <v/>
      </c>
      <c r="L51" s="572">
        <f>$C$12/$C$8</f>
        <v/>
      </c>
      <c r="M51" s="572">
        <f>$C$13/$C$8</f>
        <v/>
      </c>
      <c r="N51" s="566">
        <f>$C$14/$C$8</f>
        <v/>
      </c>
      <c r="O51" s="566">
        <f>SUM(K51:M51)*1.1+N51</f>
        <v/>
      </c>
      <c r="P51" s="515">
        <f>($C$20/1.1)/$C$8</f>
        <v/>
      </c>
      <c r="Q51" s="516">
        <f>P51-R51-S51</f>
        <v/>
      </c>
      <c r="R51" s="517">
        <f>$C$12/$C$8</f>
        <v/>
      </c>
      <c r="S51" s="517">
        <f>$C$13/$C$8</f>
        <v/>
      </c>
      <c r="T51" s="515">
        <f>$C$14/$C$8</f>
        <v/>
      </c>
      <c r="U51" s="518">
        <f>P51*1.1+T51</f>
        <v/>
      </c>
      <c r="V51" s="515">
        <f>($C$68/1.1)/$C$8</f>
        <v/>
      </c>
      <c r="W51" s="516">
        <f>V51-X51-Y51</f>
        <v/>
      </c>
      <c r="X51" s="517">
        <f>L51</f>
        <v/>
      </c>
      <c r="Y51" s="517">
        <f>M51</f>
        <v/>
      </c>
      <c r="Z51" s="573">
        <f>T51</f>
        <v/>
      </c>
      <c r="AA51" s="518">
        <f>V51*1.1+Z51</f>
        <v/>
      </c>
    </row>
    <row r="52">
      <c r="B52" s="298" t="inlineStr">
        <is>
          <t>(계산용) 결합 할인금 (V-)</t>
        </is>
      </c>
      <c r="C52" s="578">
        <f>+C51/1.1</f>
        <v/>
      </c>
      <c r="D52" s="531" t="n"/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62">
        <f>$C$17</f>
        <v/>
      </c>
      <c r="K52" s="571">
        <f>$C$15/$C$8</f>
        <v/>
      </c>
      <c r="L52" s="572">
        <f>$C$12/$C$8</f>
        <v/>
      </c>
      <c r="M52" s="572">
        <f>$C$13/$C$8</f>
        <v/>
      </c>
      <c r="N52" s="566">
        <f>$C$14/$C$8</f>
        <v/>
      </c>
      <c r="O52" s="566">
        <f>SUM(K52:M52)*1.1+N52</f>
        <v/>
      </c>
      <c r="P52" s="515">
        <f>($C$20/1.1)/$C$8</f>
        <v/>
      </c>
      <c r="Q52" s="516">
        <f>P52-R52-S52</f>
        <v/>
      </c>
      <c r="R52" s="517">
        <f>$C$12/$C$8</f>
        <v/>
      </c>
      <c r="S52" s="517">
        <f>$C$13/$C$8</f>
        <v/>
      </c>
      <c r="T52" s="515">
        <f>$C$14/$C$8</f>
        <v/>
      </c>
      <c r="U52" s="518">
        <f>P52*1.1+T52</f>
        <v/>
      </c>
      <c r="V52" s="515">
        <f>($C$68/1.1)/$C$8</f>
        <v/>
      </c>
      <c r="W52" s="516">
        <f>V52-X52-Y52</f>
        <v/>
      </c>
      <c r="X52" s="517">
        <f>L52</f>
        <v/>
      </c>
      <c r="Y52" s="517">
        <f>M52</f>
        <v/>
      </c>
      <c r="Z52" s="573">
        <f>T52</f>
        <v/>
      </c>
      <c r="AA52" s="518">
        <f>V52*1.1+Z52</f>
        <v/>
      </c>
    </row>
    <row r="53">
      <c r="B53" s="298" t="inlineStr">
        <is>
          <t>(계산용) 결합 월할인금 (V-)</t>
        </is>
      </c>
      <c r="C53" s="579">
        <f>+ROUNDUP(C52/C8,-2)</f>
        <v/>
      </c>
      <c r="D53" s="531" t="n"/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62">
        <f>$C$17</f>
        <v/>
      </c>
      <c r="K53" s="571">
        <f>$C$15/$C$8</f>
        <v/>
      </c>
      <c r="L53" s="572">
        <f>$C$12/$C$8</f>
        <v/>
      </c>
      <c r="M53" s="572">
        <f>$C$13/$C$8</f>
        <v/>
      </c>
      <c r="N53" s="566">
        <f>$C$14/$C$8</f>
        <v/>
      </c>
      <c r="O53" s="566">
        <f>SUM(K53:M53)*1.1+N53</f>
        <v/>
      </c>
      <c r="P53" s="515">
        <f>($C$20/1.1)/$C$8</f>
        <v/>
      </c>
      <c r="Q53" s="516">
        <f>P53-R53-S53</f>
        <v/>
      </c>
      <c r="R53" s="517">
        <f>$C$12/$C$8</f>
        <v/>
      </c>
      <c r="S53" s="517">
        <f>$C$13/$C$8</f>
        <v/>
      </c>
      <c r="T53" s="515">
        <f>$C$14/$C$8</f>
        <v/>
      </c>
      <c r="U53" s="518">
        <f>P53*1.1+T53</f>
        <v/>
      </c>
      <c r="V53" s="515">
        <f>($C$68/1.1)/$C$8</f>
        <v/>
      </c>
      <c r="W53" s="516">
        <f>V53-X53-Y53</f>
        <v/>
      </c>
      <c r="X53" s="517">
        <f>L53</f>
        <v/>
      </c>
      <c r="Y53" s="517">
        <f>M53</f>
        <v/>
      </c>
      <c r="Z53" s="573">
        <f>T53</f>
        <v/>
      </c>
      <c r="AA53" s="518">
        <f>V53*1.1+Z53</f>
        <v/>
      </c>
    </row>
    <row r="54" ht="17.25" customHeight="1" s="497" thickBot="1">
      <c r="B54" s="301" t="inlineStr">
        <is>
          <t>(계산용) 결합 월할인금 (V+)</t>
        </is>
      </c>
      <c r="C54" s="580">
        <f>+C53*1.1</f>
        <v/>
      </c>
      <c r="D54" s="541" t="n"/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62">
        <f>$C$17-J6</f>
        <v/>
      </c>
      <c r="K54" s="571">
        <f>$C$15/$C$8-K6</f>
        <v/>
      </c>
      <c r="L54" s="572">
        <f>$C$12/$C$8</f>
        <v/>
      </c>
      <c r="M54" s="572">
        <f>$C$13/$C$8-M6</f>
        <v/>
      </c>
      <c r="N54" s="566">
        <f>$C$14/$C$8-N6</f>
        <v/>
      </c>
      <c r="O54" s="566">
        <f>SUM(K54:M54)*1.1+N54</f>
        <v/>
      </c>
      <c r="P54" s="515">
        <f>($C$20/1.1)/$C$8-P6</f>
        <v/>
      </c>
      <c r="Q54" s="516">
        <f>P54-R54-S54</f>
        <v/>
      </c>
      <c r="R54" s="517">
        <f>$C$12/$C$8</f>
        <v/>
      </c>
      <c r="S54" s="517">
        <f>$C$13/$C$8-S6</f>
        <v/>
      </c>
      <c r="T54" s="515">
        <f>$C$14/$C$8-T6</f>
        <v/>
      </c>
      <c r="U54" s="518">
        <f>P54*1.1+T54</f>
        <v/>
      </c>
      <c r="V54" s="515">
        <f>($C$68/1.1)/$C$8-V6</f>
        <v/>
      </c>
      <c r="W54" s="516">
        <f>V54-X54-Y54</f>
        <v/>
      </c>
      <c r="X54" s="517">
        <f>L54</f>
        <v/>
      </c>
      <c r="Y54" s="517">
        <f>M54</f>
        <v/>
      </c>
      <c r="Z54" s="573">
        <f>T54</f>
        <v/>
      </c>
      <c r="AA54" s="518">
        <f>V54*1.1+Z54</f>
        <v/>
      </c>
    </row>
    <row r="55">
      <c r="B55" s="265" t="inlineStr">
        <is>
          <t>(최종) 결합 할인금 (V-)</t>
        </is>
      </c>
      <c r="C55" s="506">
        <f>+C53*C8</f>
        <v/>
      </c>
      <c r="F55" s="101" t="n"/>
      <c r="G55" s="102" t="n"/>
      <c r="H55" s="102" t="n"/>
      <c r="I55" s="103" t="n"/>
      <c r="J55" s="562" t="n"/>
      <c r="K55" s="571" t="n"/>
      <c r="L55" s="572" t="n"/>
      <c r="M55" s="572" t="n"/>
      <c r="N55" s="566" t="n"/>
      <c r="O55" s="566" t="n"/>
      <c r="P55" s="515" t="n"/>
      <c r="Q55" s="516" t="n"/>
      <c r="R55" s="517" t="n"/>
      <c r="S55" s="517" t="n"/>
      <c r="T55" s="515" t="n"/>
      <c r="U55" s="518" t="n"/>
      <c r="V55" s="515" t="n"/>
      <c r="W55" s="516" t="n"/>
      <c r="X55" s="500" t="n"/>
      <c r="Y55" s="500" t="n"/>
      <c r="Z55" s="573" t="n"/>
      <c r="AA55" s="518" t="n"/>
    </row>
    <row r="56" ht="17.25" customHeight="1" s="497" thickBot="1">
      <c r="B56" s="9" t="inlineStr">
        <is>
          <t>(최종) 결합 할인금 (V+)</t>
        </is>
      </c>
      <c r="C56" s="506">
        <f>+C54*C8</f>
        <v/>
      </c>
      <c r="F56" s="101" t="n"/>
      <c r="G56" s="102" t="n"/>
      <c r="H56" s="102" t="n"/>
      <c r="I56" s="103" t="n"/>
      <c r="J56" s="562" t="n"/>
      <c r="K56" s="571" t="n"/>
      <c r="L56" s="572" t="n"/>
      <c r="M56" s="572" t="n"/>
      <c r="N56" s="566" t="n"/>
      <c r="O56" s="566" t="n"/>
      <c r="P56" s="515" t="n"/>
      <c r="Q56" s="516" t="n"/>
      <c r="R56" s="517" t="n"/>
      <c r="S56" s="517" t="n"/>
      <c r="T56" s="515" t="n"/>
      <c r="U56" s="518" t="n"/>
      <c r="V56" s="515" t="n"/>
      <c r="W56" s="516" t="n"/>
      <c r="X56" s="500" t="n"/>
      <c r="Y56" s="500" t="n"/>
      <c r="Z56" s="573" t="n"/>
      <c r="AA56" s="518" t="n"/>
    </row>
    <row r="57">
      <c r="B57" s="293" t="inlineStr">
        <is>
          <t>(최종) 결합 할인 반영 월 구독료 (V-)</t>
        </is>
      </c>
      <c r="C57" s="536">
        <f>+(C16-C55)/C8</f>
        <v/>
      </c>
      <c r="F57" s="101" t="n"/>
      <c r="G57" s="102" t="n"/>
      <c r="H57" s="102" t="n"/>
      <c r="I57" s="103" t="n"/>
      <c r="J57" s="562" t="n"/>
      <c r="K57" s="571" t="n"/>
      <c r="L57" s="572" t="n"/>
      <c r="M57" s="572" t="n"/>
      <c r="N57" s="566" t="n"/>
      <c r="O57" s="566" t="n"/>
      <c r="P57" s="515" t="n"/>
      <c r="Q57" s="516" t="n"/>
      <c r="R57" s="517" t="n"/>
      <c r="S57" s="517" t="n"/>
      <c r="T57" s="515" t="n"/>
      <c r="U57" s="518" t="n"/>
      <c r="V57" s="515" t="n"/>
      <c r="W57" s="516" t="n"/>
      <c r="X57" s="500" t="n"/>
      <c r="Y57" s="500" t="n"/>
      <c r="Z57" s="573" t="n"/>
      <c r="AA57" s="518" t="n"/>
    </row>
    <row r="58" ht="17.25" customHeight="1" s="497" thickBot="1">
      <c r="B58" s="294" t="inlineStr">
        <is>
          <t>(최종) 결합 할인 반영 총 구독료 (V-)</t>
        </is>
      </c>
      <c r="C58" s="537">
        <f>+C57*C8</f>
        <v/>
      </c>
      <c r="F58" s="101" t="n"/>
      <c r="G58" s="102" t="n"/>
      <c r="H58" s="102" t="n"/>
      <c r="I58" s="103" t="n"/>
      <c r="J58" s="562" t="n"/>
      <c r="K58" s="571" t="n"/>
      <c r="L58" s="572" t="n"/>
      <c r="M58" s="572" t="n"/>
      <c r="N58" s="566" t="n"/>
      <c r="O58" s="566" t="n"/>
      <c r="P58" s="515" t="n"/>
      <c r="Q58" s="516" t="n"/>
      <c r="R58" s="517" t="n"/>
      <c r="S58" s="517" t="n"/>
      <c r="T58" s="515" t="n"/>
      <c r="U58" s="518" t="n"/>
      <c r="V58" s="515" t="n"/>
      <c r="W58" s="516" t="n"/>
      <c r="X58" s="500" t="n"/>
      <c r="Y58" s="500" t="n"/>
      <c r="Z58" s="573" t="n"/>
      <c r="AA58" s="518" t="n"/>
    </row>
    <row r="59">
      <c r="B59" s="295" t="inlineStr">
        <is>
          <t>(최종) 결합 할인 반영 월 구독료 (V+)</t>
        </is>
      </c>
      <c r="C59" s="538">
        <f>+C57*1.1</f>
        <v/>
      </c>
      <c r="D59" s="343" t="n"/>
      <c r="F59" s="101" t="n"/>
      <c r="G59" s="102" t="n"/>
      <c r="H59" s="102" t="n"/>
      <c r="I59" s="103" t="n"/>
      <c r="J59" s="562" t="n"/>
      <c r="K59" s="571" t="n"/>
      <c r="L59" s="572" t="n"/>
      <c r="M59" s="572" t="n"/>
      <c r="N59" s="566" t="n"/>
      <c r="O59" s="566" t="n"/>
      <c r="P59" s="515" t="n"/>
      <c r="Q59" s="516" t="n"/>
      <c r="R59" s="517" t="n"/>
      <c r="S59" s="517" t="n"/>
      <c r="T59" s="515" t="n"/>
      <c r="U59" s="518" t="n"/>
      <c r="V59" s="515" t="n"/>
      <c r="W59" s="516" t="n"/>
      <c r="X59" s="500" t="n"/>
      <c r="Y59" s="500" t="n"/>
      <c r="Z59" s="573" t="n"/>
      <c r="AA59" s="518" t="n"/>
    </row>
    <row r="60" ht="17.25" customHeight="1" s="497" thickBot="1">
      <c r="B60" s="294" t="inlineStr">
        <is>
          <t>(최종) 결합 할인 반영 총 구독료 (V+)</t>
        </is>
      </c>
      <c r="C60" s="537">
        <f>+C59*C8</f>
        <v/>
      </c>
      <c r="D60" s="343" t="n"/>
      <c r="F60" s="101" t="n"/>
      <c r="G60" s="102" t="n"/>
      <c r="H60" s="102" t="n"/>
      <c r="I60" s="103" t="n"/>
      <c r="J60" s="562" t="n"/>
      <c r="K60" s="571" t="n"/>
      <c r="L60" s="572" t="n"/>
      <c r="M60" s="572" t="n"/>
      <c r="N60" s="566" t="n"/>
      <c r="O60" s="566" t="n"/>
      <c r="P60" s="515" t="n"/>
      <c r="Q60" s="516" t="n"/>
      <c r="R60" s="517" t="n"/>
      <c r="S60" s="517" t="n"/>
      <c r="T60" s="515" t="n"/>
      <c r="U60" s="518" t="n"/>
      <c r="V60" s="515" t="n"/>
      <c r="W60" s="516" t="n"/>
      <c r="X60" s="500" t="n"/>
      <c r="Y60" s="500" t="n"/>
      <c r="Z60" s="573" t="n"/>
      <c r="AA60" s="518" t="n"/>
    </row>
    <row r="61">
      <c r="B61" s="320" t="inlineStr">
        <is>
          <t>(최종) 선납+단품+결합 할인 반영 월 구독료 (V-)</t>
        </is>
      </c>
      <c r="C61" s="542">
        <f>+(C16-C30/1.1-C45-C35-C55)/C8</f>
        <v/>
      </c>
      <c r="D61" s="543">
        <f>+C17-C30/1.1/C8-C33-C43-C53=C61</f>
        <v/>
      </c>
      <c r="F61" s="101" t="n"/>
      <c r="G61" s="102" t="n"/>
      <c r="H61" s="102" t="n"/>
      <c r="I61" s="103" t="n"/>
      <c r="J61" s="562" t="n"/>
      <c r="K61" s="571" t="n"/>
      <c r="L61" s="572" t="n"/>
      <c r="M61" s="572" t="n"/>
      <c r="N61" s="566" t="n"/>
      <c r="O61" s="566" t="n"/>
      <c r="P61" s="515" t="n"/>
      <c r="Q61" s="516" t="n"/>
      <c r="R61" s="517" t="n"/>
      <c r="S61" s="517" t="n"/>
      <c r="T61" s="515" t="n"/>
      <c r="U61" s="518" t="n"/>
      <c r="V61" s="515" t="n"/>
      <c r="W61" s="516" t="n"/>
      <c r="X61" s="500" t="n"/>
      <c r="Y61" s="500" t="n"/>
      <c r="Z61" s="573" t="n"/>
      <c r="AA61" s="518" t="n"/>
    </row>
    <row r="62" ht="17.25" customHeight="1" s="497" thickBot="1">
      <c r="B62" s="322" t="inlineStr">
        <is>
          <t>(최종) 선납+단품+결합 할인 반영 총 구독료 (V-)</t>
        </is>
      </c>
      <c r="C62" s="544">
        <f>+C61*C8</f>
        <v/>
      </c>
      <c r="D62" s="343" t="n"/>
      <c r="F62" s="101" t="n"/>
      <c r="G62" s="102" t="n"/>
      <c r="H62" s="102" t="n"/>
      <c r="I62" s="103" t="n"/>
      <c r="J62" s="562" t="n"/>
      <c r="K62" s="571" t="n"/>
      <c r="L62" s="572" t="n"/>
      <c r="M62" s="572" t="n"/>
      <c r="N62" s="566" t="n"/>
      <c r="O62" s="566" t="n"/>
      <c r="P62" s="515" t="n"/>
      <c r="Q62" s="516" t="n"/>
      <c r="R62" s="517" t="n"/>
      <c r="S62" s="517" t="n"/>
      <c r="T62" s="515" t="n"/>
      <c r="U62" s="518" t="n"/>
      <c r="V62" s="515" t="n"/>
      <c r="W62" s="516" t="n"/>
      <c r="X62" s="500" t="n"/>
      <c r="Y62" s="500" t="n"/>
      <c r="Z62" s="573" t="n"/>
      <c r="AA62" s="518" t="n"/>
    </row>
    <row r="63">
      <c r="B63" s="324" t="inlineStr">
        <is>
          <t>(최종) 선납+단품+결합 할인 반영 월 구독료 (V+)</t>
        </is>
      </c>
      <c r="C63" s="545">
        <f>+(C18-C30-C36-C46-C56)/C8</f>
        <v/>
      </c>
      <c r="D63" s="543">
        <f>+C19-C30/C8-C34-C44-C54=C63</f>
        <v/>
      </c>
      <c r="F63" s="101" t="n"/>
      <c r="G63" s="102" t="n"/>
      <c r="H63" s="102" t="n"/>
      <c r="I63" s="103" t="n"/>
      <c r="J63" s="562" t="n"/>
      <c r="K63" s="571" t="n"/>
      <c r="L63" s="572" t="n"/>
      <c r="M63" s="572" t="n"/>
      <c r="N63" s="566" t="n"/>
      <c r="O63" s="566" t="n"/>
      <c r="P63" s="515" t="n"/>
      <c r="Q63" s="516" t="n"/>
      <c r="R63" s="517" t="n"/>
      <c r="S63" s="517" t="n"/>
      <c r="T63" s="515" t="n"/>
      <c r="U63" s="518" t="n"/>
      <c r="V63" s="515" t="n"/>
      <c r="W63" s="516" t="n"/>
      <c r="X63" s="500" t="n"/>
      <c r="Y63" s="500" t="n"/>
      <c r="Z63" s="573" t="n"/>
      <c r="AA63" s="518" t="n"/>
    </row>
    <row r="64" ht="17.25" customHeight="1" s="497" thickBot="1">
      <c r="B64" s="322" t="inlineStr">
        <is>
          <t>(최종) 선납+단품+결합 할인 반영 총 구독료 (V+)</t>
        </is>
      </c>
      <c r="C64" s="544">
        <f>+C63*C8</f>
        <v/>
      </c>
      <c r="D64" s="343" t="n"/>
      <c r="F64" s="101" t="n"/>
      <c r="G64" s="102" t="n"/>
      <c r="H64" s="102" t="n"/>
      <c r="I64" s="103" t="n"/>
      <c r="J64" s="562" t="n"/>
      <c r="K64" s="571" t="n"/>
      <c r="L64" s="572" t="n"/>
      <c r="M64" s="572" t="n"/>
      <c r="N64" s="566" t="n"/>
      <c r="O64" s="566" t="n"/>
      <c r="P64" s="515" t="n"/>
      <c r="Q64" s="516" t="n"/>
      <c r="R64" s="517" t="n"/>
      <c r="S64" s="517" t="n"/>
      <c r="T64" s="515" t="n"/>
      <c r="U64" s="518" t="n"/>
      <c r="V64" s="515" t="n"/>
      <c r="W64" s="516" t="n"/>
      <c r="X64" s="500" t="n"/>
      <c r="Y64" s="500" t="n"/>
      <c r="Z64" s="573" t="n"/>
      <c r="AA64" s="518" t="n"/>
    </row>
    <row r="65">
      <c r="C65" s="505" t="n"/>
      <c r="D65" s="343" t="n"/>
      <c r="F65" s="101" t="n"/>
      <c r="G65" s="102" t="n"/>
      <c r="H65" s="102" t="n"/>
      <c r="I65" s="103" t="n"/>
      <c r="J65" s="562" t="n"/>
      <c r="K65" s="571" t="n"/>
      <c r="L65" s="572" t="n"/>
      <c r="M65" s="572" t="n"/>
      <c r="N65" s="566" t="n"/>
      <c r="O65" s="566" t="n"/>
      <c r="P65" s="515" t="n"/>
      <c r="Q65" s="516" t="n"/>
      <c r="R65" s="517" t="n"/>
      <c r="S65" s="517" t="n"/>
      <c r="T65" s="515" t="n"/>
      <c r="U65" s="518" t="n"/>
      <c r="V65" s="515" t="n"/>
      <c r="W65" s="516" t="n"/>
      <c r="X65" s="500" t="n"/>
      <c r="Y65" s="500" t="n"/>
      <c r="Z65" s="573" t="n"/>
      <c r="AA65" s="518" t="n"/>
    </row>
    <row r="66">
      <c r="B66" s="9" t="inlineStr">
        <is>
          <t>선납+단품+결합 할인 반영 순수 구독료 (V-)</t>
        </is>
      </c>
      <c r="C66" s="506">
        <f>C62-C12-C13-C14</f>
        <v/>
      </c>
      <c r="D66" s="343" t="n"/>
      <c r="F66" s="101" t="n"/>
      <c r="G66" s="102" t="n"/>
      <c r="H66" s="102" t="n"/>
      <c r="I66" s="103" t="n"/>
      <c r="J66" s="562" t="n"/>
      <c r="K66" s="571" t="n"/>
      <c r="L66" s="572" t="n"/>
      <c r="M66" s="572" t="n"/>
      <c r="N66" s="566" t="n"/>
      <c r="O66" s="566" t="n"/>
      <c r="P66" s="515" t="n"/>
      <c r="Q66" s="516" t="n"/>
      <c r="R66" s="517" t="n"/>
      <c r="S66" s="517" t="n"/>
      <c r="T66" s="515" t="n"/>
      <c r="U66" s="518" t="n"/>
      <c r="V66" s="515" t="n"/>
      <c r="W66" s="516" t="n"/>
      <c r="X66" s="500" t="n"/>
      <c r="Y66" s="500" t="n"/>
      <c r="Z66" s="573" t="n"/>
      <c r="AA66" s="518" t="n"/>
    </row>
    <row r="67">
      <c r="B67" s="9" t="inlineStr">
        <is>
          <t>선납+단품+결합 할인 반영 순수 구독료 월할 (V-)</t>
        </is>
      </c>
      <c r="C67" s="506">
        <f>C66/C8</f>
        <v/>
      </c>
      <c r="D67" s="343" t="n"/>
      <c r="F67" s="101" t="n"/>
      <c r="G67" s="102" t="n"/>
      <c r="H67" s="102" t="n"/>
      <c r="I67" s="103" t="n"/>
      <c r="J67" s="562" t="n"/>
      <c r="K67" s="571" t="n"/>
      <c r="L67" s="572" t="n"/>
      <c r="M67" s="572" t="n"/>
      <c r="N67" s="566" t="n"/>
      <c r="O67" s="566" t="n"/>
      <c r="P67" s="515" t="n"/>
      <c r="Q67" s="516" t="n"/>
      <c r="R67" s="517" t="n"/>
      <c r="S67" s="517" t="n"/>
      <c r="T67" s="515" t="n"/>
      <c r="U67" s="518" t="n"/>
      <c r="V67" s="515" t="n"/>
      <c r="W67" s="516" t="n"/>
      <c r="X67" s="500" t="n"/>
      <c r="Y67" s="500" t="n"/>
      <c r="Z67" s="573" t="n"/>
      <c r="AA67" s="518" t="n"/>
    </row>
    <row r="68">
      <c r="B68" s="9" t="inlineStr">
        <is>
          <t>선납+단품+결합 할인 반영 파손제외 구독료 (v+)</t>
        </is>
      </c>
      <c r="C68" s="527">
        <f>C64-C14</f>
        <v/>
      </c>
      <c r="D68" s="535">
        <f>C68/1.1</f>
        <v/>
      </c>
      <c r="F68" s="101" t="n"/>
      <c r="G68" s="102" t="n"/>
      <c r="H68" s="102" t="n"/>
      <c r="I68" s="103" t="n"/>
      <c r="J68" s="562" t="n"/>
      <c r="K68" s="571" t="n"/>
      <c r="L68" s="572" t="n"/>
      <c r="M68" s="572" t="n"/>
      <c r="N68" s="566" t="n"/>
      <c r="O68" s="566" t="n"/>
      <c r="P68" s="515" t="n"/>
      <c r="Q68" s="516" t="n"/>
      <c r="R68" s="517" t="n"/>
      <c r="S68" s="517" t="n"/>
      <c r="T68" s="515" t="n"/>
      <c r="U68" s="518" t="n"/>
      <c r="V68" s="515" t="n"/>
      <c r="W68" s="516" t="n"/>
      <c r="X68" s="500" t="n"/>
      <c r="Y68" s="500" t="n"/>
      <c r="Z68" s="573" t="n"/>
      <c r="AA68" s="518" t="n"/>
    </row>
    <row r="69">
      <c r="C69" s="505">
        <f>C68/C8/1.1</f>
        <v/>
      </c>
      <c r="F69" s="101" t="n"/>
      <c r="G69" s="102" t="n"/>
      <c r="H69" s="102" t="n"/>
      <c r="I69" s="103" t="n"/>
      <c r="J69" s="562" t="n"/>
      <c r="K69" s="571" t="n"/>
      <c r="L69" s="572" t="n"/>
      <c r="M69" s="572" t="n"/>
      <c r="N69" s="566" t="n"/>
      <c r="O69" s="566" t="n"/>
      <c r="P69" s="515" t="n"/>
      <c r="Q69" s="516" t="n"/>
      <c r="R69" s="517" t="n"/>
      <c r="S69" s="517" t="n"/>
      <c r="T69" s="515" t="n"/>
      <c r="U69" s="518" t="n"/>
      <c r="V69" s="515" t="n"/>
      <c r="W69" s="516" t="n"/>
      <c r="X69" s="500" t="n"/>
      <c r="Y69" s="500" t="n"/>
      <c r="Z69" s="573" t="n"/>
      <c r="AA69" s="518" t="n"/>
    </row>
    <row r="70">
      <c r="F70" s="101" t="n"/>
      <c r="G70" s="102" t="n"/>
      <c r="H70" s="102" t="n"/>
      <c r="I70" s="103" t="n"/>
      <c r="J70" s="562" t="n"/>
      <c r="K70" s="571" t="n"/>
      <c r="L70" s="572" t="n"/>
      <c r="M70" s="572" t="n"/>
      <c r="N70" s="566" t="n"/>
      <c r="O70" s="566" t="n"/>
      <c r="P70" s="515" t="n"/>
      <c r="Q70" s="516" t="n"/>
      <c r="R70" s="517" t="n"/>
      <c r="S70" s="517" t="n"/>
      <c r="T70" s="515" t="n"/>
      <c r="U70" s="518" t="n"/>
      <c r="V70" s="515" t="n"/>
      <c r="W70" s="516" t="n"/>
      <c r="X70" s="500" t="n"/>
      <c r="Y70" s="500" t="n"/>
      <c r="Z70" s="573" t="n"/>
      <c r="AA70" s="518" t="n"/>
    </row>
    <row r="71">
      <c r="F71" s="101" t="n"/>
      <c r="G71" s="102" t="n"/>
      <c r="H71" s="102" t="n"/>
      <c r="I71" s="103" t="n"/>
      <c r="J71" s="562" t="n"/>
      <c r="K71" s="571" t="n"/>
      <c r="L71" s="572" t="n"/>
      <c r="M71" s="572" t="n"/>
      <c r="N71" s="566" t="n"/>
      <c r="O71" s="566" t="n"/>
      <c r="P71" s="515" t="n"/>
      <c r="Q71" s="516" t="n"/>
      <c r="R71" s="517" t="n"/>
      <c r="S71" s="517" t="n"/>
      <c r="T71" s="515" t="n"/>
      <c r="U71" s="518" t="n"/>
      <c r="V71" s="515" t="n"/>
      <c r="W71" s="516" t="n"/>
      <c r="X71" s="500" t="n"/>
      <c r="Y71" s="500" t="n"/>
      <c r="Z71" s="573" t="n"/>
      <c r="AA71" s="518" t="n"/>
    </row>
    <row r="72">
      <c r="C72" s="505" t="n"/>
      <c r="F72" s="101" t="n"/>
      <c r="G72" s="102" t="n"/>
      <c r="H72" s="102" t="n"/>
      <c r="I72" s="103" t="n"/>
      <c r="J72" s="562" t="n"/>
      <c r="K72" s="571" t="n"/>
      <c r="L72" s="572" t="n"/>
      <c r="M72" s="572" t="n"/>
      <c r="N72" s="566" t="n"/>
      <c r="O72" s="566" t="n"/>
      <c r="P72" s="515" t="n"/>
      <c r="Q72" s="516" t="n"/>
      <c r="R72" s="517" t="n"/>
      <c r="S72" s="517" t="n"/>
      <c r="T72" s="515" t="n"/>
      <c r="U72" s="518" t="n"/>
      <c r="V72" s="515" t="n"/>
      <c r="W72" s="516" t="n"/>
      <c r="X72" s="500" t="n"/>
      <c r="Y72" s="500" t="n"/>
      <c r="Z72" s="573" t="n"/>
      <c r="AA72" s="518" t="n"/>
    </row>
    <row r="73">
      <c r="C73" s="505" t="n"/>
      <c r="F73" s="101" t="n"/>
      <c r="G73" s="102" t="n"/>
      <c r="H73" s="102" t="n"/>
      <c r="I73" s="103" t="n"/>
      <c r="J73" s="562" t="n"/>
      <c r="K73" s="571" t="n"/>
      <c r="L73" s="572" t="n"/>
      <c r="M73" s="572" t="n"/>
      <c r="N73" s="566" t="n"/>
      <c r="O73" s="566" t="n"/>
      <c r="P73" s="515" t="n"/>
      <c r="Q73" s="516" t="n"/>
      <c r="R73" s="517" t="n"/>
      <c r="S73" s="517" t="n"/>
      <c r="T73" s="515" t="n"/>
      <c r="U73" s="518" t="n"/>
      <c r="V73" s="515" t="n"/>
      <c r="W73" s="516" t="n"/>
      <c r="X73" s="500" t="n"/>
      <c r="Y73" s="500" t="n"/>
      <c r="Z73" s="573" t="n"/>
      <c r="AA73" s="518" t="n"/>
    </row>
    <row r="74">
      <c r="F74" s="101" t="n"/>
      <c r="G74" s="102" t="n"/>
      <c r="H74" s="102" t="n"/>
      <c r="I74" s="103" t="n"/>
      <c r="J74" s="562" t="n"/>
      <c r="K74" s="571" t="n"/>
      <c r="L74" s="572" t="n"/>
      <c r="M74" s="572" t="n"/>
      <c r="N74" s="566" t="n"/>
      <c r="O74" s="566" t="n"/>
      <c r="P74" s="515" t="n"/>
      <c r="Q74" s="516" t="n"/>
      <c r="R74" s="517" t="n"/>
      <c r="S74" s="517" t="n"/>
      <c r="T74" s="515" t="n"/>
      <c r="U74" s="518" t="n"/>
      <c r="V74" s="515" t="n"/>
      <c r="W74" s="516" t="n"/>
      <c r="X74" s="500" t="n"/>
      <c r="Y74" s="500" t="n"/>
      <c r="Z74" s="573" t="n"/>
      <c r="AA74" s="518" t="n"/>
    </row>
    <row r="75">
      <c r="F75" s="101" t="n"/>
      <c r="G75" s="102" t="n"/>
      <c r="H75" s="102" t="n"/>
      <c r="I75" s="103" t="n"/>
      <c r="J75" s="562" t="n"/>
      <c r="K75" s="571" t="n"/>
      <c r="L75" s="572" t="n"/>
      <c r="M75" s="572" t="n"/>
      <c r="N75" s="566" t="n"/>
      <c r="O75" s="566" t="n"/>
      <c r="P75" s="515" t="n"/>
      <c r="Q75" s="516" t="n"/>
      <c r="R75" s="517" t="n"/>
      <c r="S75" s="517" t="n"/>
      <c r="T75" s="515" t="n"/>
      <c r="U75" s="518" t="n"/>
      <c r="V75" s="515" t="n"/>
      <c r="W75" s="516" t="n"/>
      <c r="X75" s="500" t="n"/>
      <c r="Y75" s="500" t="n"/>
      <c r="Z75" s="573" t="n"/>
      <c r="AA75" s="518" t="n"/>
    </row>
    <row r="76">
      <c r="F76" s="101" t="n"/>
      <c r="G76" s="102" t="n"/>
      <c r="H76" s="102" t="n"/>
      <c r="I76" s="103" t="n"/>
      <c r="J76" s="562" t="n"/>
      <c r="K76" s="571" t="n"/>
      <c r="L76" s="572" t="n"/>
      <c r="M76" s="572" t="n"/>
      <c r="N76" s="566" t="n"/>
      <c r="O76" s="566" t="n"/>
      <c r="P76" s="515" t="n"/>
      <c r="Q76" s="516" t="n"/>
      <c r="R76" s="517" t="n"/>
      <c r="S76" s="517" t="n"/>
      <c r="T76" s="515" t="n"/>
      <c r="U76" s="518" t="n"/>
      <c r="V76" s="515" t="n"/>
      <c r="W76" s="516" t="n"/>
      <c r="X76" s="500" t="n"/>
      <c r="Y76" s="500" t="n"/>
      <c r="Z76" s="573" t="n"/>
      <c r="AA76" s="518" t="n"/>
    </row>
    <row r="77">
      <c r="F77" s="101" t="n"/>
      <c r="G77" s="102" t="n"/>
      <c r="H77" s="102" t="n"/>
      <c r="I77" s="103" t="n"/>
      <c r="J77" s="562" t="n"/>
      <c r="K77" s="571" t="n"/>
      <c r="L77" s="572" t="n"/>
      <c r="M77" s="572" t="n"/>
      <c r="N77" s="566" t="n"/>
      <c r="O77" s="566" t="n"/>
      <c r="P77" s="515" t="n"/>
      <c r="Q77" s="516" t="n"/>
      <c r="R77" s="517" t="n"/>
      <c r="S77" s="517" t="n"/>
      <c r="T77" s="515" t="n"/>
      <c r="U77" s="518" t="n"/>
      <c r="V77" s="515" t="n"/>
      <c r="W77" s="516" t="n"/>
      <c r="X77" s="500" t="n"/>
      <c r="Y77" s="500" t="n"/>
      <c r="Z77" s="573" t="n"/>
      <c r="AA77" s="518" t="n"/>
    </row>
    <row r="78">
      <c r="F78" s="35" t="n"/>
      <c r="G78" s="36" t="n"/>
      <c r="H78" s="36" t="n"/>
      <c r="I78" s="37" t="n"/>
      <c r="J78" s="584" t="n"/>
      <c r="K78" s="585" t="n"/>
      <c r="L78" s="586" t="n"/>
      <c r="M78" s="586" t="n"/>
      <c r="N78" s="587" t="n"/>
      <c r="O78" s="587" t="n"/>
      <c r="P78" s="546" t="n"/>
      <c r="Q78" s="547" t="n"/>
      <c r="R78" s="548" t="n"/>
      <c r="S78" s="548" t="n"/>
      <c r="T78" s="546" t="n"/>
      <c r="U78" s="549" t="n"/>
      <c r="V78" s="581" t="n"/>
      <c r="W78" s="588" t="n"/>
      <c r="X78" s="589" t="n"/>
      <c r="Y78" s="589" t="n"/>
      <c r="Z78" s="590" t="n"/>
      <c r="AA78" s="549" t="n"/>
    </row>
    <row r="79">
      <c r="W79" s="500" t="n"/>
    </row>
  </sheetData>
  <mergeCells count="3">
    <mergeCell ref="D31:D34"/>
    <mergeCell ref="D41:D44"/>
    <mergeCell ref="D51:D54"/>
  </mergeCells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tabColor rgb="00A6A6A6"/>
    <outlinePr summaryBelow="1" summaryRight="1"/>
    <pageSetUpPr/>
  </sheetPr>
  <dimension ref="B1:R76"/>
  <sheetViews>
    <sheetView showGridLines="0" zoomScale="80" zoomScaleNormal="80" workbookViewId="0">
      <selection activeCell="J34" sqref="J34"/>
    </sheetView>
  </sheetViews>
  <sheetFormatPr baseColWidth="8" defaultRowHeight="16.9"/>
  <cols>
    <col width="3" customWidth="1" style="497" min="1" max="1"/>
    <col width="23.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5.1875" bestFit="1" customWidth="1" style="497" min="10" max="10"/>
    <col width="13.375" bestFit="1" customWidth="1" style="497" min="11" max="11"/>
    <col width="10.875" bestFit="1" customWidth="1" style="497" min="12" max="12"/>
    <col width="9.375" bestFit="1" customWidth="1" style="497" min="13" max="13"/>
    <col outlineLevel="1" width="15.875" customWidth="1" style="497" min="14" max="14"/>
    <col outlineLevel="1" width="13.375" bestFit="1" customWidth="1" style="497" min="15" max="15"/>
    <col outlineLevel="1" width="10.875" customWidth="1" style="497" min="16" max="16"/>
    <col outlineLevel="1" width="9.6875" customWidth="1" style="497" min="17" max="17"/>
    <col width="9.375" bestFit="1" customWidth="1" style="497" min="18" max="18"/>
  </cols>
  <sheetData>
    <row r="1">
      <c r="K1" s="206">
        <f>ROUNDDOWN((($C$13-C10-C11)/$C$6)*(H4-G4+1)/DAY(H4),-2)</f>
        <v/>
      </c>
    </row>
    <row r="2">
      <c r="I2" s="8" t="inlineStr">
        <is>
          <t>SUM =</t>
        </is>
      </c>
      <c r="J2" s="500">
        <f>SUM(J4:J76)</f>
        <v/>
      </c>
      <c r="K2" s="500">
        <f>SUM(K4:K76)</f>
        <v/>
      </c>
      <c r="L2" s="500">
        <f>SUM(L4:L76)</f>
        <v/>
      </c>
      <c r="M2" s="500">
        <f>SUM(M4:M76)</f>
        <v/>
      </c>
      <c r="N2" s="500">
        <f>SUM(N4:N76)</f>
        <v/>
      </c>
      <c r="O2" s="500">
        <f>SUM(O4:O76)</f>
        <v/>
      </c>
      <c r="P2" s="500">
        <f>SUM(P4:P76)</f>
        <v/>
      </c>
      <c r="Q2" s="500">
        <f>SUM(Q4:Q76)</f>
        <v/>
      </c>
    </row>
    <row r="3">
      <c r="B3" s="9" t="inlineStr">
        <is>
          <t>품목</t>
        </is>
      </c>
      <c r="C3" s="6" t="inlineStr">
        <is>
          <t>에어컨</t>
        </is>
      </c>
      <c r="F3" s="9" t="inlineStr">
        <is>
          <t>구독회차</t>
        </is>
      </c>
      <c r="G3" s="10" t="inlineStr">
        <is>
          <t>캘린더</t>
        </is>
      </c>
      <c r="H3" s="10" t="n"/>
      <c r="I3" s="9" t="inlineStr">
        <is>
          <t>청구일</t>
        </is>
      </c>
      <c r="J3" s="9" t="inlineStr">
        <is>
          <t>구독료청구 (v-)</t>
        </is>
      </c>
      <c r="K3" s="26" t="inlineStr">
        <is>
          <t>제품 (v-)</t>
        </is>
      </c>
      <c r="L3" s="15" t="inlineStr">
        <is>
          <t>케어 (v-)</t>
        </is>
      </c>
      <c r="M3" s="27" t="inlineStr">
        <is>
          <t>보증 (v-)</t>
        </is>
      </c>
      <c r="N3" s="9" t="inlineStr">
        <is>
          <t>구독료청구 (v+)</t>
        </is>
      </c>
      <c r="O3" s="26" t="inlineStr">
        <is>
          <t>제품 (v+)</t>
        </is>
      </c>
      <c r="P3" s="15" t="inlineStr">
        <is>
          <t>케어 (v+)</t>
        </is>
      </c>
      <c r="Q3" s="27" t="inlineStr">
        <is>
          <t>보증 (v+)</t>
        </is>
      </c>
    </row>
    <row r="4">
      <c r="B4" s="9" t="inlineStr">
        <is>
          <t>모델코드</t>
        </is>
      </c>
      <c r="C4" s="6" t="inlineStr">
        <is>
          <t>AF80F25D29WRT</t>
        </is>
      </c>
      <c r="F4" s="28" t="inlineStr">
        <is>
          <t>1회차</t>
        </is>
      </c>
      <c r="G4" s="29" t="n">
        <v>45912</v>
      </c>
      <c r="H4" s="29">
        <f>EOMONTH(G4,0)</f>
        <v/>
      </c>
      <c r="I4" s="30">
        <f>EOMONTH(G4,0)+15</f>
        <v/>
      </c>
      <c r="J4" s="508">
        <f>ROUNDDOWN(($C$13/$C$6)*(H4-G4+1)/DAY(H4),-2)</f>
        <v/>
      </c>
      <c r="K4" s="509">
        <f>J4-L4-M4</f>
        <v/>
      </c>
      <c r="L4" s="510">
        <f>ROUNDDOWN(($C$10/$C$6)*(H4-G4+1)/DAY(H4),-2)</f>
        <v/>
      </c>
      <c r="M4" s="511">
        <f>ROUNDDOWN(($C$11/$C$6)*(H4-G4+1)/DAY(H4),-2)</f>
        <v/>
      </c>
      <c r="N4" s="515">
        <f>J4*1.1</f>
        <v/>
      </c>
      <c r="O4" s="646">
        <f>K4*1.1</f>
        <v/>
      </c>
      <c r="P4" s="517">
        <f>L4*1.1</f>
        <v/>
      </c>
      <c r="Q4" s="518">
        <f>M4*1.1</f>
        <v/>
      </c>
      <c r="R4" s="206" t="inlineStr">
        <is>
          <t>* 제품 = 구독료일할 - 케어일할 - 보증일할 (차액금)</t>
        </is>
      </c>
    </row>
    <row r="5">
      <c r="B5" s="9" t="inlineStr">
        <is>
          <t>구독기간(년)</t>
        </is>
      </c>
      <c r="C5" s="514" t="n">
        <v>6</v>
      </c>
      <c r="F5" s="101" t="inlineStr">
        <is>
          <t>2회차</t>
        </is>
      </c>
      <c r="G5" s="102">
        <f>H4+1</f>
        <v/>
      </c>
      <c r="H5" s="102">
        <f>EOMONTH(G5,0)</f>
        <v/>
      </c>
      <c r="I5" s="103">
        <f>EDATE(I4,1)</f>
        <v/>
      </c>
      <c r="J5" s="515">
        <f>$C$14</f>
        <v/>
      </c>
      <c r="K5" s="516">
        <f>$C$12/$C$6</f>
        <v/>
      </c>
      <c r="L5" s="517">
        <f>$C$10/$C$6</f>
        <v/>
      </c>
      <c r="M5" s="518">
        <f>$C$11/$C$6</f>
        <v/>
      </c>
      <c r="N5" s="515">
        <f>J5*1.1</f>
        <v/>
      </c>
      <c r="O5" s="646">
        <f>K5*1.1</f>
        <v/>
      </c>
      <c r="P5" s="517">
        <f>L5*1.1</f>
        <v/>
      </c>
      <c r="Q5" s="518">
        <f>M5*1.1</f>
        <v/>
      </c>
      <c r="R5" s="206" t="inlineStr">
        <is>
          <t>* 1회차 수식 그대로 적용해도 동일한 값이 산출됨</t>
        </is>
      </c>
    </row>
    <row r="6">
      <c r="B6" s="9" t="inlineStr">
        <is>
          <t>구독기간(개월)</t>
        </is>
      </c>
      <c r="C6" s="514" t="n">
        <v>72</v>
      </c>
      <c r="F6" s="101" t="inlineStr">
        <is>
          <t>3회차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$C$14</f>
        <v/>
      </c>
      <c r="K6" s="516">
        <f>$C$12/$C$6</f>
        <v/>
      </c>
      <c r="L6" s="517">
        <f>$C$10/$C$6</f>
        <v/>
      </c>
      <c r="M6" s="518">
        <f>$C$11/$C$6</f>
        <v/>
      </c>
      <c r="N6" s="515">
        <f>J6*1.1</f>
        <v/>
      </c>
      <c r="O6" s="646">
        <f>K6*1.1</f>
        <v/>
      </c>
      <c r="P6" s="517">
        <f>L6*1.1</f>
        <v/>
      </c>
      <c r="Q6" s="518">
        <f>M6*1.1</f>
        <v/>
      </c>
    </row>
    <row r="7">
      <c r="B7" s="9" t="inlineStr">
        <is>
          <t>구독기간(일)</t>
        </is>
      </c>
      <c r="C7" s="514">
        <f>EDATE(G4,C6)-G4</f>
        <v/>
      </c>
      <c r="F7" s="101" t="inlineStr">
        <is>
          <t>4회차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$C$14</f>
        <v/>
      </c>
      <c r="K7" s="516">
        <f>$C$12/$C$6</f>
        <v/>
      </c>
      <c r="L7" s="517">
        <f>$C$10/$C$6</f>
        <v/>
      </c>
      <c r="M7" s="518">
        <f>$C$11/$C$6</f>
        <v/>
      </c>
      <c r="N7" s="515">
        <f>J7*1.1</f>
        <v/>
      </c>
      <c r="O7" s="646">
        <f>K7*1.1</f>
        <v/>
      </c>
      <c r="P7" s="517">
        <f>L7*1.1</f>
        <v/>
      </c>
      <c r="Q7" s="518">
        <f>M7*1.1</f>
        <v/>
      </c>
    </row>
    <row r="8">
      <c r="B8" s="9" t="inlineStr">
        <is>
          <t>케어서비스</t>
        </is>
      </c>
      <c r="C8" s="6" t="inlineStr">
        <is>
          <t>방문케어 12개월주기</t>
        </is>
      </c>
      <c r="F8" s="101" t="inlineStr">
        <is>
          <t>5회차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$C$14</f>
        <v/>
      </c>
      <c r="K8" s="516">
        <f>$C$12/$C$6</f>
        <v/>
      </c>
      <c r="L8" s="517">
        <f>$C$10/$C$6</f>
        <v/>
      </c>
      <c r="M8" s="518">
        <f>$C$11/$C$6</f>
        <v/>
      </c>
      <c r="N8" s="515">
        <f>J8*1.1</f>
        <v/>
      </c>
      <c r="O8" s="646">
        <f>K8*1.1</f>
        <v/>
      </c>
      <c r="P8" s="517">
        <f>L8*1.1</f>
        <v/>
      </c>
      <c r="Q8" s="518">
        <f>M8*1.1</f>
        <v/>
      </c>
    </row>
    <row r="9">
      <c r="B9" s="9" t="inlineStr">
        <is>
          <t>혜택가(v-)</t>
        </is>
      </c>
      <c r="C9" s="526" t="n">
        <v>6936364</v>
      </c>
      <c r="F9" s="101" t="inlineStr">
        <is>
          <t>6회차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$C$14</f>
        <v/>
      </c>
      <c r="K9" s="516">
        <f>$C$12/$C$6</f>
        <v/>
      </c>
      <c r="L9" s="517">
        <f>$C$10/$C$6</f>
        <v/>
      </c>
      <c r="M9" s="518">
        <f>$C$11/$C$6</f>
        <v/>
      </c>
      <c r="N9" s="515">
        <f>J9*1.1</f>
        <v/>
      </c>
      <c r="O9" s="646">
        <f>K9*1.1</f>
        <v/>
      </c>
      <c r="P9" s="517">
        <f>L9*1.1</f>
        <v/>
      </c>
      <c r="Q9" s="518">
        <f>M9*1.1</f>
        <v/>
      </c>
    </row>
    <row r="10">
      <c r="B10" s="9" t="inlineStr">
        <is>
          <t>케어서비스(v-)</t>
        </is>
      </c>
      <c r="C10" s="526">
        <f>15100*72</f>
        <v/>
      </c>
      <c r="F10" s="101" t="inlineStr">
        <is>
          <t>7회차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$C$14</f>
        <v/>
      </c>
      <c r="K10" s="516">
        <f>$C$12/$C$6</f>
        <v/>
      </c>
      <c r="L10" s="517">
        <f>$C$10/$C$6</f>
        <v/>
      </c>
      <c r="M10" s="518">
        <f>$C$11/$C$6</f>
        <v/>
      </c>
      <c r="N10" s="515">
        <f>J10*1.1</f>
        <v/>
      </c>
      <c r="O10" s="646">
        <f>K10*1.1</f>
        <v/>
      </c>
      <c r="P10" s="517">
        <f>L10*1.1</f>
        <v/>
      </c>
      <c r="Q10" s="518">
        <f>M10*1.1</f>
        <v/>
      </c>
    </row>
    <row r="11">
      <c r="B11" s="9" t="inlineStr">
        <is>
          <t>보증연장(v-)</t>
        </is>
      </c>
      <c r="C11" s="526">
        <f>1800*72</f>
        <v/>
      </c>
      <c r="F11" s="101" t="inlineStr">
        <is>
          <t>8회차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$C$14</f>
        <v/>
      </c>
      <c r="K11" s="516">
        <f>$C$12/$C$6</f>
        <v/>
      </c>
      <c r="L11" s="517">
        <f>$C$10/$C$6</f>
        <v/>
      </c>
      <c r="M11" s="518">
        <f>$C$11/$C$6</f>
        <v/>
      </c>
      <c r="N11" s="515">
        <f>J11*1.1</f>
        <v/>
      </c>
      <c r="O11" s="646">
        <f>K11*1.1</f>
        <v/>
      </c>
      <c r="P11" s="517">
        <f>L11*1.1</f>
        <v/>
      </c>
      <c r="Q11" s="518">
        <f>M11*1.1</f>
        <v/>
      </c>
    </row>
    <row r="12">
      <c r="B12" s="9" t="inlineStr">
        <is>
          <t>매출인식 기준 구독료(v-)</t>
        </is>
      </c>
      <c r="C12" s="527">
        <f>C13-C11-C10</f>
        <v/>
      </c>
      <c r="F12" s="101" t="inlineStr">
        <is>
          <t>9회차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$C$14</f>
        <v/>
      </c>
      <c r="K12" s="516">
        <f>$C$12/$C$6</f>
        <v/>
      </c>
      <c r="L12" s="517">
        <f>$C$10/$C$6</f>
        <v/>
      </c>
      <c r="M12" s="518">
        <f>$C$11/$C$6</f>
        <v/>
      </c>
      <c r="N12" s="515">
        <f>J12*1.1</f>
        <v/>
      </c>
      <c r="O12" s="646">
        <f>K12*1.1</f>
        <v/>
      </c>
      <c r="P12" s="517">
        <f>L12*1.1</f>
        <v/>
      </c>
      <c r="Q12" s="518">
        <f>M12*1.1</f>
        <v/>
      </c>
    </row>
    <row r="13">
      <c r="B13" s="9" t="inlineStr">
        <is>
          <t>총구독료(v-)</t>
        </is>
      </c>
      <c r="C13" s="526" t="n">
        <v>11757600</v>
      </c>
      <c r="F13" s="101" t="inlineStr">
        <is>
          <t>10회차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$C$14</f>
        <v/>
      </c>
      <c r="K13" s="516">
        <f>$C$12/$C$6</f>
        <v/>
      </c>
      <c r="L13" s="517">
        <f>$C$10/$C$6</f>
        <v/>
      </c>
      <c r="M13" s="518">
        <f>$C$11/$C$6</f>
        <v/>
      </c>
      <c r="N13" s="515">
        <f>J13*1.1</f>
        <v/>
      </c>
      <c r="O13" s="646">
        <f>K13*1.1</f>
        <v/>
      </c>
      <c r="P13" s="517">
        <f>L13*1.1</f>
        <v/>
      </c>
      <c r="Q13" s="518">
        <f>M13*1.1</f>
        <v/>
      </c>
    </row>
    <row r="14">
      <c r="B14" s="9" t="inlineStr">
        <is>
          <t>월구독료(v-)</t>
        </is>
      </c>
      <c r="C14" s="526" t="n">
        <v>163300</v>
      </c>
      <c r="F14" s="101" t="inlineStr">
        <is>
          <t>11회차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$C$14</f>
        <v/>
      </c>
      <c r="K14" s="516">
        <f>$C$12/$C$6</f>
        <v/>
      </c>
      <c r="L14" s="517">
        <f>$C$10/$C$6</f>
        <v/>
      </c>
      <c r="M14" s="518">
        <f>$C$11/$C$6</f>
        <v/>
      </c>
      <c r="N14" s="515">
        <f>J14*1.1</f>
        <v/>
      </c>
      <c r="O14" s="646">
        <f>K14*1.1</f>
        <v/>
      </c>
      <c r="P14" s="517">
        <f>L14*1.1</f>
        <v/>
      </c>
      <c r="Q14" s="518">
        <f>M14*1.1</f>
        <v/>
      </c>
    </row>
    <row r="15">
      <c r="F15" s="101" t="inlineStr">
        <is>
          <t>12회차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$C$14</f>
        <v/>
      </c>
      <c r="K15" s="516">
        <f>$C$12/$C$6</f>
        <v/>
      </c>
      <c r="L15" s="517">
        <f>$C$10/$C$6</f>
        <v/>
      </c>
      <c r="M15" s="518">
        <f>$C$11/$C$6</f>
        <v/>
      </c>
      <c r="N15" s="515">
        <f>J15*1.1</f>
        <v/>
      </c>
      <c r="O15" s="646">
        <f>K15*1.1</f>
        <v/>
      </c>
      <c r="P15" s="517">
        <f>L15*1.1</f>
        <v/>
      </c>
      <c r="Q15" s="518">
        <f>M15*1.1</f>
        <v/>
      </c>
    </row>
    <row r="16">
      <c r="F16" s="101" t="inlineStr">
        <is>
          <t>13회차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$C$14</f>
        <v/>
      </c>
      <c r="K16" s="516">
        <f>$C$12/$C$6</f>
        <v/>
      </c>
      <c r="L16" s="517">
        <f>$C$10/$C$6</f>
        <v/>
      </c>
      <c r="M16" s="518">
        <f>$C$11/$C$6</f>
        <v/>
      </c>
      <c r="N16" s="515">
        <f>J16*1.1</f>
        <v/>
      </c>
      <c r="O16" s="646">
        <f>K16*1.1</f>
        <v/>
      </c>
      <c r="P16" s="517">
        <f>L16*1.1</f>
        <v/>
      </c>
      <c r="Q16" s="518">
        <f>M16*1.1</f>
        <v/>
      </c>
    </row>
    <row r="17">
      <c r="F17" s="101" t="inlineStr">
        <is>
          <t>14회차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$C$14</f>
        <v/>
      </c>
      <c r="K17" s="516">
        <f>$C$12/$C$6</f>
        <v/>
      </c>
      <c r="L17" s="517">
        <f>$C$10/$C$6</f>
        <v/>
      </c>
      <c r="M17" s="518">
        <f>$C$11/$C$6</f>
        <v/>
      </c>
      <c r="N17" s="515">
        <f>J17*1.1</f>
        <v/>
      </c>
      <c r="O17" s="646">
        <f>K17*1.1</f>
        <v/>
      </c>
      <c r="P17" s="517">
        <f>L17*1.1</f>
        <v/>
      </c>
      <c r="Q17" s="518">
        <f>M17*1.1</f>
        <v/>
      </c>
    </row>
    <row r="18">
      <c r="F18" s="101" t="inlineStr">
        <is>
          <t>15회차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$C$14</f>
        <v/>
      </c>
      <c r="K18" s="516">
        <f>$C$12/$C$6</f>
        <v/>
      </c>
      <c r="L18" s="517">
        <f>$C$10/$C$6</f>
        <v/>
      </c>
      <c r="M18" s="518">
        <f>$C$11/$C$6</f>
        <v/>
      </c>
      <c r="N18" s="515">
        <f>J18*1.1</f>
        <v/>
      </c>
      <c r="O18" s="646">
        <f>K18*1.1</f>
        <v/>
      </c>
      <c r="P18" s="517">
        <f>L18*1.1</f>
        <v/>
      </c>
      <c r="Q18" s="518">
        <f>M18*1.1</f>
        <v/>
      </c>
    </row>
    <row r="19">
      <c r="F19" s="101" t="inlineStr">
        <is>
          <t>16회차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$C$14</f>
        <v/>
      </c>
      <c r="K19" s="516">
        <f>$C$12/$C$6</f>
        <v/>
      </c>
      <c r="L19" s="517">
        <f>$C$10/$C$6</f>
        <v/>
      </c>
      <c r="M19" s="518">
        <f>$C$11/$C$6</f>
        <v/>
      </c>
      <c r="N19" s="515">
        <f>J19*1.1</f>
        <v/>
      </c>
      <c r="O19" s="646">
        <f>K19*1.1</f>
        <v/>
      </c>
      <c r="P19" s="517">
        <f>L19*1.1</f>
        <v/>
      </c>
      <c r="Q19" s="518">
        <f>M19*1.1</f>
        <v/>
      </c>
    </row>
    <row r="20">
      <c r="F20" s="101" t="inlineStr">
        <is>
          <t>17회차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$C$14</f>
        <v/>
      </c>
      <c r="K20" s="516">
        <f>$C$12/$C$6</f>
        <v/>
      </c>
      <c r="L20" s="517">
        <f>$C$10/$C$6</f>
        <v/>
      </c>
      <c r="M20" s="518">
        <f>$C$11/$C$6</f>
        <v/>
      </c>
      <c r="N20" s="515">
        <f>J20*1.1</f>
        <v/>
      </c>
      <c r="O20" s="646">
        <f>K20*1.1</f>
        <v/>
      </c>
      <c r="P20" s="517">
        <f>L20*1.1</f>
        <v/>
      </c>
      <c r="Q20" s="518">
        <f>M20*1.1</f>
        <v/>
      </c>
    </row>
    <row r="21">
      <c r="F21" s="101" t="inlineStr">
        <is>
          <t>18회차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$C$14</f>
        <v/>
      </c>
      <c r="K21" s="516">
        <f>$C$12/$C$6</f>
        <v/>
      </c>
      <c r="L21" s="517">
        <f>$C$10/$C$6</f>
        <v/>
      </c>
      <c r="M21" s="518">
        <f>$C$11/$C$6</f>
        <v/>
      </c>
      <c r="N21" s="515">
        <f>J21*1.1</f>
        <v/>
      </c>
      <c r="O21" s="646">
        <f>K21*1.1</f>
        <v/>
      </c>
      <c r="P21" s="517">
        <f>L21*1.1</f>
        <v/>
      </c>
      <c r="Q21" s="518">
        <f>M21*1.1</f>
        <v/>
      </c>
    </row>
    <row r="22">
      <c r="F22" s="101" t="inlineStr">
        <is>
          <t>19회차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$C$14</f>
        <v/>
      </c>
      <c r="K22" s="516">
        <f>$C$12/$C$6</f>
        <v/>
      </c>
      <c r="L22" s="517">
        <f>$C$10/$C$6</f>
        <v/>
      </c>
      <c r="M22" s="518">
        <f>$C$11/$C$6</f>
        <v/>
      </c>
      <c r="N22" s="515">
        <f>J22*1.1</f>
        <v/>
      </c>
      <c r="O22" s="646">
        <f>K22*1.1</f>
        <v/>
      </c>
      <c r="P22" s="517">
        <f>L22*1.1</f>
        <v/>
      </c>
      <c r="Q22" s="518">
        <f>M22*1.1</f>
        <v/>
      </c>
    </row>
    <row r="23">
      <c r="F23" s="101" t="inlineStr">
        <is>
          <t>20회차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$C$14</f>
        <v/>
      </c>
      <c r="K23" s="516">
        <f>$C$12/$C$6</f>
        <v/>
      </c>
      <c r="L23" s="517">
        <f>$C$10/$C$6</f>
        <v/>
      </c>
      <c r="M23" s="518">
        <f>$C$11/$C$6</f>
        <v/>
      </c>
      <c r="N23" s="515">
        <f>J23*1.1</f>
        <v/>
      </c>
      <c r="O23" s="646">
        <f>K23*1.1</f>
        <v/>
      </c>
      <c r="P23" s="517">
        <f>L23*1.1</f>
        <v/>
      </c>
      <c r="Q23" s="518">
        <f>M23*1.1</f>
        <v/>
      </c>
    </row>
    <row r="24">
      <c r="F24" s="101" t="inlineStr">
        <is>
          <t>21회차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$C$14</f>
        <v/>
      </c>
      <c r="K24" s="516">
        <f>$C$12/$C$6</f>
        <v/>
      </c>
      <c r="L24" s="517">
        <f>$C$10/$C$6</f>
        <v/>
      </c>
      <c r="M24" s="518">
        <f>$C$11/$C$6</f>
        <v/>
      </c>
      <c r="N24" s="515">
        <f>J24*1.1</f>
        <v/>
      </c>
      <c r="O24" s="646">
        <f>K24*1.1</f>
        <v/>
      </c>
      <c r="P24" s="517">
        <f>L24*1.1</f>
        <v/>
      </c>
      <c r="Q24" s="518">
        <f>M24*1.1</f>
        <v/>
      </c>
    </row>
    <row r="25">
      <c r="F25" s="101" t="inlineStr">
        <is>
          <t>22회차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$C$14</f>
        <v/>
      </c>
      <c r="K25" s="516">
        <f>$C$12/$C$6</f>
        <v/>
      </c>
      <c r="L25" s="517">
        <f>$C$10/$C$6</f>
        <v/>
      </c>
      <c r="M25" s="518">
        <f>$C$11/$C$6</f>
        <v/>
      </c>
      <c r="N25" s="515">
        <f>J25*1.1</f>
        <v/>
      </c>
      <c r="O25" s="646">
        <f>K25*1.1</f>
        <v/>
      </c>
      <c r="P25" s="517">
        <f>L25*1.1</f>
        <v/>
      </c>
      <c r="Q25" s="518">
        <f>M25*1.1</f>
        <v/>
      </c>
    </row>
    <row r="26">
      <c r="F26" s="101" t="inlineStr">
        <is>
          <t>23회차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$C$14</f>
        <v/>
      </c>
      <c r="K26" s="516">
        <f>$C$12/$C$6</f>
        <v/>
      </c>
      <c r="L26" s="517">
        <f>$C$10/$C$6</f>
        <v/>
      </c>
      <c r="M26" s="518">
        <f>$C$11/$C$6</f>
        <v/>
      </c>
      <c r="N26" s="515">
        <f>J26*1.1</f>
        <v/>
      </c>
      <c r="O26" s="646">
        <f>K26*1.1</f>
        <v/>
      </c>
      <c r="P26" s="517">
        <f>L26*1.1</f>
        <v/>
      </c>
      <c r="Q26" s="518">
        <f>M26*1.1</f>
        <v/>
      </c>
    </row>
    <row r="27">
      <c r="F27" s="101" t="inlineStr">
        <is>
          <t>24회차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$C$14</f>
        <v/>
      </c>
      <c r="K27" s="516">
        <f>$C$12/$C$6</f>
        <v/>
      </c>
      <c r="L27" s="517">
        <f>$C$10/$C$6</f>
        <v/>
      </c>
      <c r="M27" s="518">
        <f>$C$11/$C$6</f>
        <v/>
      </c>
      <c r="N27" s="515">
        <f>J27*1.1</f>
        <v/>
      </c>
      <c r="O27" s="646">
        <f>K27*1.1</f>
        <v/>
      </c>
      <c r="P27" s="517">
        <f>L27*1.1</f>
        <v/>
      </c>
      <c r="Q27" s="518">
        <f>M27*1.1</f>
        <v/>
      </c>
    </row>
    <row r="28">
      <c r="F28" s="101" t="inlineStr">
        <is>
          <t>25회차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$C$14</f>
        <v/>
      </c>
      <c r="K28" s="516">
        <f>$C$12/$C$6</f>
        <v/>
      </c>
      <c r="L28" s="517">
        <f>$C$10/$C$6</f>
        <v/>
      </c>
      <c r="M28" s="518">
        <f>$C$11/$C$6</f>
        <v/>
      </c>
      <c r="N28" s="515">
        <f>J28*1.1</f>
        <v/>
      </c>
      <c r="O28" s="646">
        <f>K28*1.1</f>
        <v/>
      </c>
      <c r="P28" s="517">
        <f>L28*1.1</f>
        <v/>
      </c>
      <c r="Q28" s="518">
        <f>M28*1.1</f>
        <v/>
      </c>
    </row>
    <row r="29">
      <c r="F29" s="101" t="inlineStr">
        <is>
          <t>26회차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$C$14</f>
        <v/>
      </c>
      <c r="K29" s="516">
        <f>$C$12/$C$6</f>
        <v/>
      </c>
      <c r="L29" s="517">
        <f>$C$10/$C$6</f>
        <v/>
      </c>
      <c r="M29" s="518">
        <f>$C$11/$C$6</f>
        <v/>
      </c>
      <c r="N29" s="515">
        <f>J29*1.1</f>
        <v/>
      </c>
      <c r="O29" s="646">
        <f>K29*1.1</f>
        <v/>
      </c>
      <c r="P29" s="517">
        <f>L29*1.1</f>
        <v/>
      </c>
      <c r="Q29" s="518">
        <f>M29*1.1</f>
        <v/>
      </c>
    </row>
    <row r="30">
      <c r="F30" s="101" t="inlineStr">
        <is>
          <t>27회차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$C$14</f>
        <v/>
      </c>
      <c r="K30" s="516">
        <f>$C$12/$C$6</f>
        <v/>
      </c>
      <c r="L30" s="517">
        <f>$C$10/$C$6</f>
        <v/>
      </c>
      <c r="M30" s="518">
        <f>$C$11/$C$6</f>
        <v/>
      </c>
      <c r="N30" s="515">
        <f>J30*1.1</f>
        <v/>
      </c>
      <c r="O30" s="646">
        <f>K30*1.1</f>
        <v/>
      </c>
      <c r="P30" s="517">
        <f>L30*1.1</f>
        <v/>
      </c>
      <c r="Q30" s="518">
        <f>M30*1.1</f>
        <v/>
      </c>
    </row>
    <row r="31">
      <c r="F31" s="101" t="inlineStr">
        <is>
          <t>28회차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$C$14</f>
        <v/>
      </c>
      <c r="K31" s="516">
        <f>$C$12/$C$6</f>
        <v/>
      </c>
      <c r="L31" s="517">
        <f>$C$10/$C$6</f>
        <v/>
      </c>
      <c r="M31" s="518">
        <f>$C$11/$C$6</f>
        <v/>
      </c>
      <c r="N31" s="515">
        <f>J31*1.1</f>
        <v/>
      </c>
      <c r="O31" s="646">
        <f>K31*1.1</f>
        <v/>
      </c>
      <c r="P31" s="517">
        <f>L31*1.1</f>
        <v/>
      </c>
      <c r="Q31" s="518">
        <f>M31*1.1</f>
        <v/>
      </c>
    </row>
    <row r="32">
      <c r="F32" s="101" t="inlineStr">
        <is>
          <t>29회차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$C$14</f>
        <v/>
      </c>
      <c r="K32" s="516">
        <f>$C$12/$C$6</f>
        <v/>
      </c>
      <c r="L32" s="517">
        <f>$C$10/$C$6</f>
        <v/>
      </c>
      <c r="M32" s="518">
        <f>$C$11/$C$6</f>
        <v/>
      </c>
      <c r="N32" s="515">
        <f>J32*1.1</f>
        <v/>
      </c>
      <c r="O32" s="646">
        <f>K32*1.1</f>
        <v/>
      </c>
      <c r="P32" s="517">
        <f>L32*1.1</f>
        <v/>
      </c>
      <c r="Q32" s="518">
        <f>M32*1.1</f>
        <v/>
      </c>
    </row>
    <row r="33">
      <c r="F33" s="101" t="inlineStr">
        <is>
          <t>30회차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$C$14</f>
        <v/>
      </c>
      <c r="K33" s="516">
        <f>$C$12/$C$6</f>
        <v/>
      </c>
      <c r="L33" s="517">
        <f>$C$10/$C$6</f>
        <v/>
      </c>
      <c r="M33" s="518">
        <f>$C$11/$C$6</f>
        <v/>
      </c>
      <c r="N33" s="515">
        <f>J33*1.1</f>
        <v/>
      </c>
      <c r="O33" s="646">
        <f>K33*1.1</f>
        <v/>
      </c>
      <c r="P33" s="517">
        <f>L33*1.1</f>
        <v/>
      </c>
      <c r="Q33" s="518">
        <f>M33*1.1</f>
        <v/>
      </c>
    </row>
    <row r="34">
      <c r="F34" s="101" t="inlineStr">
        <is>
          <t>31회차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$C$14</f>
        <v/>
      </c>
      <c r="K34" s="516">
        <f>$C$12/$C$6</f>
        <v/>
      </c>
      <c r="L34" s="517">
        <f>$C$10/$C$6</f>
        <v/>
      </c>
      <c r="M34" s="518">
        <f>$C$11/$C$6</f>
        <v/>
      </c>
      <c r="N34" s="515">
        <f>J34*1.1</f>
        <v/>
      </c>
      <c r="O34" s="646">
        <f>K34*1.1</f>
        <v/>
      </c>
      <c r="P34" s="517">
        <f>L34*1.1</f>
        <v/>
      </c>
      <c r="Q34" s="518">
        <f>M34*1.1</f>
        <v/>
      </c>
    </row>
    <row r="35">
      <c r="F35" s="101" t="inlineStr">
        <is>
          <t>32회차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$C$14</f>
        <v/>
      </c>
      <c r="K35" s="516">
        <f>$C$12/$C$6</f>
        <v/>
      </c>
      <c r="L35" s="517">
        <f>$C$10/$C$6</f>
        <v/>
      </c>
      <c r="M35" s="518">
        <f>$C$11/$C$6</f>
        <v/>
      </c>
      <c r="N35" s="515">
        <f>J35*1.1</f>
        <v/>
      </c>
      <c r="O35" s="646">
        <f>K35*1.1</f>
        <v/>
      </c>
      <c r="P35" s="517">
        <f>L35*1.1</f>
        <v/>
      </c>
      <c r="Q35" s="518">
        <f>M35*1.1</f>
        <v/>
      </c>
    </row>
    <row r="36">
      <c r="F36" s="101" t="inlineStr">
        <is>
          <t>33회차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$C$14</f>
        <v/>
      </c>
      <c r="K36" s="516">
        <f>$C$12/$C$6</f>
        <v/>
      </c>
      <c r="L36" s="517">
        <f>$C$10/$C$6</f>
        <v/>
      </c>
      <c r="M36" s="518">
        <f>$C$11/$C$6</f>
        <v/>
      </c>
      <c r="N36" s="515">
        <f>J36*1.1</f>
        <v/>
      </c>
      <c r="O36" s="646">
        <f>K36*1.1</f>
        <v/>
      </c>
      <c r="P36" s="517">
        <f>L36*1.1</f>
        <v/>
      </c>
      <c r="Q36" s="518">
        <f>M36*1.1</f>
        <v/>
      </c>
    </row>
    <row r="37">
      <c r="F37" s="101" t="inlineStr">
        <is>
          <t>34회차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$C$14</f>
        <v/>
      </c>
      <c r="K37" s="516">
        <f>$C$12/$C$6</f>
        <v/>
      </c>
      <c r="L37" s="517">
        <f>$C$10/$C$6</f>
        <v/>
      </c>
      <c r="M37" s="518">
        <f>$C$11/$C$6</f>
        <v/>
      </c>
      <c r="N37" s="515">
        <f>J37*1.1</f>
        <v/>
      </c>
      <c r="O37" s="646">
        <f>K37*1.1</f>
        <v/>
      </c>
      <c r="P37" s="517">
        <f>L37*1.1</f>
        <v/>
      </c>
      <c r="Q37" s="518">
        <f>M37*1.1</f>
        <v/>
      </c>
    </row>
    <row r="38">
      <c r="F38" s="101" t="inlineStr">
        <is>
          <t>35회차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$C$14</f>
        <v/>
      </c>
      <c r="K38" s="516">
        <f>$C$12/$C$6</f>
        <v/>
      </c>
      <c r="L38" s="517">
        <f>$C$10/$C$6</f>
        <v/>
      </c>
      <c r="M38" s="518">
        <f>$C$11/$C$6</f>
        <v/>
      </c>
      <c r="N38" s="515">
        <f>J38*1.1</f>
        <v/>
      </c>
      <c r="O38" s="646">
        <f>K38*1.1</f>
        <v/>
      </c>
      <c r="P38" s="517">
        <f>L38*1.1</f>
        <v/>
      </c>
      <c r="Q38" s="518">
        <f>M38*1.1</f>
        <v/>
      </c>
    </row>
    <row r="39">
      <c r="F39" s="101" t="inlineStr">
        <is>
          <t>36회차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$C$14</f>
        <v/>
      </c>
      <c r="K39" s="516">
        <f>$C$12/$C$6</f>
        <v/>
      </c>
      <c r="L39" s="517">
        <f>$C$10/$C$6</f>
        <v/>
      </c>
      <c r="M39" s="518">
        <f>$C$11/$C$6</f>
        <v/>
      </c>
      <c r="N39" s="515">
        <f>J39*1.1</f>
        <v/>
      </c>
      <c r="O39" s="646">
        <f>K39*1.1</f>
        <v/>
      </c>
      <c r="P39" s="517">
        <f>L39*1.1</f>
        <v/>
      </c>
      <c r="Q39" s="518">
        <f>M39*1.1</f>
        <v/>
      </c>
    </row>
    <row r="40">
      <c r="F40" s="101" t="inlineStr">
        <is>
          <t>37회차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$C$14</f>
        <v/>
      </c>
      <c r="K40" s="516">
        <f>$C$12/$C$6</f>
        <v/>
      </c>
      <c r="L40" s="517">
        <f>$C$10/$C$6</f>
        <v/>
      </c>
      <c r="M40" s="518">
        <f>$C$11/$C$6</f>
        <v/>
      </c>
      <c r="N40" s="515">
        <f>J40*1.1</f>
        <v/>
      </c>
      <c r="O40" s="646">
        <f>K40*1.1</f>
        <v/>
      </c>
      <c r="P40" s="517">
        <f>L40*1.1</f>
        <v/>
      </c>
      <c r="Q40" s="518">
        <f>M40*1.1</f>
        <v/>
      </c>
    </row>
    <row r="41">
      <c r="F41" s="101" t="inlineStr">
        <is>
          <t>38회차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$C$14</f>
        <v/>
      </c>
      <c r="K41" s="516">
        <f>$C$12/$C$6</f>
        <v/>
      </c>
      <c r="L41" s="517">
        <f>$C$10/$C$6</f>
        <v/>
      </c>
      <c r="M41" s="518">
        <f>$C$11/$C$6</f>
        <v/>
      </c>
      <c r="N41" s="515">
        <f>J41*1.1</f>
        <v/>
      </c>
      <c r="O41" s="646">
        <f>K41*1.1</f>
        <v/>
      </c>
      <c r="P41" s="517">
        <f>L41*1.1</f>
        <v/>
      </c>
      <c r="Q41" s="518">
        <f>M41*1.1</f>
        <v/>
      </c>
    </row>
    <row r="42">
      <c r="F42" s="101" t="inlineStr">
        <is>
          <t>39회차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$C$14</f>
        <v/>
      </c>
      <c r="K42" s="516">
        <f>$C$12/$C$6</f>
        <v/>
      </c>
      <c r="L42" s="517">
        <f>$C$10/$C$6</f>
        <v/>
      </c>
      <c r="M42" s="518">
        <f>$C$11/$C$6</f>
        <v/>
      </c>
      <c r="N42" s="515">
        <f>J42*1.1</f>
        <v/>
      </c>
      <c r="O42" s="646">
        <f>K42*1.1</f>
        <v/>
      </c>
      <c r="P42" s="517">
        <f>L42*1.1</f>
        <v/>
      </c>
      <c r="Q42" s="518">
        <f>M42*1.1</f>
        <v/>
      </c>
    </row>
    <row r="43">
      <c r="F43" s="101" t="inlineStr">
        <is>
          <t>40회차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$C$14</f>
        <v/>
      </c>
      <c r="K43" s="516">
        <f>$C$12/$C$6</f>
        <v/>
      </c>
      <c r="L43" s="517">
        <f>$C$10/$C$6</f>
        <v/>
      </c>
      <c r="M43" s="518">
        <f>$C$11/$C$6</f>
        <v/>
      </c>
      <c r="N43" s="515">
        <f>J43*1.1</f>
        <v/>
      </c>
      <c r="O43" s="646">
        <f>K43*1.1</f>
        <v/>
      </c>
      <c r="P43" s="517">
        <f>L43*1.1</f>
        <v/>
      </c>
      <c r="Q43" s="518">
        <f>M43*1.1</f>
        <v/>
      </c>
    </row>
    <row r="44">
      <c r="F44" s="101" t="inlineStr">
        <is>
          <t>41회차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$C$14</f>
        <v/>
      </c>
      <c r="K44" s="516">
        <f>$C$12/$C$6</f>
        <v/>
      </c>
      <c r="L44" s="517">
        <f>$C$10/$C$6</f>
        <v/>
      </c>
      <c r="M44" s="518">
        <f>$C$11/$C$6</f>
        <v/>
      </c>
      <c r="N44" s="515">
        <f>J44*1.1</f>
        <v/>
      </c>
      <c r="O44" s="646">
        <f>K44*1.1</f>
        <v/>
      </c>
      <c r="P44" s="517">
        <f>L44*1.1</f>
        <v/>
      </c>
      <c r="Q44" s="518">
        <f>M44*1.1</f>
        <v/>
      </c>
    </row>
    <row r="45">
      <c r="F45" s="101" t="inlineStr">
        <is>
          <t>42회차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$C$14</f>
        <v/>
      </c>
      <c r="K45" s="516">
        <f>$C$12/$C$6</f>
        <v/>
      </c>
      <c r="L45" s="517">
        <f>$C$10/$C$6</f>
        <v/>
      </c>
      <c r="M45" s="518">
        <f>$C$11/$C$6</f>
        <v/>
      </c>
      <c r="N45" s="515">
        <f>J45*1.1</f>
        <v/>
      </c>
      <c r="O45" s="646">
        <f>K45*1.1</f>
        <v/>
      </c>
      <c r="P45" s="517">
        <f>L45*1.1</f>
        <v/>
      </c>
      <c r="Q45" s="518">
        <f>M45*1.1</f>
        <v/>
      </c>
    </row>
    <row r="46">
      <c r="F46" s="101" t="inlineStr">
        <is>
          <t>43회차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$C$14</f>
        <v/>
      </c>
      <c r="K46" s="516">
        <f>$C$12/$C$6</f>
        <v/>
      </c>
      <c r="L46" s="517">
        <f>$C$10/$C$6</f>
        <v/>
      </c>
      <c r="M46" s="518">
        <f>$C$11/$C$6</f>
        <v/>
      </c>
      <c r="N46" s="515">
        <f>J46*1.1</f>
        <v/>
      </c>
      <c r="O46" s="646">
        <f>K46*1.1</f>
        <v/>
      </c>
      <c r="P46" s="517">
        <f>L46*1.1</f>
        <v/>
      </c>
      <c r="Q46" s="518">
        <f>M46*1.1</f>
        <v/>
      </c>
    </row>
    <row r="47">
      <c r="F47" s="101" t="inlineStr">
        <is>
          <t>44회차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$C$14</f>
        <v/>
      </c>
      <c r="K47" s="516">
        <f>$C$12/$C$6</f>
        <v/>
      </c>
      <c r="L47" s="517">
        <f>$C$10/$C$6</f>
        <v/>
      </c>
      <c r="M47" s="518">
        <f>$C$11/$C$6</f>
        <v/>
      </c>
      <c r="N47" s="515">
        <f>J47*1.1</f>
        <v/>
      </c>
      <c r="O47" s="646">
        <f>K47*1.1</f>
        <v/>
      </c>
      <c r="P47" s="517">
        <f>L47*1.1</f>
        <v/>
      </c>
      <c r="Q47" s="518">
        <f>M47*1.1</f>
        <v/>
      </c>
    </row>
    <row r="48">
      <c r="F48" s="101" t="inlineStr">
        <is>
          <t>45회차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$C$14</f>
        <v/>
      </c>
      <c r="K48" s="516">
        <f>$C$12/$C$6</f>
        <v/>
      </c>
      <c r="L48" s="517">
        <f>$C$10/$C$6</f>
        <v/>
      </c>
      <c r="M48" s="518">
        <f>$C$11/$C$6</f>
        <v/>
      </c>
      <c r="N48" s="515">
        <f>J48*1.1</f>
        <v/>
      </c>
      <c r="O48" s="646">
        <f>K48*1.1</f>
        <v/>
      </c>
      <c r="P48" s="517">
        <f>L48*1.1</f>
        <v/>
      </c>
      <c r="Q48" s="518">
        <f>M48*1.1</f>
        <v/>
      </c>
    </row>
    <row r="49">
      <c r="F49" s="101" t="inlineStr">
        <is>
          <t>46회차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$C$14</f>
        <v/>
      </c>
      <c r="K49" s="516">
        <f>$C$12/$C$6</f>
        <v/>
      </c>
      <c r="L49" s="517">
        <f>$C$10/$C$6</f>
        <v/>
      </c>
      <c r="M49" s="518">
        <f>$C$11/$C$6</f>
        <v/>
      </c>
      <c r="N49" s="515">
        <f>J49*1.1</f>
        <v/>
      </c>
      <c r="O49" s="646">
        <f>K49*1.1</f>
        <v/>
      </c>
      <c r="P49" s="517">
        <f>L49*1.1</f>
        <v/>
      </c>
      <c r="Q49" s="518">
        <f>M49*1.1</f>
        <v/>
      </c>
    </row>
    <row r="50">
      <c r="F50" s="101" t="inlineStr">
        <is>
          <t>47회차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$C$14</f>
        <v/>
      </c>
      <c r="K50" s="516">
        <f>$C$12/$C$6</f>
        <v/>
      </c>
      <c r="L50" s="517">
        <f>$C$10/$C$6</f>
        <v/>
      </c>
      <c r="M50" s="518">
        <f>$C$11/$C$6</f>
        <v/>
      </c>
      <c r="N50" s="515">
        <f>J50*1.1</f>
        <v/>
      </c>
      <c r="O50" s="646">
        <f>K50*1.1</f>
        <v/>
      </c>
      <c r="P50" s="517">
        <f>L50*1.1</f>
        <v/>
      </c>
      <c r="Q50" s="518">
        <f>M50*1.1</f>
        <v/>
      </c>
    </row>
    <row r="51">
      <c r="F51" s="101" t="inlineStr">
        <is>
          <t>48회차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$C$14</f>
        <v/>
      </c>
      <c r="K51" s="516">
        <f>$C$12/$C$6</f>
        <v/>
      </c>
      <c r="L51" s="517">
        <f>$C$10/$C$6</f>
        <v/>
      </c>
      <c r="M51" s="518">
        <f>$C$11/$C$6</f>
        <v/>
      </c>
      <c r="N51" s="515">
        <f>J51*1.1</f>
        <v/>
      </c>
      <c r="O51" s="646">
        <f>K51*1.1</f>
        <v/>
      </c>
      <c r="P51" s="517">
        <f>L51*1.1</f>
        <v/>
      </c>
      <c r="Q51" s="518">
        <f>M51*1.1</f>
        <v/>
      </c>
    </row>
    <row r="52">
      <c r="F52" s="101" t="inlineStr">
        <is>
          <t>49회차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$C$14</f>
        <v/>
      </c>
      <c r="K52" s="516">
        <f>$C$12/$C$6</f>
        <v/>
      </c>
      <c r="L52" s="517">
        <f>$C$10/$C$6</f>
        <v/>
      </c>
      <c r="M52" s="518">
        <f>$C$11/$C$6</f>
        <v/>
      </c>
      <c r="N52" s="515">
        <f>J52*1.1</f>
        <v/>
      </c>
      <c r="O52" s="646">
        <f>K52*1.1</f>
        <v/>
      </c>
      <c r="P52" s="517">
        <f>L52*1.1</f>
        <v/>
      </c>
      <c r="Q52" s="518">
        <f>M52*1.1</f>
        <v/>
      </c>
    </row>
    <row r="53">
      <c r="F53" s="101" t="inlineStr">
        <is>
          <t>50회차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$C$14</f>
        <v/>
      </c>
      <c r="K53" s="516">
        <f>$C$12/$C$6</f>
        <v/>
      </c>
      <c r="L53" s="517">
        <f>$C$10/$C$6</f>
        <v/>
      </c>
      <c r="M53" s="518">
        <f>$C$11/$C$6</f>
        <v/>
      </c>
      <c r="N53" s="515">
        <f>J53*1.1</f>
        <v/>
      </c>
      <c r="O53" s="646">
        <f>K53*1.1</f>
        <v/>
      </c>
      <c r="P53" s="517">
        <f>L53*1.1</f>
        <v/>
      </c>
      <c r="Q53" s="518">
        <f>M53*1.1</f>
        <v/>
      </c>
    </row>
    <row r="54">
      <c r="F54" s="101" t="inlineStr">
        <is>
          <t>51회차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$C$14</f>
        <v/>
      </c>
      <c r="K54" s="516">
        <f>$C$12/$C$6</f>
        <v/>
      </c>
      <c r="L54" s="517">
        <f>$C$10/$C$6</f>
        <v/>
      </c>
      <c r="M54" s="518">
        <f>$C$11/$C$6</f>
        <v/>
      </c>
      <c r="N54" s="515">
        <f>J54*1.1</f>
        <v/>
      </c>
      <c r="O54" s="646">
        <f>K54*1.1</f>
        <v/>
      </c>
      <c r="P54" s="517">
        <f>L54*1.1</f>
        <v/>
      </c>
      <c r="Q54" s="518">
        <f>M54*1.1</f>
        <v/>
      </c>
    </row>
    <row r="55">
      <c r="F55" s="101" t="inlineStr">
        <is>
          <t>52회차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$C$14</f>
        <v/>
      </c>
      <c r="K55" s="516">
        <f>$C$12/$C$6</f>
        <v/>
      </c>
      <c r="L55" s="517">
        <f>$C$10/$C$6</f>
        <v/>
      </c>
      <c r="M55" s="518">
        <f>$C$11/$C$6</f>
        <v/>
      </c>
      <c r="N55" s="515">
        <f>J55*1.1</f>
        <v/>
      </c>
      <c r="O55" s="646">
        <f>K55*1.1</f>
        <v/>
      </c>
      <c r="P55" s="517">
        <f>L55*1.1</f>
        <v/>
      </c>
      <c r="Q55" s="518">
        <f>M55*1.1</f>
        <v/>
      </c>
    </row>
    <row r="56">
      <c r="F56" s="101" t="inlineStr">
        <is>
          <t>53회차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$C$14</f>
        <v/>
      </c>
      <c r="K56" s="516">
        <f>$C$12/$C$6</f>
        <v/>
      </c>
      <c r="L56" s="517">
        <f>$C$10/$C$6</f>
        <v/>
      </c>
      <c r="M56" s="518">
        <f>$C$11/$C$6</f>
        <v/>
      </c>
      <c r="N56" s="515">
        <f>J56*1.1</f>
        <v/>
      </c>
      <c r="O56" s="646">
        <f>K56*1.1</f>
        <v/>
      </c>
      <c r="P56" s="517">
        <f>L56*1.1</f>
        <v/>
      </c>
      <c r="Q56" s="518">
        <f>M56*1.1</f>
        <v/>
      </c>
    </row>
    <row r="57">
      <c r="F57" s="101" t="inlineStr">
        <is>
          <t>54회차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$C$14</f>
        <v/>
      </c>
      <c r="K57" s="516">
        <f>$C$12/$C$6</f>
        <v/>
      </c>
      <c r="L57" s="517">
        <f>$C$10/$C$6</f>
        <v/>
      </c>
      <c r="M57" s="518">
        <f>$C$11/$C$6</f>
        <v/>
      </c>
      <c r="N57" s="515">
        <f>J57*1.1</f>
        <v/>
      </c>
      <c r="O57" s="646">
        <f>K57*1.1</f>
        <v/>
      </c>
      <c r="P57" s="517">
        <f>L57*1.1</f>
        <v/>
      </c>
      <c r="Q57" s="518">
        <f>M57*1.1</f>
        <v/>
      </c>
    </row>
    <row r="58">
      <c r="F58" s="101" t="inlineStr">
        <is>
          <t>55회차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$C$14</f>
        <v/>
      </c>
      <c r="K58" s="516">
        <f>$C$12/$C$6</f>
        <v/>
      </c>
      <c r="L58" s="517">
        <f>$C$10/$C$6</f>
        <v/>
      </c>
      <c r="M58" s="518">
        <f>$C$11/$C$6</f>
        <v/>
      </c>
      <c r="N58" s="515">
        <f>J58*1.1</f>
        <v/>
      </c>
      <c r="O58" s="646">
        <f>K58*1.1</f>
        <v/>
      </c>
      <c r="P58" s="517">
        <f>L58*1.1</f>
        <v/>
      </c>
      <c r="Q58" s="518">
        <f>M58*1.1</f>
        <v/>
      </c>
    </row>
    <row r="59">
      <c r="F59" s="101" t="inlineStr">
        <is>
          <t>56회차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$C$14</f>
        <v/>
      </c>
      <c r="K59" s="516">
        <f>$C$12/$C$6</f>
        <v/>
      </c>
      <c r="L59" s="517">
        <f>$C$10/$C$6</f>
        <v/>
      </c>
      <c r="M59" s="518">
        <f>$C$11/$C$6</f>
        <v/>
      </c>
      <c r="N59" s="515">
        <f>J59*1.1</f>
        <v/>
      </c>
      <c r="O59" s="646">
        <f>K59*1.1</f>
        <v/>
      </c>
      <c r="P59" s="517">
        <f>L59*1.1</f>
        <v/>
      </c>
      <c r="Q59" s="518">
        <f>M59*1.1</f>
        <v/>
      </c>
    </row>
    <row r="60">
      <c r="F60" s="101" t="inlineStr">
        <is>
          <t>57회차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$C$14</f>
        <v/>
      </c>
      <c r="K60" s="516">
        <f>$C$12/$C$6</f>
        <v/>
      </c>
      <c r="L60" s="517">
        <f>$C$10/$C$6</f>
        <v/>
      </c>
      <c r="M60" s="518">
        <f>$C$11/$C$6</f>
        <v/>
      </c>
      <c r="N60" s="515">
        <f>J60*1.1</f>
        <v/>
      </c>
      <c r="O60" s="646">
        <f>K60*1.1</f>
        <v/>
      </c>
      <c r="P60" s="517">
        <f>L60*1.1</f>
        <v/>
      </c>
      <c r="Q60" s="518">
        <f>M60*1.1</f>
        <v/>
      </c>
    </row>
    <row r="61">
      <c r="F61" s="101" t="inlineStr">
        <is>
          <t>58회차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$C$14</f>
        <v/>
      </c>
      <c r="K61" s="516">
        <f>$C$12/$C$6</f>
        <v/>
      </c>
      <c r="L61" s="517">
        <f>$C$10/$C$6</f>
        <v/>
      </c>
      <c r="M61" s="518">
        <f>$C$11/$C$6</f>
        <v/>
      </c>
      <c r="N61" s="515">
        <f>J61*1.1</f>
        <v/>
      </c>
      <c r="O61" s="646">
        <f>K61*1.1</f>
        <v/>
      </c>
      <c r="P61" s="517">
        <f>L61*1.1</f>
        <v/>
      </c>
      <c r="Q61" s="518">
        <f>M61*1.1</f>
        <v/>
      </c>
    </row>
    <row r="62">
      <c r="F62" s="101" t="inlineStr">
        <is>
          <t>59회차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$C$14</f>
        <v/>
      </c>
      <c r="K62" s="516">
        <f>$C$12/$C$6</f>
        <v/>
      </c>
      <c r="L62" s="517">
        <f>$C$10/$C$6</f>
        <v/>
      </c>
      <c r="M62" s="518">
        <f>$C$11/$C$6</f>
        <v/>
      </c>
      <c r="N62" s="515">
        <f>J62*1.1</f>
        <v/>
      </c>
      <c r="O62" s="646">
        <f>K62*1.1</f>
        <v/>
      </c>
      <c r="P62" s="517">
        <f>L62*1.1</f>
        <v/>
      </c>
      <c r="Q62" s="518">
        <f>M62*1.1</f>
        <v/>
      </c>
    </row>
    <row r="63">
      <c r="F63" s="101" t="inlineStr">
        <is>
          <t>60회차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$C$14</f>
        <v/>
      </c>
      <c r="K63" s="516">
        <f>$C$12/$C$6</f>
        <v/>
      </c>
      <c r="L63" s="517">
        <f>$C$10/$C$6</f>
        <v/>
      </c>
      <c r="M63" s="518">
        <f>$C$11/$C$6</f>
        <v/>
      </c>
      <c r="N63" s="515">
        <f>J63*1.1</f>
        <v/>
      </c>
      <c r="O63" s="646">
        <f>K63*1.1</f>
        <v/>
      </c>
      <c r="P63" s="517">
        <f>L63*1.1</f>
        <v/>
      </c>
      <c r="Q63" s="518">
        <f>M63*1.1</f>
        <v/>
      </c>
    </row>
    <row r="64">
      <c r="F64" s="101" t="inlineStr">
        <is>
          <t>61회차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$C$14</f>
        <v/>
      </c>
      <c r="K64" s="516">
        <f>$C$12/$C$6</f>
        <v/>
      </c>
      <c r="L64" s="517">
        <f>$C$10/$C$6</f>
        <v/>
      </c>
      <c r="M64" s="518">
        <f>$C$11/$C$6</f>
        <v/>
      </c>
      <c r="N64" s="515">
        <f>J64*1.1</f>
        <v/>
      </c>
      <c r="O64" s="646">
        <f>K64*1.1</f>
        <v/>
      </c>
      <c r="P64" s="517">
        <f>L64*1.1</f>
        <v/>
      </c>
      <c r="Q64" s="518">
        <f>M64*1.1</f>
        <v/>
      </c>
    </row>
    <row r="65">
      <c r="F65" s="101" t="inlineStr">
        <is>
          <t>62회차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$C$14</f>
        <v/>
      </c>
      <c r="K65" s="516">
        <f>$C$12/$C$6</f>
        <v/>
      </c>
      <c r="L65" s="517">
        <f>$C$10/$C$6</f>
        <v/>
      </c>
      <c r="M65" s="518">
        <f>$C$11/$C$6</f>
        <v/>
      </c>
      <c r="N65" s="515">
        <f>J65*1.1</f>
        <v/>
      </c>
      <c r="O65" s="646">
        <f>K65*1.1</f>
        <v/>
      </c>
      <c r="P65" s="517">
        <f>L65*1.1</f>
        <v/>
      </c>
      <c r="Q65" s="518">
        <f>M65*1.1</f>
        <v/>
      </c>
    </row>
    <row r="66">
      <c r="F66" s="101" t="inlineStr">
        <is>
          <t>63회차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$C$14</f>
        <v/>
      </c>
      <c r="K66" s="516">
        <f>$C$12/$C$6</f>
        <v/>
      </c>
      <c r="L66" s="517">
        <f>$C$10/$C$6</f>
        <v/>
      </c>
      <c r="M66" s="518">
        <f>$C$11/$C$6</f>
        <v/>
      </c>
      <c r="N66" s="515">
        <f>J66*1.1</f>
        <v/>
      </c>
      <c r="O66" s="646">
        <f>K66*1.1</f>
        <v/>
      </c>
      <c r="P66" s="517">
        <f>L66*1.1</f>
        <v/>
      </c>
      <c r="Q66" s="518">
        <f>M66*1.1</f>
        <v/>
      </c>
    </row>
    <row r="67">
      <c r="F67" s="101" t="inlineStr">
        <is>
          <t>64회차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$C$14</f>
        <v/>
      </c>
      <c r="K67" s="516">
        <f>$C$12/$C$6</f>
        <v/>
      </c>
      <c r="L67" s="517">
        <f>$C$10/$C$6</f>
        <v/>
      </c>
      <c r="M67" s="518">
        <f>$C$11/$C$6</f>
        <v/>
      </c>
      <c r="N67" s="515">
        <f>J67*1.1</f>
        <v/>
      </c>
      <c r="O67" s="646">
        <f>K67*1.1</f>
        <v/>
      </c>
      <c r="P67" s="517">
        <f>L67*1.1</f>
        <v/>
      </c>
      <c r="Q67" s="518">
        <f>M67*1.1</f>
        <v/>
      </c>
    </row>
    <row r="68">
      <c r="F68" s="101" t="inlineStr">
        <is>
          <t>65회차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$C$14</f>
        <v/>
      </c>
      <c r="K68" s="516">
        <f>$C$12/$C$6</f>
        <v/>
      </c>
      <c r="L68" s="517">
        <f>$C$10/$C$6</f>
        <v/>
      </c>
      <c r="M68" s="518">
        <f>$C$11/$C$6</f>
        <v/>
      </c>
      <c r="N68" s="515">
        <f>J68*1.1</f>
        <v/>
      </c>
      <c r="O68" s="646">
        <f>K68*1.1</f>
        <v/>
      </c>
      <c r="P68" s="517">
        <f>L68*1.1</f>
        <v/>
      </c>
      <c r="Q68" s="518">
        <f>M68*1.1</f>
        <v/>
      </c>
    </row>
    <row r="69">
      <c r="F69" s="101" t="inlineStr">
        <is>
          <t>66회차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$C$14</f>
        <v/>
      </c>
      <c r="K69" s="516">
        <f>$C$12/$C$6</f>
        <v/>
      </c>
      <c r="L69" s="517">
        <f>$C$10/$C$6</f>
        <v/>
      </c>
      <c r="M69" s="518">
        <f>$C$11/$C$6</f>
        <v/>
      </c>
      <c r="N69" s="515">
        <f>J69*1.1</f>
        <v/>
      </c>
      <c r="O69" s="646">
        <f>K69*1.1</f>
        <v/>
      </c>
      <c r="P69" s="517">
        <f>L69*1.1</f>
        <v/>
      </c>
      <c r="Q69" s="518">
        <f>M69*1.1</f>
        <v/>
      </c>
    </row>
    <row r="70">
      <c r="F70" s="101" t="inlineStr">
        <is>
          <t>67회차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$C$14</f>
        <v/>
      </c>
      <c r="K70" s="516">
        <f>$C$12/$C$6</f>
        <v/>
      </c>
      <c r="L70" s="517">
        <f>$C$10/$C$6</f>
        <v/>
      </c>
      <c r="M70" s="518">
        <f>$C$11/$C$6</f>
        <v/>
      </c>
      <c r="N70" s="515">
        <f>J70*1.1</f>
        <v/>
      </c>
      <c r="O70" s="646">
        <f>K70*1.1</f>
        <v/>
      </c>
      <c r="P70" s="517">
        <f>L70*1.1</f>
        <v/>
      </c>
      <c r="Q70" s="518">
        <f>M70*1.1</f>
        <v/>
      </c>
    </row>
    <row r="71">
      <c r="F71" s="101" t="inlineStr">
        <is>
          <t>68회차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$C$14</f>
        <v/>
      </c>
      <c r="K71" s="516">
        <f>$C$12/$C$6</f>
        <v/>
      </c>
      <c r="L71" s="517">
        <f>$C$10/$C$6</f>
        <v/>
      </c>
      <c r="M71" s="518">
        <f>$C$11/$C$6</f>
        <v/>
      </c>
      <c r="N71" s="515">
        <f>J71*1.1</f>
        <v/>
      </c>
      <c r="O71" s="646">
        <f>K71*1.1</f>
        <v/>
      </c>
      <c r="P71" s="517">
        <f>L71*1.1</f>
        <v/>
      </c>
      <c r="Q71" s="518">
        <f>M71*1.1</f>
        <v/>
      </c>
    </row>
    <row r="72">
      <c r="F72" s="101" t="inlineStr">
        <is>
          <t>69회차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$C$14</f>
        <v/>
      </c>
      <c r="K72" s="516">
        <f>$C$12/$C$6</f>
        <v/>
      </c>
      <c r="L72" s="517">
        <f>$C$10/$C$6</f>
        <v/>
      </c>
      <c r="M72" s="518">
        <f>$C$11/$C$6</f>
        <v/>
      </c>
      <c r="N72" s="515">
        <f>J72*1.1</f>
        <v/>
      </c>
      <c r="O72" s="646">
        <f>K72*1.1</f>
        <v/>
      </c>
      <c r="P72" s="517">
        <f>L72*1.1</f>
        <v/>
      </c>
      <c r="Q72" s="518">
        <f>M72*1.1</f>
        <v/>
      </c>
    </row>
    <row r="73">
      <c r="F73" s="101" t="inlineStr">
        <is>
          <t>70회차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$C$14</f>
        <v/>
      </c>
      <c r="K73" s="516">
        <f>$C$12/$C$6</f>
        <v/>
      </c>
      <c r="L73" s="517">
        <f>$C$10/$C$6</f>
        <v/>
      </c>
      <c r="M73" s="518">
        <f>$C$11/$C$6</f>
        <v/>
      </c>
      <c r="N73" s="515">
        <f>J73*1.1</f>
        <v/>
      </c>
      <c r="O73" s="646">
        <f>K73*1.1</f>
        <v/>
      </c>
      <c r="P73" s="517">
        <f>L73*1.1</f>
        <v/>
      </c>
      <c r="Q73" s="518">
        <f>M73*1.1</f>
        <v/>
      </c>
    </row>
    <row r="74">
      <c r="F74" s="101" t="inlineStr">
        <is>
          <t>71회차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$C$14</f>
        <v/>
      </c>
      <c r="K74" s="516">
        <f>$C$12/$C$6</f>
        <v/>
      </c>
      <c r="L74" s="517">
        <f>$C$10/$C$6</f>
        <v/>
      </c>
      <c r="M74" s="518">
        <f>$C$11/$C$6</f>
        <v/>
      </c>
      <c r="N74" s="515">
        <f>J74*1.1</f>
        <v/>
      </c>
      <c r="O74" s="646">
        <f>K74*1.1</f>
        <v/>
      </c>
      <c r="P74" s="517">
        <f>L74*1.1</f>
        <v/>
      </c>
      <c r="Q74" s="518">
        <f>M74*1.1</f>
        <v/>
      </c>
    </row>
    <row r="75">
      <c r="F75" s="101" t="inlineStr">
        <is>
          <t>72회차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$C$14</f>
        <v/>
      </c>
      <c r="K75" s="516">
        <f>$C$12/$C$6</f>
        <v/>
      </c>
      <c r="L75" s="517">
        <f>$C$10/$C$6</f>
        <v/>
      </c>
      <c r="M75" s="518">
        <f>$C$11/$C$6</f>
        <v/>
      </c>
      <c r="N75" s="515">
        <f>J75*1.1</f>
        <v/>
      </c>
      <c r="O75" s="646">
        <f>K75*1.1</f>
        <v/>
      </c>
      <c r="P75" s="517">
        <f>L75*1.1</f>
        <v/>
      </c>
      <c r="Q75" s="518">
        <f>M75*1.1</f>
        <v/>
      </c>
    </row>
    <row r="76">
      <c r="F76" s="35" t="inlineStr">
        <is>
          <t>73회차</t>
        </is>
      </c>
      <c r="G76" s="36">
        <f>H75+1</f>
        <v/>
      </c>
      <c r="H76" s="36">
        <f>EDATE(G4,C6)-1</f>
        <v/>
      </c>
      <c r="I76" s="37">
        <f>EDATE(I75,1)</f>
        <v/>
      </c>
      <c r="J76" s="546">
        <f>$C$14-J4</f>
        <v/>
      </c>
      <c r="K76" s="547">
        <f>$C$12/$C$6-K4</f>
        <v/>
      </c>
      <c r="L76" s="548">
        <f>$C$10/$C$6-L4</f>
        <v/>
      </c>
      <c r="M76" s="549">
        <f>$C$11/$C$6-M4</f>
        <v/>
      </c>
      <c r="N76" s="581">
        <f>J76*1.1</f>
        <v/>
      </c>
      <c r="O76" s="653">
        <f>K76*1.1</f>
        <v/>
      </c>
      <c r="P76" s="640">
        <f>L76*1.1</f>
        <v/>
      </c>
      <c r="Q76" s="641">
        <f>M76*1.1</f>
        <v/>
      </c>
      <c r="R76" s="206" t="inlineStr">
        <is>
          <t>* 막달일할 = 월할금 - 첫회차일할금</t>
        </is>
      </c>
    </row>
  </sheetData>
  <pageMargins left="0.7" right="0.7" top="0.75" bottom="0.75" header="0.3" footer="0.3"/>
  <pageSetup orientation="portrait" paperSize="9"/>
</worksheet>
</file>

<file path=xl/worksheets/sheet27.xml><?xml version="1.0" encoding="utf-8"?>
<worksheet xmlns="http://schemas.openxmlformats.org/spreadsheetml/2006/main">
  <sheetPr>
    <tabColor rgb="00A6A6A6"/>
    <outlinePr summaryBelow="1" summaryRight="1"/>
    <pageSetUpPr/>
  </sheetPr>
  <dimension ref="A1:AI78"/>
  <sheetViews>
    <sheetView showGridLines="0" zoomScale="70" zoomScaleNormal="70" workbookViewId="0">
      <selection activeCell="J34" sqref="J3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6.1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11.1875" bestFit="1" customWidth="1" style="497" min="18" max="18"/>
    <col width="7.375" bestFit="1" customWidth="1" style="497" min="19" max="19"/>
    <col width="13.5" bestFit="1" customWidth="1" style="497" min="20" max="20"/>
    <col width="11.875" bestFit="1" customWidth="1" style="497" min="21" max="22"/>
    <col width="14" bestFit="1" customWidth="1" style="497" min="23" max="23"/>
    <col width="14" customWidth="1" style="497" min="24" max="24"/>
    <col outlineLevel="1" width="14" customWidth="1" style="497" min="25" max="29"/>
    <col width="11.375" bestFit="1" customWidth="1" style="497" min="30" max="30"/>
    <col width="15.375" bestFit="1" customWidth="1" style="497" min="32" max="32"/>
    <col width="12.375" bestFit="1" customWidth="1" style="497" min="33" max="33"/>
  </cols>
  <sheetData>
    <row r="1">
      <c r="G1" s="185">
        <f>H77-G5+1</f>
        <v/>
      </c>
      <c r="S1" s="206">
        <f>R24-G5</f>
        <v/>
      </c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중도해지 시 (v-)</t>
        </is>
      </c>
      <c r="S3" s="70" t="n"/>
      <c r="T3" s="254" t="n"/>
      <c r="U3" s="254" t="n"/>
      <c r="V3" s="254" t="n"/>
      <c r="W3" s="255" t="n"/>
      <c r="X3" s="254" t="n"/>
      <c r="Y3" s="75" t="inlineStr">
        <is>
          <t>중도해지 시 (v+)</t>
        </is>
      </c>
      <c r="Z3" s="70" t="n"/>
      <c r="AA3" s="70" t="n"/>
      <c r="AB3" s="70" t="n"/>
      <c r="AC3" s="71" t="n"/>
      <c r="AI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26" t="inlineStr">
        <is>
          <t>제품판정일</t>
        </is>
      </c>
      <c r="S4" s="9" t="inlineStr">
        <is>
          <t>경과일</t>
        </is>
      </c>
      <c r="T4" s="26" t="inlineStr">
        <is>
          <t>위약금</t>
        </is>
      </c>
      <c r="U4" s="15" t="inlineStr">
        <is>
          <t>사용분 청구</t>
        </is>
      </c>
      <c r="V4" s="15" t="inlineStr">
        <is>
          <t>할인금 회수</t>
        </is>
      </c>
      <c r="W4" s="15" t="inlineStr">
        <is>
          <t>선납잔액 환불</t>
        </is>
      </c>
      <c r="X4" s="27" t="inlineStr">
        <is>
          <t>등록비 청구</t>
        </is>
      </c>
      <c r="Y4" s="15" t="inlineStr">
        <is>
          <t>위약금</t>
        </is>
      </c>
      <c r="Z4" s="15" t="inlineStr">
        <is>
          <t>사용분 청구</t>
        </is>
      </c>
      <c r="AA4" s="15" t="inlineStr">
        <is>
          <t>할인금 회수</t>
        </is>
      </c>
      <c r="AB4" s="15" t="inlineStr">
        <is>
          <t>선납잔액 환불</t>
        </is>
      </c>
      <c r="AC4" s="27" t="inlineStr">
        <is>
          <t>등록비</t>
        </is>
      </c>
      <c r="AF4" s="273" t="inlineStr">
        <is>
          <t>사용분 청구 (v-)</t>
        </is>
      </c>
      <c r="AG4" s="274" t="n"/>
      <c r="AH4" s="274" t="n"/>
      <c r="AI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L5</f>
        <v/>
      </c>
      <c r="Q5" s="519">
        <f>M5</f>
        <v/>
      </c>
      <c r="R5" s="55" t="n"/>
      <c r="S5" s="54">
        <f>H5-G5+1</f>
        <v/>
      </c>
      <c r="T5" s="55" t="n"/>
      <c r="U5" s="626" t="n"/>
      <c r="V5" s="627" t="n"/>
      <c r="W5" s="251" t="n"/>
      <c r="X5" s="94" t="n"/>
      <c r="Y5" s="251" t="n"/>
      <c r="Z5" s="626" t="n"/>
      <c r="AA5" s="627" t="n"/>
      <c r="AB5" s="627" t="n"/>
      <c r="AC5" s="91" t="n"/>
      <c r="AF5" s="130" t="n"/>
      <c r="AG5" s="9" t="inlineStr">
        <is>
          <t>제품</t>
        </is>
      </c>
      <c r="AH5" s="9" t="inlineStr">
        <is>
          <t>케어</t>
        </is>
      </c>
      <c r="AI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92" t="n"/>
      <c r="S6" s="196">
        <f>H6-G6+1</f>
        <v/>
      </c>
      <c r="T6" s="92" t="n"/>
      <c r="U6" s="206" t="n"/>
      <c r="V6" s="206" t="n"/>
      <c r="W6" s="206" t="n"/>
      <c r="X6" s="94" t="n"/>
      <c r="Y6" s="206" t="n"/>
      <c r="Z6" s="206" t="n"/>
      <c r="AA6" s="206" t="n"/>
      <c r="AB6" s="206" t="n"/>
      <c r="AC6" s="94" t="n"/>
      <c r="AF6" s="527">
        <f>U24</f>
        <v/>
      </c>
      <c r="AG6" s="527">
        <f>AF6-AH6-AI6</f>
        <v/>
      </c>
      <c r="AH6" s="2">
        <f>ROUNDDOWN(P24*S24/DAY(H24),-2)</f>
        <v/>
      </c>
      <c r="AI6" s="2">
        <f>ROUNDDOWN(Q24*S24/DAY(H24),-2)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92" t="n"/>
      <c r="S7" s="196">
        <f>H7-G7+1</f>
        <v/>
      </c>
      <c r="T7" s="92" t="n"/>
      <c r="U7" s="206" t="n"/>
      <c r="V7" s="206" t="n"/>
      <c r="W7" s="206" t="n"/>
      <c r="X7" s="94" t="n"/>
      <c r="Y7" s="206" t="n"/>
      <c r="Z7" s="206" t="n"/>
      <c r="AA7" s="206" t="n"/>
      <c r="AB7" s="206" t="n"/>
      <c r="AC7" s="94" t="n"/>
      <c r="AF7" s="505" t="n"/>
      <c r="AG7" s="505" t="n"/>
      <c r="AH7" s="505" t="n"/>
      <c r="AI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92" t="n"/>
      <c r="S8" s="196">
        <f>H8-G8+1</f>
        <v/>
      </c>
      <c r="T8" s="92" t="n"/>
      <c r="U8" s="206" t="n"/>
      <c r="V8" s="206" t="n"/>
      <c r="W8" s="206" t="n"/>
      <c r="X8" s="94" t="n"/>
      <c r="Y8" s="206" t="n"/>
      <c r="Z8" s="206" t="n"/>
      <c r="AA8" s="206" t="n"/>
      <c r="AB8" s="206" t="n"/>
      <c r="AC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92" t="n"/>
      <c r="S9" s="196">
        <f>H9-G9+1</f>
        <v/>
      </c>
      <c r="T9" s="92" t="n"/>
      <c r="U9" s="206" t="n"/>
      <c r="V9" s="206" t="n"/>
      <c r="W9" s="206" t="n"/>
      <c r="X9" s="94" t="n"/>
      <c r="Y9" s="206" t="n"/>
      <c r="Z9" s="206" t="n"/>
      <c r="AA9" s="206" t="n"/>
      <c r="AB9" s="206" t="n"/>
      <c r="AC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92" t="n"/>
      <c r="S10" s="196">
        <f>H10-G10+1</f>
        <v/>
      </c>
      <c r="T10" s="92" t="n"/>
      <c r="U10" s="206" t="n"/>
      <c r="V10" s="206" t="n"/>
      <c r="W10" s="206" t="n"/>
      <c r="X10" s="94" t="n"/>
      <c r="Y10" s="206" t="n"/>
      <c r="Z10" s="206" t="n"/>
      <c r="AA10" s="206" t="n"/>
      <c r="AB10" s="206" t="n"/>
      <c r="AC10" s="94" t="n"/>
      <c r="AF10" s="206" t="inlineStr">
        <is>
          <t>* 분실료, 파손료는 비과세로 혜택가(v+)기준으로 계산</t>
        </is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92" t="n"/>
      <c r="S11" s="196">
        <f>H11-G11+1</f>
        <v/>
      </c>
      <c r="T11" s="92" t="n"/>
      <c r="U11" s="206" t="n"/>
      <c r="V11" s="206" t="n"/>
      <c r="W11" s="206" t="n"/>
      <c r="X11" s="94" t="n"/>
      <c r="Y11" s="206" t="n"/>
      <c r="Z11" s="206" t="n"/>
      <c r="AA11" s="206" t="n"/>
      <c r="AB11" s="206" t="n"/>
      <c r="AC11" s="94" t="n"/>
      <c r="AF11" s="9" t="inlineStr">
        <is>
          <t>분실료</t>
        </is>
      </c>
      <c r="AG11" s="9" t="inlineStr">
        <is>
          <t>파손료</t>
        </is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92" t="n"/>
      <c r="S12" s="196">
        <f>H12-G12+1</f>
        <v/>
      </c>
      <c r="T12" s="92" t="n"/>
      <c r="U12" s="206" t="n"/>
      <c r="V12" s="206" t="n"/>
      <c r="W12" s="206" t="n"/>
      <c r="X12" s="94" t="n"/>
      <c r="Y12" s="206" t="n"/>
      <c r="Z12" s="206" t="n"/>
      <c r="AA12" s="206" t="n"/>
      <c r="AB12" s="206" t="n"/>
      <c r="AC12" s="94" t="n"/>
      <c r="AF12" s="507">
        <f>ROUNDDOWN((C10*1.1)*(C8-SUM(S5:S24))/C8,-1)</f>
        <v/>
      </c>
      <c r="AG12" s="506">
        <f>ROUNDDOWN(AF12*50%,-1)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92" t="n"/>
      <c r="S13" s="196">
        <f>H13-G13+1</f>
        <v/>
      </c>
      <c r="T13" s="92" t="n"/>
      <c r="U13" s="206" t="n"/>
      <c r="V13" s="206" t="n"/>
      <c r="W13" s="206" t="n"/>
      <c r="X13" s="94" t="n"/>
      <c r="Y13" s="206" t="n"/>
      <c r="Z13" s="206" t="n"/>
      <c r="AA13" s="206" t="n"/>
      <c r="AB13" s="206" t="n"/>
      <c r="AC13" s="94" t="n"/>
      <c r="AF13" s="517">
        <f>ROUNDDOWN((C10*1.1)*(H77-R24+1)/C8,-1)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92" t="n"/>
      <c r="S14" s="196">
        <f>H14-G14+1</f>
        <v/>
      </c>
      <c r="T14" s="92" t="n"/>
      <c r="U14" s="206" t="n"/>
      <c r="V14" s="206" t="n"/>
      <c r="W14" s="206" t="n"/>
      <c r="X14" s="94" t="n"/>
      <c r="Y14" s="206" t="n"/>
      <c r="Z14" s="206" t="n"/>
      <c r="AA14" s="206" t="n"/>
      <c r="AB14" s="206" t="n"/>
      <c r="AC14" s="94" t="n"/>
      <c r="AG14" s="517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92" t="n"/>
      <c r="S15" s="196">
        <f>H15-G15+1</f>
        <v/>
      </c>
      <c r="T15" s="92" t="n"/>
      <c r="U15" s="206" t="n"/>
      <c r="V15" s="206" t="n"/>
      <c r="W15" s="206" t="n"/>
      <c r="X15" s="94" t="n"/>
      <c r="Y15" s="206" t="n"/>
      <c r="Z15" s="206" t="n"/>
      <c r="AA15" s="206" t="n"/>
      <c r="AB15" s="206" t="n"/>
      <c r="AC15" s="94" t="n"/>
      <c r="AF15" s="500" t="n"/>
      <c r="AG15" s="517" t="n"/>
    </row>
    <row r="16">
      <c r="B16" s="9" t="inlineStr">
        <is>
          <t>총구독료(v+)</t>
        </is>
      </c>
      <c r="C16" s="526" t="n">
        <v>12933360</v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92" t="n"/>
      <c r="S16" s="196">
        <f>H16-G16+1</f>
        <v/>
      </c>
      <c r="T16" s="92" t="n"/>
      <c r="U16" s="206" t="n"/>
      <c r="V16" s="206" t="n"/>
      <c r="W16" s="206" t="n"/>
      <c r="X16" s="94" t="n"/>
      <c r="Y16" s="206" t="n"/>
      <c r="Z16" s="206" t="n"/>
      <c r="AA16" s="206" t="n"/>
      <c r="AB16" s="206" t="n"/>
      <c r="AC16" s="94" t="n"/>
      <c r="AF16" s="500" t="n"/>
    </row>
    <row r="17">
      <c r="B17" s="9" t="inlineStr">
        <is>
          <t>월구독료(v+)</t>
        </is>
      </c>
      <c r="C17" s="526" t="n">
        <v>179630</v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92" t="n"/>
      <c r="S17" s="196">
        <f>H17-G17+1</f>
        <v/>
      </c>
      <c r="T17" s="92" t="n"/>
      <c r="U17" s="206" t="n"/>
      <c r="V17" s="206" t="n"/>
      <c r="W17" s="206" t="n"/>
      <c r="X17" s="94" t="n"/>
      <c r="Y17" s="206" t="n"/>
      <c r="Z17" s="206" t="n"/>
      <c r="AA17" s="206" t="n"/>
      <c r="AB17" s="206" t="n"/>
      <c r="AC17" s="94" t="n"/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92" t="n"/>
      <c r="S18" s="196">
        <f>H18-G18+1</f>
        <v/>
      </c>
      <c r="T18" s="92" t="n"/>
      <c r="U18" s="206" t="n"/>
      <c r="V18" s="206" t="n"/>
      <c r="W18" s="206" t="n"/>
      <c r="X18" s="94" t="n"/>
      <c r="Y18" s="206" t="n"/>
      <c r="Z18" s="206" t="n"/>
      <c r="AA18" s="206" t="n"/>
      <c r="AB18" s="206" t="n"/>
      <c r="AC18" s="94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92" t="n"/>
      <c r="S19" s="196">
        <f>H19-G19+1</f>
        <v/>
      </c>
      <c r="T19" s="92" t="n"/>
      <c r="U19" s="206" t="n"/>
      <c r="V19" s="206" t="n"/>
      <c r="W19" s="206" t="n"/>
      <c r="X19" s="94" t="n"/>
      <c r="Y19" s="206" t="n"/>
      <c r="Z19" s="206" t="n"/>
      <c r="AA19" s="206" t="n"/>
      <c r="AB19" s="206" t="n"/>
      <c r="AC19" s="94" t="n"/>
    </row>
    <row r="20">
      <c r="A20" s="48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L20</f>
        <v/>
      </c>
      <c r="Q20" s="519">
        <f>M20</f>
        <v/>
      </c>
      <c r="R20" s="92" t="n"/>
      <c r="S20" s="196">
        <f>H20-G20+1</f>
        <v/>
      </c>
      <c r="T20" s="92" t="n"/>
      <c r="U20" s="206" t="n"/>
      <c r="V20" s="206" t="n"/>
      <c r="W20" s="206" t="n"/>
      <c r="X20" s="94" t="n"/>
      <c r="Y20" s="206" t="n"/>
      <c r="Z20" s="206" t="n"/>
      <c r="AA20" s="206" t="n"/>
      <c r="AB20" s="206" t="n"/>
      <c r="AC20" s="94" t="n"/>
    </row>
    <row r="21">
      <c r="A21" s="628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L21</f>
        <v/>
      </c>
      <c r="Q21" s="519">
        <f>M21</f>
        <v/>
      </c>
      <c r="R21" s="92" t="n"/>
      <c r="S21" s="196">
        <f>H21-G21+1</f>
        <v/>
      </c>
      <c r="T21" s="92" t="n"/>
      <c r="U21" s="206" t="n"/>
      <c r="V21" s="206" t="n"/>
      <c r="W21" s="206" t="n"/>
      <c r="X21" s="94" t="n"/>
      <c r="Y21" s="206" t="n"/>
      <c r="Z21" s="206" t="n"/>
      <c r="AA21" s="206" t="n"/>
      <c r="AB21" s="206" t="n"/>
      <c r="AC21" s="94" t="n"/>
    </row>
    <row r="22">
      <c r="A22" s="628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L22</f>
        <v/>
      </c>
      <c r="Q22" s="519">
        <f>M22</f>
        <v/>
      </c>
      <c r="R22" s="92" t="n"/>
      <c r="S22" s="196">
        <f>H22-G22+1</f>
        <v/>
      </c>
      <c r="T22" s="629" t="n"/>
      <c r="U22" s="206" t="n"/>
      <c r="V22" s="206" t="n"/>
      <c r="W22" s="206" t="n"/>
      <c r="X22" s="94" t="n"/>
      <c r="Y22" s="206" t="n"/>
      <c r="Z22" s="206" t="n"/>
      <c r="AA22" s="206" t="n"/>
      <c r="AB22" s="206" t="n"/>
      <c r="AC22" s="94" t="n"/>
      <c r="AD22" s="517" t="n"/>
    </row>
    <row r="23">
      <c r="A23" s="628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L23</f>
        <v/>
      </c>
      <c r="Q23" s="519">
        <f>M23</f>
        <v/>
      </c>
      <c r="R23" s="92" t="n"/>
      <c r="S23" s="196">
        <f>H23-G23+1</f>
        <v/>
      </c>
      <c r="T23" s="92" t="inlineStr">
        <is>
          <t>* 위약금은 비과세로 총구독료(v+)기준으로 계산</t>
        </is>
      </c>
      <c r="U23" s="206" t="n"/>
      <c r="V23" s="206" t="n"/>
      <c r="W23" s="206" t="n"/>
      <c r="X23" s="94" t="n"/>
      <c r="Y23" s="206" t="n"/>
      <c r="Z23" s="206" t="n"/>
      <c r="AA23" s="206" t="n"/>
      <c r="AB23" s="206" t="n"/>
      <c r="AC23" s="94" t="n"/>
    </row>
    <row r="24">
      <c r="A24" s="628" t="n"/>
      <c r="B24" s="9" t="inlineStr">
        <is>
          <t>(최종) 선납금 반영 월 구독료 (V-)</t>
        </is>
      </c>
      <c r="C24" s="506">
        <f>C15-C22</f>
        <v/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L24</f>
        <v/>
      </c>
      <c r="Q24" s="635">
        <f>M24</f>
        <v/>
      </c>
      <c r="R24" s="99" t="n">
        <v>46494</v>
      </c>
      <c r="S24" s="415">
        <f>R24-G24</f>
        <v/>
      </c>
      <c r="T24" s="636">
        <f>ROUNDDOWN(((C16)*(C8-SUM(S5:S24))/C8)*20%,-1)</f>
        <v/>
      </c>
      <c r="U24" s="632">
        <f>ROUNDDOWN(N24*S24/DAY(H24),-2)</f>
        <v/>
      </c>
      <c r="V24" s="632">
        <f>ROUNDDOWN(C30*SUM(S5:S24)/C8,-2)</f>
        <v/>
      </c>
      <c r="W24" s="637">
        <f>-ROUNDUP((C26*(C8-SUM(S5:S24))/C8),-2)</f>
        <v/>
      </c>
      <c r="X24" s="638">
        <f>ROUNDDOWN(C38/1.1*SUM(S5:S24)/C8,-2)</f>
        <v/>
      </c>
      <c r="Y24" s="639">
        <f>T24</f>
        <v/>
      </c>
      <c r="Z24" s="632">
        <f>U24*1.1</f>
        <v/>
      </c>
      <c r="AA24" s="632">
        <f>V24*1.1</f>
        <v/>
      </c>
      <c r="AB24" s="637">
        <f>W24*1.1</f>
        <v/>
      </c>
      <c r="AC24" s="638">
        <f>X24*1.1</f>
        <v/>
      </c>
      <c r="AD24" s="206" t="inlineStr">
        <is>
          <t>* 위약금, 할인회수, 선납잔액 환불, 등록비 청구 기준: 일수비율</t>
        </is>
      </c>
    </row>
    <row r="25">
      <c r="A25" s="628" t="n"/>
      <c r="B25" s="9" t="inlineStr">
        <is>
          <t>(최종) 선납금 반영 총 구독료 (V-)</t>
        </is>
      </c>
      <c r="C25" s="506">
        <f>C14-C22*C7</f>
        <v/>
      </c>
      <c r="D25" s="206">
        <f>C25=C14-C26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92" t="n"/>
      <c r="S25" s="196" t="inlineStr">
        <is>
          <t>* 사용일 기준: 제품판정일 전날까지 사용</t>
        </is>
      </c>
      <c r="T25" s="92" t="n"/>
      <c r="U25" s="539" t="n"/>
      <c r="V25" s="206" t="n"/>
      <c r="W25" s="206" t="n"/>
      <c r="X25" s="94" t="n"/>
      <c r="Y25" s="206" t="inlineStr">
        <is>
          <t>* 비과세</t>
        </is>
      </c>
      <c r="Z25" s="539" t="n"/>
      <c r="AA25" s="206" t="n"/>
      <c r="AB25" s="206" t="n"/>
      <c r="AC25" s="94" t="n"/>
    </row>
    <row r="26">
      <c r="A26" s="628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92" t="n"/>
      <c r="S26" s="196" t="n"/>
      <c r="T26" s="92" t="n"/>
      <c r="U26" s="206" t="n"/>
      <c r="V26" s="206" t="n"/>
      <c r="W26" s="206" t="n"/>
      <c r="X26" s="94" t="n"/>
      <c r="Y26" s="206" t="n"/>
      <c r="Z26" s="206" t="n"/>
      <c r="AA26" s="206" t="n"/>
      <c r="AB26" s="517">
        <f>-ROUNDUP((C26*1.1*(C8-SUM(S5:S24))/C8),-1)</f>
        <v/>
      </c>
      <c r="AC26" s="94" t="n"/>
    </row>
    <row r="27">
      <c r="B27" s="9" t="inlineStr">
        <is>
          <t>(계산용) 선납 할인금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92" t="n"/>
      <c r="S27" s="196" t="n"/>
      <c r="T27" s="92" t="n"/>
      <c r="U27" s="206" t="n"/>
      <c r="V27" s="500" t="n"/>
      <c r="W27" s="206" t="n"/>
      <c r="X27" s="94" t="n"/>
      <c r="Y27" s="206" t="n"/>
      <c r="Z27" s="206" t="n"/>
      <c r="AA27" s="206" t="n"/>
      <c r="AB27" s="206" t="n"/>
      <c r="AC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92" t="n"/>
      <c r="S28" s="196" t="n"/>
      <c r="T28" s="92" t="n"/>
      <c r="U28" s="206" t="n"/>
      <c r="V28" s="206" t="n"/>
      <c r="W28" s="206" t="n"/>
      <c r="X28" s="94" t="n"/>
      <c r="Y28" s="206" t="n"/>
      <c r="Z28" s="206" t="n"/>
      <c r="AA28" s="206" t="n"/>
      <c r="AB28" s="206" t="n"/>
      <c r="AC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92" t="n"/>
      <c r="S29" s="196" t="n"/>
      <c r="T29" s="92" t="n"/>
      <c r="U29" s="206" t="n"/>
      <c r="V29" s="206" t="n"/>
      <c r="W29" s="206" t="n"/>
      <c r="X29" s="94" t="n"/>
      <c r="Y29" s="206" t="n"/>
      <c r="Z29" s="206" t="n"/>
      <c r="AA29" s="206" t="n"/>
      <c r="AB29" s="206" t="n"/>
      <c r="AC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92" t="n"/>
      <c r="S30" s="196" t="n"/>
      <c r="T30" s="92" t="n"/>
      <c r="U30" s="206" t="n"/>
      <c r="V30" s="206" t="n"/>
      <c r="W30" s="206" t="n"/>
      <c r="X30" s="94" t="n"/>
      <c r="Y30" s="206" t="n"/>
      <c r="Z30" s="206" t="n"/>
      <c r="AA30" s="206" t="n"/>
      <c r="AB30" s="206" t="n"/>
      <c r="AC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92" t="n"/>
      <c r="S31" s="196" t="n"/>
      <c r="T31" s="92" t="n"/>
      <c r="U31" s="206" t="n"/>
      <c r="V31" s="206" t="n"/>
      <c r="W31" s="206" t="n"/>
      <c r="X31" s="94" t="n"/>
      <c r="Y31" s="206" t="n"/>
      <c r="Z31" s="206" t="n"/>
      <c r="AA31" s="206" t="n"/>
      <c r="AB31" s="206" t="n"/>
      <c r="AC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92" t="n"/>
      <c r="S32" s="196" t="n"/>
      <c r="T32" s="92" t="n"/>
      <c r="U32" s="206" t="n"/>
      <c r="V32" s="206" t="n"/>
      <c r="W32" s="206" t="n"/>
      <c r="X32" s="94" t="n"/>
      <c r="Y32" s="206" t="n"/>
      <c r="Z32" s="206" t="n"/>
      <c r="AA32" s="206" t="n"/>
      <c r="AB32" s="206" t="n"/>
      <c r="AC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92" t="n"/>
      <c r="S33" s="196" t="n"/>
      <c r="T33" s="92" t="n"/>
      <c r="U33" s="206" t="n"/>
      <c r="V33" s="206" t="n"/>
      <c r="W33" s="206" t="n"/>
      <c r="X33" s="94" t="n"/>
      <c r="Y33" s="206" t="n"/>
      <c r="Z33" s="206" t="n"/>
      <c r="AA33" s="206" t="n"/>
      <c r="AB33" s="206" t="n"/>
      <c r="AC33" s="94" t="n"/>
    </row>
    <row r="34">
      <c r="B34" s="9" t="inlineStr">
        <is>
          <t>선납금+선납 할인 반영 순수 구독료 (V-)</t>
        </is>
      </c>
      <c r="C34" s="506">
        <f>C32-C11-C12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92" t="n"/>
      <c r="S34" s="196" t="n"/>
      <c r="T34" s="92" t="n"/>
      <c r="U34" s="206" t="n"/>
      <c r="V34" s="206" t="n"/>
      <c r="W34" s="206" t="n"/>
      <c r="X34" s="94" t="n"/>
      <c r="Y34" s="206" t="n"/>
      <c r="Z34" s="206" t="n"/>
      <c r="AA34" s="206" t="n"/>
      <c r="AB34" s="206" t="n"/>
      <c r="AC34" s="94" t="n"/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92" t="n"/>
      <c r="S35" s="196" t="n"/>
      <c r="T35" s="92" t="n"/>
      <c r="U35" s="206" t="n"/>
      <c r="V35" s="206" t="n"/>
      <c r="W35" s="206" t="n"/>
      <c r="X35" s="94" t="n"/>
      <c r="Y35" s="206" t="n"/>
      <c r="Z35" s="206" t="n"/>
      <c r="AA35" s="206" t="n"/>
      <c r="AB35" s="206" t="n"/>
      <c r="AC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92" t="n"/>
      <c r="S36" s="196" t="n"/>
      <c r="T36" s="92" t="n"/>
      <c r="U36" s="206" t="n"/>
      <c r="V36" s="206" t="n"/>
      <c r="W36" s="206" t="n"/>
      <c r="X36" s="94" t="n"/>
      <c r="Y36" s="206" t="n"/>
      <c r="Z36" s="206" t="n"/>
      <c r="AA36" s="206" t="n"/>
      <c r="AB36" s="206" t="n"/>
      <c r="AC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92" t="n"/>
      <c r="S37" s="196" t="n"/>
      <c r="T37" s="92" t="n"/>
      <c r="U37" s="206" t="n"/>
      <c r="V37" s="206" t="n"/>
      <c r="W37" s="206" t="n"/>
      <c r="X37" s="94" t="n"/>
      <c r="Y37" s="206" t="n"/>
      <c r="Z37" s="206" t="n"/>
      <c r="AA37" s="206" t="n"/>
      <c r="AB37" s="206" t="n"/>
      <c r="AC37" s="94" t="n"/>
    </row>
    <row r="38">
      <c r="B38" s="256" t="inlineStr">
        <is>
          <t>등록비 (V+)</t>
        </is>
      </c>
      <c r="C38" s="526" t="n">
        <v>100000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92" t="n"/>
      <c r="S38" s="196" t="n"/>
      <c r="T38" s="92" t="n"/>
      <c r="U38" s="206" t="n"/>
      <c r="V38" s="206" t="n"/>
      <c r="W38" s="206" t="n"/>
      <c r="X38" s="94" t="n"/>
      <c r="Y38" s="206" t="n"/>
      <c r="Z38" s="206" t="n"/>
      <c r="AA38" s="206" t="n"/>
      <c r="AB38" s="206" t="n"/>
      <c r="AC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92" t="n"/>
      <c r="S39" s="196" t="n"/>
      <c r="T39" s="92" t="n"/>
      <c r="U39" s="206" t="n"/>
      <c r="V39" s="206" t="n"/>
      <c r="W39" s="206" t="n"/>
      <c r="X39" s="94" t="n"/>
      <c r="Y39" s="206" t="n"/>
      <c r="Z39" s="206" t="n"/>
      <c r="AA39" s="206" t="n"/>
      <c r="AB39" s="206" t="n"/>
      <c r="AC39" s="94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92" t="n"/>
      <c r="S40" s="196" t="n"/>
      <c r="T40" s="92" t="n"/>
      <c r="U40" s="206" t="n"/>
      <c r="V40" s="206" t="n"/>
      <c r="W40" s="206" t="n"/>
      <c r="X40" s="94" t="n"/>
      <c r="Y40" s="206" t="n"/>
      <c r="Z40" s="206" t="n"/>
      <c r="AA40" s="206" t="n"/>
      <c r="AB40" s="206" t="n"/>
      <c r="AC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92" t="n"/>
      <c r="S41" s="196" t="n"/>
      <c r="T41" s="92" t="n"/>
      <c r="U41" s="206" t="n"/>
      <c r="V41" s="206" t="n"/>
      <c r="W41" s="206" t="n"/>
      <c r="X41" s="94" t="n"/>
      <c r="Y41" s="206" t="n"/>
      <c r="Z41" s="206" t="n"/>
      <c r="AA41" s="206" t="n"/>
      <c r="AB41" s="206" t="n"/>
      <c r="AC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92" t="n"/>
      <c r="S42" s="196" t="n"/>
      <c r="T42" s="92" t="n"/>
      <c r="U42" s="206" t="n"/>
      <c r="V42" s="206" t="n"/>
      <c r="W42" s="206" t="n"/>
      <c r="X42" s="94" t="n"/>
      <c r="Y42" s="206" t="n"/>
      <c r="Z42" s="206" t="n"/>
      <c r="AA42" s="206" t="n"/>
      <c r="AB42" s="206" t="n"/>
      <c r="AC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92" t="n"/>
      <c r="S43" s="196" t="n"/>
      <c r="T43" s="92" t="n"/>
      <c r="U43" s="206" t="n"/>
      <c r="V43" s="206" t="n"/>
      <c r="W43" s="206" t="n"/>
      <c r="X43" s="94" t="n"/>
      <c r="Y43" s="206" t="n"/>
      <c r="Z43" s="206" t="n"/>
      <c r="AA43" s="206" t="n"/>
      <c r="AB43" s="206" t="n"/>
      <c r="AC43" s="94" t="n"/>
    </row>
    <row r="44">
      <c r="C44" s="500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92" t="n"/>
      <c r="S44" s="196" t="n"/>
      <c r="T44" s="92" t="n"/>
      <c r="U44" s="206" t="n"/>
      <c r="V44" s="206" t="n"/>
      <c r="W44" s="206" t="n"/>
      <c r="X44" s="94" t="n"/>
      <c r="Y44" s="206" t="n"/>
      <c r="Z44" s="206" t="n"/>
      <c r="AA44" s="206" t="n"/>
      <c r="AB44" s="206" t="n"/>
      <c r="AC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92" t="n"/>
      <c r="S45" s="196" t="n"/>
      <c r="T45" s="92" t="n"/>
      <c r="U45" s="206" t="n"/>
      <c r="V45" s="206" t="n"/>
      <c r="W45" s="206" t="n"/>
      <c r="X45" s="94" t="n"/>
      <c r="Y45" s="206" t="n"/>
      <c r="Z45" s="206" t="n"/>
      <c r="AA45" s="206" t="n"/>
      <c r="AB45" s="206" t="n"/>
      <c r="AC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92" t="n"/>
      <c r="S46" s="196" t="n"/>
      <c r="T46" s="92" t="n"/>
      <c r="U46" s="206" t="n"/>
      <c r="V46" s="206" t="n"/>
      <c r="W46" s="206" t="n"/>
      <c r="X46" s="94" t="n"/>
      <c r="Y46" s="206" t="n"/>
      <c r="Z46" s="206" t="n"/>
      <c r="AA46" s="206" t="n"/>
      <c r="AB46" s="206" t="n"/>
      <c r="AC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92" t="n"/>
      <c r="S47" s="196" t="n"/>
      <c r="T47" s="92" t="n"/>
      <c r="U47" s="206" t="n"/>
      <c r="V47" s="206" t="n"/>
      <c r="W47" s="206" t="n"/>
      <c r="X47" s="94" t="n"/>
      <c r="Y47" s="206" t="n"/>
      <c r="Z47" s="206" t="n"/>
      <c r="AA47" s="206" t="n"/>
      <c r="AB47" s="206" t="n"/>
      <c r="AC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92" t="n"/>
      <c r="S48" s="196" t="n"/>
      <c r="T48" s="92" t="n"/>
      <c r="U48" s="206" t="n"/>
      <c r="V48" s="206" t="n"/>
      <c r="W48" s="206" t="n"/>
      <c r="X48" s="94" t="n"/>
      <c r="Y48" s="206" t="n"/>
      <c r="Z48" s="206" t="n"/>
      <c r="AA48" s="206" t="n"/>
      <c r="AB48" s="206" t="n"/>
      <c r="AC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92" t="n"/>
      <c r="S49" s="196" t="n"/>
      <c r="T49" s="92" t="n"/>
      <c r="U49" s="206" t="n"/>
      <c r="V49" s="206" t="n"/>
      <c r="W49" s="206" t="n"/>
      <c r="X49" s="94" t="n"/>
      <c r="Y49" s="206" t="n"/>
      <c r="Z49" s="206" t="n"/>
      <c r="AA49" s="206" t="n"/>
      <c r="AB49" s="206" t="n"/>
      <c r="AC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92" t="n"/>
      <c r="S50" s="196" t="n"/>
      <c r="T50" s="92" t="n"/>
      <c r="U50" s="206" t="n"/>
      <c r="V50" s="206" t="n"/>
      <c r="W50" s="206" t="n"/>
      <c r="X50" s="94" t="n"/>
      <c r="Y50" s="206" t="n"/>
      <c r="Z50" s="206" t="n"/>
      <c r="AA50" s="206" t="n"/>
      <c r="AB50" s="206" t="n"/>
      <c r="AC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92" t="n"/>
      <c r="S51" s="196" t="n"/>
      <c r="T51" s="92" t="n"/>
      <c r="U51" s="206" t="n"/>
      <c r="V51" s="206" t="n"/>
      <c r="W51" s="206" t="n"/>
      <c r="X51" s="94" t="n"/>
      <c r="Y51" s="206" t="n"/>
      <c r="Z51" s="206" t="n"/>
      <c r="AA51" s="206" t="n"/>
      <c r="AB51" s="206" t="n"/>
      <c r="AC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92" t="n"/>
      <c r="S52" s="196" t="n"/>
      <c r="T52" s="92" t="n"/>
      <c r="U52" s="206" t="n"/>
      <c r="V52" s="206" t="n"/>
      <c r="W52" s="206" t="n"/>
      <c r="X52" s="94" t="n"/>
      <c r="Y52" s="206" t="n"/>
      <c r="Z52" s="206" t="n"/>
      <c r="AA52" s="206" t="n"/>
      <c r="AB52" s="206" t="n"/>
      <c r="AC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92" t="n"/>
      <c r="S53" s="196" t="n"/>
      <c r="T53" s="92" t="n"/>
      <c r="U53" s="206" t="n"/>
      <c r="V53" s="206" t="n"/>
      <c r="W53" s="206" t="n"/>
      <c r="X53" s="94" t="n"/>
      <c r="Y53" s="206" t="n"/>
      <c r="Z53" s="206" t="n"/>
      <c r="AA53" s="206" t="n"/>
      <c r="AB53" s="206" t="n"/>
      <c r="AC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92" t="n"/>
      <c r="S54" s="196" t="n"/>
      <c r="T54" s="92" t="n"/>
      <c r="U54" s="206" t="n"/>
      <c r="V54" s="206" t="n"/>
      <c r="W54" s="206" t="n"/>
      <c r="X54" s="94" t="n"/>
      <c r="Y54" s="206" t="n"/>
      <c r="Z54" s="206" t="n"/>
      <c r="AA54" s="206" t="n"/>
      <c r="AB54" s="206" t="n"/>
      <c r="AC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92" t="n"/>
      <c r="S55" s="196" t="n"/>
      <c r="T55" s="92" t="n"/>
      <c r="U55" s="206" t="n"/>
      <c r="V55" s="206" t="n"/>
      <c r="W55" s="206" t="n"/>
      <c r="X55" s="94" t="n"/>
      <c r="Y55" s="206" t="n"/>
      <c r="Z55" s="206" t="n"/>
      <c r="AA55" s="206" t="n"/>
      <c r="AB55" s="206" t="n"/>
      <c r="AC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92" t="n"/>
      <c r="S56" s="196" t="n"/>
      <c r="T56" s="92" t="n"/>
      <c r="U56" s="206" t="n"/>
      <c r="V56" s="206" t="n"/>
      <c r="W56" s="206" t="n"/>
      <c r="X56" s="94" t="n"/>
      <c r="Y56" s="206" t="n"/>
      <c r="Z56" s="206" t="n"/>
      <c r="AA56" s="206" t="n"/>
      <c r="AB56" s="206" t="n"/>
      <c r="AC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92" t="n"/>
      <c r="S57" s="196" t="n"/>
      <c r="T57" s="92" t="n"/>
      <c r="U57" s="206" t="n"/>
      <c r="V57" s="206" t="n"/>
      <c r="W57" s="206" t="n"/>
      <c r="X57" s="94" t="n"/>
      <c r="Y57" s="206" t="n"/>
      <c r="Z57" s="206" t="n"/>
      <c r="AA57" s="206" t="n"/>
      <c r="AB57" s="206" t="n"/>
      <c r="AC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92" t="n"/>
      <c r="S58" s="196" t="n"/>
      <c r="T58" s="92" t="n"/>
      <c r="U58" s="206" t="n"/>
      <c r="V58" s="206" t="n"/>
      <c r="W58" s="206" t="n"/>
      <c r="X58" s="94" t="n"/>
      <c r="Y58" s="206" t="n"/>
      <c r="Z58" s="206" t="n"/>
      <c r="AA58" s="206" t="n"/>
      <c r="AB58" s="206" t="n"/>
      <c r="AC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92" t="n"/>
      <c r="S59" s="196" t="n"/>
      <c r="T59" s="92" t="n"/>
      <c r="U59" s="206" t="n"/>
      <c r="V59" s="206" t="n"/>
      <c r="W59" s="206" t="n"/>
      <c r="X59" s="94" t="n"/>
      <c r="Y59" s="206" t="n"/>
      <c r="Z59" s="206" t="n"/>
      <c r="AA59" s="206" t="n"/>
      <c r="AB59" s="206" t="n"/>
      <c r="AC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L60</f>
        <v/>
      </c>
      <c r="Q60" s="519">
        <f>M60</f>
        <v/>
      </c>
      <c r="R60" s="92" t="n"/>
      <c r="S60" s="196" t="n"/>
      <c r="T60" s="92" t="n"/>
      <c r="U60" s="206" t="n"/>
      <c r="V60" s="206" t="n"/>
      <c r="W60" s="206" t="n"/>
      <c r="X60" s="94" t="n"/>
      <c r="Y60" s="206" t="n"/>
      <c r="Z60" s="206" t="n"/>
      <c r="AA60" s="206" t="n"/>
      <c r="AB60" s="206" t="n"/>
      <c r="AC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92" t="n"/>
      <c r="S61" s="196" t="n"/>
      <c r="T61" s="92" t="n"/>
      <c r="U61" s="206" t="n"/>
      <c r="V61" s="206" t="n"/>
      <c r="W61" s="206" t="n"/>
      <c r="X61" s="94" t="n"/>
      <c r="Y61" s="206" t="n"/>
      <c r="Z61" s="206" t="n"/>
      <c r="AA61" s="206" t="n"/>
      <c r="AB61" s="206" t="n"/>
      <c r="AC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92" t="n"/>
      <c r="S62" s="196" t="n"/>
      <c r="T62" s="92" t="n"/>
      <c r="U62" s="206" t="n"/>
      <c r="V62" s="206" t="n"/>
      <c r="W62" s="206" t="n"/>
      <c r="X62" s="94" t="n"/>
      <c r="Y62" s="206" t="n"/>
      <c r="Z62" s="206" t="n"/>
      <c r="AA62" s="206" t="n"/>
      <c r="AB62" s="206" t="n"/>
      <c r="AC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92" t="n"/>
      <c r="S63" s="196" t="n"/>
      <c r="T63" s="92" t="n"/>
      <c r="U63" s="206" t="n"/>
      <c r="V63" s="206" t="n"/>
      <c r="W63" s="206" t="n"/>
      <c r="X63" s="94" t="n"/>
      <c r="Y63" s="206" t="n"/>
      <c r="Z63" s="206" t="n"/>
      <c r="AA63" s="206" t="n"/>
      <c r="AB63" s="206" t="n"/>
      <c r="AC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92" t="n"/>
      <c r="S64" s="196" t="n"/>
      <c r="T64" s="92" t="n"/>
      <c r="U64" s="206" t="n"/>
      <c r="V64" s="206" t="n"/>
      <c r="W64" s="206" t="n"/>
      <c r="X64" s="94" t="n"/>
      <c r="Y64" s="206" t="n"/>
      <c r="Z64" s="206" t="n"/>
      <c r="AA64" s="206" t="n"/>
      <c r="AB64" s="206" t="n"/>
      <c r="AC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92" t="n"/>
      <c r="S65" s="196" t="n"/>
      <c r="T65" s="92" t="n"/>
      <c r="U65" s="206" t="n"/>
      <c r="V65" s="206" t="n"/>
      <c r="W65" s="206" t="n"/>
      <c r="X65" s="94" t="n"/>
      <c r="Y65" s="206" t="n"/>
      <c r="Z65" s="206" t="n"/>
      <c r="AA65" s="206" t="n"/>
      <c r="AB65" s="206" t="n"/>
      <c r="AC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92" t="n"/>
      <c r="S66" s="196" t="n"/>
      <c r="T66" s="92" t="n"/>
      <c r="U66" s="206" t="n"/>
      <c r="V66" s="206" t="n"/>
      <c r="W66" s="206" t="n"/>
      <c r="X66" s="94" t="n"/>
      <c r="Y66" s="206" t="n"/>
      <c r="Z66" s="206" t="n"/>
      <c r="AA66" s="206" t="n"/>
      <c r="AB66" s="206" t="n"/>
      <c r="AC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92" t="n"/>
      <c r="S67" s="196" t="n"/>
      <c r="T67" s="92" t="n"/>
      <c r="U67" s="206" t="n"/>
      <c r="V67" s="206" t="n"/>
      <c r="W67" s="206" t="n"/>
      <c r="X67" s="94" t="n"/>
      <c r="Y67" s="206" t="n"/>
      <c r="Z67" s="206" t="n"/>
      <c r="AA67" s="206" t="n"/>
      <c r="AB67" s="206" t="n"/>
      <c r="AC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92" t="n"/>
      <c r="S68" s="196" t="n"/>
      <c r="T68" s="92" t="n"/>
      <c r="U68" s="206" t="n"/>
      <c r="V68" s="206" t="n"/>
      <c r="W68" s="206" t="n"/>
      <c r="X68" s="94" t="n"/>
      <c r="Y68" s="206" t="n"/>
      <c r="Z68" s="206" t="n"/>
      <c r="AA68" s="206" t="n"/>
      <c r="AB68" s="206" t="n"/>
      <c r="AC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92" t="n"/>
      <c r="S69" s="196" t="n"/>
      <c r="T69" s="92" t="n"/>
      <c r="U69" s="206" t="n"/>
      <c r="V69" s="206" t="n"/>
      <c r="W69" s="206" t="n"/>
      <c r="X69" s="94" t="n"/>
      <c r="Y69" s="206" t="n"/>
      <c r="Z69" s="206" t="n"/>
      <c r="AA69" s="206" t="n"/>
      <c r="AB69" s="206" t="n"/>
      <c r="AC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92" t="n"/>
      <c r="S70" s="196" t="n"/>
      <c r="T70" s="92" t="n"/>
      <c r="U70" s="206" t="n"/>
      <c r="V70" s="206" t="n"/>
      <c r="W70" s="206" t="n"/>
      <c r="X70" s="94" t="n"/>
      <c r="Y70" s="206" t="n"/>
      <c r="Z70" s="206" t="n"/>
      <c r="AA70" s="206" t="n"/>
      <c r="AB70" s="206" t="n"/>
      <c r="AC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92" t="n"/>
      <c r="S71" s="196" t="n"/>
      <c r="T71" s="92" t="n"/>
      <c r="U71" s="206" t="n"/>
      <c r="V71" s="206" t="n"/>
      <c r="W71" s="206" t="n"/>
      <c r="X71" s="94" t="n"/>
      <c r="Y71" s="206" t="n"/>
      <c r="Z71" s="206" t="n"/>
      <c r="AA71" s="206" t="n"/>
      <c r="AB71" s="206" t="n"/>
      <c r="AC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92" t="n"/>
      <c r="S72" s="196" t="n"/>
      <c r="T72" s="92" t="n"/>
      <c r="U72" s="206" t="n"/>
      <c r="V72" s="206" t="n"/>
      <c r="W72" s="206" t="n"/>
      <c r="X72" s="94" t="n"/>
      <c r="Y72" s="206" t="n"/>
      <c r="Z72" s="206" t="n"/>
      <c r="AA72" s="206" t="n"/>
      <c r="AB72" s="206" t="n"/>
      <c r="AC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92" t="n"/>
      <c r="S73" s="196" t="n"/>
      <c r="T73" s="92" t="n"/>
      <c r="U73" s="206" t="n"/>
      <c r="V73" s="206" t="n"/>
      <c r="W73" s="206" t="n"/>
      <c r="X73" s="94" t="n"/>
      <c r="Y73" s="206" t="n"/>
      <c r="Z73" s="206" t="n"/>
      <c r="AA73" s="206" t="n"/>
      <c r="AB73" s="206" t="n"/>
      <c r="AC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92" t="n"/>
      <c r="S74" s="196" t="n"/>
      <c r="T74" s="92" t="n"/>
      <c r="U74" s="206" t="n"/>
      <c r="V74" s="206" t="n"/>
      <c r="W74" s="206" t="n"/>
      <c r="X74" s="94" t="n"/>
      <c r="Y74" s="206" t="n"/>
      <c r="Z74" s="206" t="n"/>
      <c r="AA74" s="206" t="n"/>
      <c r="AB74" s="206" t="n"/>
      <c r="AC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92" t="n"/>
      <c r="S75" s="196" t="n"/>
      <c r="T75" s="92" t="n"/>
      <c r="U75" s="206" t="n"/>
      <c r="V75" s="206" t="n"/>
      <c r="W75" s="206" t="n"/>
      <c r="X75" s="94" t="n"/>
      <c r="Y75" s="206" t="n"/>
      <c r="Z75" s="206" t="n"/>
      <c r="AA75" s="206" t="n"/>
      <c r="AB75" s="206" t="n"/>
      <c r="AC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92" t="n"/>
      <c r="S76" s="196" t="n"/>
      <c r="T76" s="92" t="n"/>
      <c r="U76" s="206" t="n"/>
      <c r="V76" s="206" t="n"/>
      <c r="W76" s="206" t="n"/>
      <c r="X76" s="94" t="n"/>
      <c r="Y76" s="206" t="n"/>
      <c r="Z76" s="206" t="n"/>
      <c r="AA76" s="206" t="n"/>
      <c r="AB76" s="206" t="n"/>
      <c r="AC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9" t="n"/>
      <c r="S77" s="12" t="n"/>
      <c r="T77" s="59" t="n"/>
      <c r="U77" s="95" t="n"/>
      <c r="V77" s="95" t="n"/>
      <c r="W77" s="95" t="n"/>
      <c r="X77" s="97" t="n"/>
      <c r="Y77" s="95" t="n"/>
      <c r="Z77" s="95" t="n"/>
      <c r="AA77" s="95" t="n"/>
      <c r="AB77" s="95" t="n"/>
      <c r="AC77" s="97" t="n"/>
    </row>
    <row r="78">
      <c r="O78" s="500" t="n"/>
    </row>
  </sheetData>
  <mergeCells count="1">
    <mergeCell ref="A20:A26"/>
  </mergeCells>
  <pageMargins left="0.7" right="0.7" top="0.75" bottom="0.75" header="0.3" footer="0.3"/>
  <pageSetup orientation="portrait" paperSize="9"/>
</worksheet>
</file>

<file path=xl/worksheets/sheet28.xml><?xml version="1.0" encoding="utf-8"?>
<worksheet xmlns="http://schemas.openxmlformats.org/spreadsheetml/2006/main">
  <sheetPr>
    <tabColor rgb="00A6A6A6"/>
    <outlinePr summaryBelow="1" summaryRight="1"/>
    <pageSetUpPr/>
  </sheetPr>
  <dimension ref="A2:AL79"/>
  <sheetViews>
    <sheetView showGridLines="0" zoomScale="60" zoomScaleNormal="60" workbookViewId="0">
      <selection activeCell="AA25" sqref="AA25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5.3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0"/>
    <col width="13" customWidth="1" style="497" min="11" max="11"/>
    <col width="13" bestFit="1" customWidth="1" style="497" min="12" max="12"/>
    <col width="11.6875" bestFit="1" customWidth="1" style="497" min="13" max="13"/>
    <col width="10.1875" bestFit="1" customWidth="1" style="497" min="14" max="14"/>
    <col width="10.1875" customWidth="1" style="497" min="15" max="15"/>
    <col width="11.6875" bestFit="1" customWidth="1" style="497" min="16" max="16"/>
    <col width="11.6875" customWidth="1" style="497" min="17" max="17"/>
    <col width="11.6875" bestFit="1" customWidth="1" style="497" min="18" max="19"/>
    <col width="9.375" bestFit="1" customWidth="1" style="497" min="20" max="20"/>
    <col width="9.375" customWidth="1" style="497" min="21" max="21"/>
    <col width="11.1875" bestFit="1" customWidth="1" style="497" min="22" max="22"/>
    <col width="7.375" bestFit="1" customWidth="1" style="497" min="23" max="23"/>
    <col width="13.5" bestFit="1" customWidth="1" style="497" min="24" max="24"/>
    <col width="11.875" bestFit="1" customWidth="1" style="497" min="25" max="26"/>
    <col width="14" bestFit="1" customWidth="1" style="497" min="27" max="27"/>
    <col outlineLevel="1" width="14" customWidth="1" style="497" min="28" max="31"/>
    <col width="11.375" bestFit="1" customWidth="1" style="497" min="32" max="32"/>
    <col width="15.375" bestFit="1" customWidth="1" style="497" min="34" max="34"/>
    <col width="12.375" bestFit="1" customWidth="1" style="497" min="35" max="35"/>
  </cols>
  <sheetData>
    <row r="2">
      <c r="I2" s="8" t="inlineStr">
        <is>
          <t>SUM =</t>
        </is>
      </c>
      <c r="J2" s="500">
        <f>SUM(J6:J78)</f>
        <v/>
      </c>
      <c r="K2" s="500">
        <f>SUM(K6:K78)</f>
        <v/>
      </c>
      <c r="L2" s="500">
        <f>SUM(L6:L78)</f>
        <v/>
      </c>
      <c r="M2" s="500">
        <f>SUM(M6:M78)</f>
        <v/>
      </c>
      <c r="N2" s="500">
        <f>SUM(N6:N78)</f>
        <v/>
      </c>
      <c r="O2" s="500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X2" s="206" t="inlineStr">
        <is>
          <t>* 위약금은 비과세로 총구독료(v+)기준으로 계산</t>
        </is>
      </c>
    </row>
    <row r="3">
      <c r="I3" s="8" t="n"/>
      <c r="J3" s="501" t="inlineStr">
        <is>
          <t>기본 (v-)</t>
        </is>
      </c>
      <c r="K3" s="502" t="n"/>
      <c r="L3" s="502" t="n"/>
      <c r="M3" s="502" t="n"/>
      <c r="N3" s="503" t="n"/>
      <c r="O3" s="502" t="n"/>
      <c r="P3" s="75" t="inlineStr">
        <is>
          <t>선납+선납할인 시 (v-)</t>
        </is>
      </c>
      <c r="Q3" s="76" t="n"/>
      <c r="R3" s="76" t="n"/>
      <c r="S3" s="76" t="n"/>
      <c r="T3" s="76" t="n"/>
      <c r="U3" s="76" t="n"/>
      <c r="V3" s="75" t="inlineStr">
        <is>
          <t>중도해지 시 (v-)</t>
        </is>
      </c>
      <c r="W3" s="70" t="n"/>
      <c r="X3" s="70" t="n"/>
      <c r="Y3" s="70" t="n"/>
      <c r="Z3" s="70" t="n"/>
      <c r="AA3" s="71" t="n"/>
      <c r="AB3" s="75" t="inlineStr">
        <is>
          <t>중도해지 시 (v+)</t>
        </is>
      </c>
      <c r="AC3" s="70" t="n"/>
      <c r="AD3" s="70" t="n"/>
      <c r="AE3" s="71" t="n"/>
      <c r="AK3" s="500" t="n"/>
    </row>
    <row r="4">
      <c r="I4" s="8" t="n"/>
      <c r="J4" s="264" t="inlineStr">
        <is>
          <t>구독료청구</t>
        </is>
      </c>
      <c r="K4" s="643" t="inlineStr">
        <is>
          <t>파손 제외 구독료</t>
        </is>
      </c>
      <c r="L4" s="560" t="n"/>
      <c r="M4" s="560" t="n"/>
      <c r="N4" s="561" t="n"/>
      <c r="O4" s="644" t="inlineStr">
        <is>
          <t>파손보험</t>
        </is>
      </c>
      <c r="P4" s="264" t="inlineStr">
        <is>
          <t>구독료청구</t>
        </is>
      </c>
      <c r="Q4" s="643" t="inlineStr">
        <is>
          <t>파손 제외 구독료</t>
        </is>
      </c>
      <c r="R4" s="560" t="n"/>
      <c r="S4" s="560" t="n"/>
      <c r="T4" s="561" t="n"/>
      <c r="U4" s="645" t="inlineStr">
        <is>
          <t>파손보험</t>
        </is>
      </c>
      <c r="V4" s="264" t="inlineStr">
        <is>
          <t>제품판정일</t>
        </is>
      </c>
      <c r="W4" s="264" t="inlineStr">
        <is>
          <t>경과일</t>
        </is>
      </c>
      <c r="X4" s="261" t="inlineStr">
        <is>
          <t>위약금</t>
        </is>
      </c>
      <c r="Y4" s="121" t="inlineStr">
        <is>
          <t>사용분 청구</t>
        </is>
      </c>
      <c r="Z4" s="121" t="inlineStr">
        <is>
          <t>할인금 회수</t>
        </is>
      </c>
      <c r="AA4" s="269" t="inlineStr">
        <is>
          <t>선납잔액 환불</t>
        </is>
      </c>
      <c r="AB4" s="261" t="inlineStr">
        <is>
          <t>위약금</t>
        </is>
      </c>
      <c r="AC4" s="121" t="inlineStr">
        <is>
          <t>사용분 청구</t>
        </is>
      </c>
      <c r="AD4" s="121" t="inlineStr">
        <is>
          <t>할인금 회수</t>
        </is>
      </c>
      <c r="AE4" s="269" t="inlineStr">
        <is>
          <t>선납잔액 환불</t>
        </is>
      </c>
      <c r="AK4" s="500" t="n"/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65" t="n"/>
      <c r="K5" s="270" t="n"/>
      <c r="L5" s="26" t="inlineStr">
        <is>
          <t>제품</t>
        </is>
      </c>
      <c r="M5" s="15" t="inlineStr">
        <is>
          <t>케어</t>
        </is>
      </c>
      <c r="N5" s="27" t="inlineStr">
        <is>
          <t>보증</t>
        </is>
      </c>
      <c r="O5" s="265" t="n"/>
      <c r="P5" s="265" t="n"/>
      <c r="Q5" s="270" t="n"/>
      <c r="R5" s="26" t="inlineStr">
        <is>
          <t>제품</t>
        </is>
      </c>
      <c r="S5" s="15" t="inlineStr">
        <is>
          <t>케어</t>
        </is>
      </c>
      <c r="T5" s="27" t="inlineStr">
        <is>
          <t>보증</t>
        </is>
      </c>
      <c r="U5" s="265" t="n"/>
      <c r="V5" s="265" t="n"/>
      <c r="W5" s="265" t="n"/>
      <c r="X5" s="270" t="n"/>
      <c r="Y5" s="271" t="n"/>
      <c r="Z5" s="271" t="n"/>
      <c r="AA5" s="272" t="n"/>
      <c r="AB5" s="270" t="n"/>
      <c r="AC5" s="271" t="n"/>
      <c r="AD5" s="271" t="n"/>
      <c r="AE5" s="272" t="n"/>
      <c r="AH5" s="273" t="inlineStr">
        <is>
          <t>사용분 청구 (v-)</t>
        </is>
      </c>
      <c r="AI5" s="274" t="n"/>
      <c r="AJ5" s="274" t="n"/>
      <c r="AK5" s="274" t="n"/>
      <c r="AL5" s="124" t="n"/>
    </row>
    <row r="6">
      <c r="B6" s="9" t="inlineStr">
        <is>
          <t>모델코드</t>
        </is>
      </c>
      <c r="C6" s="6" t="inlineStr">
        <is>
          <t>SM-X920NZAAKOO</t>
        </is>
      </c>
      <c r="F6" s="101" t="inlineStr">
        <is>
          <t>1회차</t>
        </is>
      </c>
      <c r="G6" s="102" t="n">
        <v>45912</v>
      </c>
      <c r="H6" s="102" t="n">
        <v>45930</v>
      </c>
      <c r="I6" s="103">
        <f>EOMONTH(G6,0)+15</f>
        <v/>
      </c>
      <c r="J6" s="515">
        <f>K6+O6</f>
        <v/>
      </c>
      <c r="K6" s="646">
        <f>ROUNDDOWN(($C$20/1.1/$C$8)*(H6-G6+1)/DAY(H6),-2)</f>
        <v/>
      </c>
      <c r="L6" s="516">
        <f>K6-M6-N6</f>
        <v/>
      </c>
      <c r="M6" s="517">
        <f>ROUNDDOWN(($C$12/$C$8)*(H6-G6+1)/DAY(H6),-2)</f>
        <v/>
      </c>
      <c r="N6" s="518">
        <f>ROUNDDOWN(($C$13/$C$8)*(H6-G6+1)/DAY(H6),-2)</f>
        <v/>
      </c>
      <c r="O6" s="518">
        <f>ROUNDDOWN(($C$14/$C$8)*(H6-G6+1)/DAY(H6),-2)</f>
        <v/>
      </c>
      <c r="P6" s="515">
        <f>Q6+U6</f>
        <v/>
      </c>
      <c r="Q6" s="646">
        <f>ROUNDDOWN(($C$41/1.1/$C$8)*(H6-G6+1)/DAY(H6),-2)</f>
        <v/>
      </c>
      <c r="R6" s="516">
        <f>Q6-S6-T6</f>
        <v/>
      </c>
      <c r="S6" s="500">
        <f>M6</f>
        <v/>
      </c>
      <c r="T6" s="519">
        <f>N6</f>
        <v/>
      </c>
      <c r="U6" s="500">
        <f>O6</f>
        <v/>
      </c>
      <c r="V6" s="55" t="n"/>
      <c r="W6" s="54">
        <f>H6-G6+1</f>
        <v/>
      </c>
      <c r="X6" s="55" t="n"/>
      <c r="Y6" s="626" t="n"/>
      <c r="Z6" s="627" t="n"/>
      <c r="AA6" s="91" t="n"/>
      <c r="AB6" s="55" t="n"/>
      <c r="AC6" s="626" t="n"/>
      <c r="AD6" s="627" t="n"/>
      <c r="AE6" s="91" t="n"/>
      <c r="AH6" s="130" t="n"/>
      <c r="AI6" s="9" t="inlineStr">
        <is>
          <t>제품</t>
        </is>
      </c>
      <c r="AJ6" s="9" t="inlineStr">
        <is>
          <t>케어</t>
        </is>
      </c>
      <c r="AK6" s="9" t="inlineStr">
        <is>
          <t>보증</t>
        </is>
      </c>
      <c r="AL6" s="9" t="inlineStr">
        <is>
          <t>파손</t>
        </is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K7+O7</f>
        <v/>
      </c>
      <c r="K7" s="646">
        <f>$C$20/1.1/$C$8</f>
        <v/>
      </c>
      <c r="L7" s="516">
        <f>K7-M7-N7</f>
        <v/>
      </c>
      <c r="M7" s="517">
        <f>$C$12/$C$8</f>
        <v/>
      </c>
      <c r="N7" s="518">
        <f>$C$13/$C$8</f>
        <v/>
      </c>
      <c r="O7" s="518">
        <f>$C$14/$C$8</f>
        <v/>
      </c>
      <c r="P7" s="515">
        <f>Q7+U7</f>
        <v/>
      </c>
      <c r="Q7" s="646">
        <f>$C$41/1.1/$C$8</f>
        <v/>
      </c>
      <c r="R7" s="516">
        <f>Q7-S7-T7</f>
        <v/>
      </c>
      <c r="S7" s="500">
        <f>M7</f>
        <v/>
      </c>
      <c r="T7" s="519">
        <f>N7</f>
        <v/>
      </c>
      <c r="U7" s="500">
        <f>O7</f>
        <v/>
      </c>
      <c r="V7" s="92" t="n"/>
      <c r="W7" s="196">
        <f>H7-G7+1</f>
        <v/>
      </c>
      <c r="X7" s="92" t="n"/>
      <c r="AA7" s="94" t="n"/>
      <c r="AB7" s="92" t="n"/>
      <c r="AE7" s="94" t="n"/>
      <c r="AH7" s="527">
        <f>Y25</f>
        <v/>
      </c>
      <c r="AI7" s="527">
        <f>ROUNDDOWN(Q25*W25/DAY(H25),-2)-AJ7-AK7</f>
        <v/>
      </c>
      <c r="AJ7" s="2">
        <f>ROUNDDOWN(S25*W25/DAY(H25),-2)</f>
        <v/>
      </c>
      <c r="AK7" s="2">
        <f>ROUNDDOWN(T25*W25/DAY(H25),-2)</f>
        <v/>
      </c>
      <c r="AL7" s="2">
        <f>ROUNDDOWN(U25*W25/DAY(H25),-1)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K8+O8</f>
        <v/>
      </c>
      <c r="K8" s="646">
        <f>$C$20/1.1/$C$8</f>
        <v/>
      </c>
      <c r="L8" s="516">
        <f>K8-M8-N8</f>
        <v/>
      </c>
      <c r="M8" s="517">
        <f>$C$12/$C$8</f>
        <v/>
      </c>
      <c r="N8" s="518">
        <f>$C$13/$C$8</f>
        <v/>
      </c>
      <c r="O8" s="518">
        <f>$C$14/$C$8</f>
        <v/>
      </c>
      <c r="P8" s="515">
        <f>Q8+U8</f>
        <v/>
      </c>
      <c r="Q8" s="646">
        <f>$C$41/1.1/$C$8</f>
        <v/>
      </c>
      <c r="R8" s="516">
        <f>Q8-S8-T8</f>
        <v/>
      </c>
      <c r="S8" s="500">
        <f>M8</f>
        <v/>
      </c>
      <c r="T8" s="519">
        <f>N8</f>
        <v/>
      </c>
      <c r="U8" s="500">
        <f>O8</f>
        <v/>
      </c>
      <c r="V8" s="92" t="n"/>
      <c r="W8" s="196">
        <f>H8-G8+1</f>
        <v/>
      </c>
      <c r="X8" s="92" t="n"/>
      <c r="AA8" s="94" t="n"/>
      <c r="AB8" s="92" t="n"/>
      <c r="AE8" s="94" t="n"/>
      <c r="AH8" s="505" t="n"/>
      <c r="AI8" s="505" t="n"/>
      <c r="AJ8" s="505" t="n"/>
      <c r="AK8" s="505" t="n"/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K9+O9</f>
        <v/>
      </c>
      <c r="K9" s="646">
        <f>$C$20/1.1/$C$8</f>
        <v/>
      </c>
      <c r="L9" s="516">
        <f>K9-M9-N9</f>
        <v/>
      </c>
      <c r="M9" s="517">
        <f>$C$12/$C$8</f>
        <v/>
      </c>
      <c r="N9" s="518">
        <f>$C$13/$C$8</f>
        <v/>
      </c>
      <c r="O9" s="518">
        <f>$C$14/$C$8</f>
        <v/>
      </c>
      <c r="P9" s="515">
        <f>Q9+U9</f>
        <v/>
      </c>
      <c r="Q9" s="646">
        <f>$C$41/1.1/$C$8</f>
        <v/>
      </c>
      <c r="R9" s="516">
        <f>Q9-S9-T9</f>
        <v/>
      </c>
      <c r="S9" s="500">
        <f>M9</f>
        <v/>
      </c>
      <c r="T9" s="519">
        <f>N9</f>
        <v/>
      </c>
      <c r="U9" s="500">
        <f>O9</f>
        <v/>
      </c>
      <c r="V9" s="92" t="n"/>
      <c r="W9" s="196">
        <f>H9-G9+1</f>
        <v/>
      </c>
      <c r="X9" s="92" t="n"/>
      <c r="AA9" s="94" t="n"/>
      <c r="AB9" s="92" t="n"/>
      <c r="AE9" s="94" t="n"/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K10+O10</f>
        <v/>
      </c>
      <c r="K10" s="646">
        <f>$C$20/1.1/$C$8</f>
        <v/>
      </c>
      <c r="L10" s="516">
        <f>K10-M10-N10</f>
        <v/>
      </c>
      <c r="M10" s="517">
        <f>$C$12/$C$8</f>
        <v/>
      </c>
      <c r="N10" s="518">
        <f>$C$13/$C$8</f>
        <v/>
      </c>
      <c r="O10" s="518">
        <f>$C$14/$C$8</f>
        <v/>
      </c>
      <c r="P10" s="515">
        <f>Q10+U10</f>
        <v/>
      </c>
      <c r="Q10" s="646">
        <f>$C$41/1.1/$C$8</f>
        <v/>
      </c>
      <c r="R10" s="516">
        <f>Q10-S10-T10</f>
        <v/>
      </c>
      <c r="S10" s="500">
        <f>M10</f>
        <v/>
      </c>
      <c r="T10" s="519">
        <f>N10</f>
        <v/>
      </c>
      <c r="U10" s="500">
        <f>O10</f>
        <v/>
      </c>
      <c r="V10" s="92" t="n"/>
      <c r="W10" s="196">
        <f>H10-G10+1</f>
        <v/>
      </c>
      <c r="X10" s="92" t="n"/>
      <c r="AA10" s="94" t="n"/>
      <c r="AB10" s="92" t="n"/>
      <c r="AE10" s="94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K11+O11</f>
        <v/>
      </c>
      <c r="K11" s="646">
        <f>$C$20/1.1/$C$8</f>
        <v/>
      </c>
      <c r="L11" s="516">
        <f>K11-M11-N11</f>
        <v/>
      </c>
      <c r="M11" s="517">
        <f>$C$12/$C$8</f>
        <v/>
      </c>
      <c r="N11" s="518">
        <f>$C$13/$C$8</f>
        <v/>
      </c>
      <c r="O11" s="518">
        <f>$C$14/$C$8</f>
        <v/>
      </c>
      <c r="P11" s="515">
        <f>Q11+U11</f>
        <v/>
      </c>
      <c r="Q11" s="646">
        <f>$C$41/1.1/$C$8</f>
        <v/>
      </c>
      <c r="R11" s="516">
        <f>Q11-S11-T11</f>
        <v/>
      </c>
      <c r="S11" s="500">
        <f>M11</f>
        <v/>
      </c>
      <c r="T11" s="519">
        <f>N11</f>
        <v/>
      </c>
      <c r="U11" s="500">
        <f>O11</f>
        <v/>
      </c>
      <c r="V11" s="92" t="n"/>
      <c r="W11" s="196">
        <f>H11-G11+1</f>
        <v/>
      </c>
      <c r="X11" s="92" t="n"/>
      <c r="AA11" s="94" t="n"/>
      <c r="AB11" s="92" t="n"/>
      <c r="AE11" s="94" t="n"/>
      <c r="AH11" s="206" t="inlineStr">
        <is>
          <t>* 분실료, 파손료는 비과세로 혜택가(v+)기준으로 계산</t>
        </is>
      </c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K12+O12</f>
        <v/>
      </c>
      <c r="K12" s="646">
        <f>$C$20/1.1/$C$8</f>
        <v/>
      </c>
      <c r="L12" s="516">
        <f>K12-M12-N12</f>
        <v/>
      </c>
      <c r="M12" s="517">
        <f>$C$12/$C$8</f>
        <v/>
      </c>
      <c r="N12" s="518">
        <f>$C$13/$C$8</f>
        <v/>
      </c>
      <c r="O12" s="518">
        <f>$C$14/$C$8</f>
        <v/>
      </c>
      <c r="P12" s="515">
        <f>Q12+U12</f>
        <v/>
      </c>
      <c r="Q12" s="646">
        <f>$C$41/1.1/$C$8</f>
        <v/>
      </c>
      <c r="R12" s="516">
        <f>Q12-S12-T12</f>
        <v/>
      </c>
      <c r="S12" s="500">
        <f>M12</f>
        <v/>
      </c>
      <c r="T12" s="519">
        <f>N12</f>
        <v/>
      </c>
      <c r="U12" s="500">
        <f>O12</f>
        <v/>
      </c>
      <c r="V12" s="92" t="n"/>
      <c r="W12" s="196">
        <f>H12-G12+1</f>
        <v/>
      </c>
      <c r="X12" s="92" t="n"/>
      <c r="AA12" s="94" t="n"/>
      <c r="AB12" s="92" t="n"/>
      <c r="AE12" s="94" t="n"/>
      <c r="AH12" s="9" t="inlineStr">
        <is>
          <t>분실료</t>
        </is>
      </c>
      <c r="AI12" s="9" t="inlineStr">
        <is>
          <t>파손료</t>
        </is>
      </c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K13+O13</f>
        <v/>
      </c>
      <c r="K13" s="646">
        <f>$C$20/1.1/$C$8</f>
        <v/>
      </c>
      <c r="L13" s="516">
        <f>K13-M13-N13</f>
        <v/>
      </c>
      <c r="M13" s="517">
        <f>$C$12/$C$8</f>
        <v/>
      </c>
      <c r="N13" s="518">
        <f>$C$13/$C$8</f>
        <v/>
      </c>
      <c r="O13" s="518">
        <f>$C$14/$C$8</f>
        <v/>
      </c>
      <c r="P13" s="515">
        <f>Q13+U13</f>
        <v/>
      </c>
      <c r="Q13" s="646">
        <f>$C$41/1.1/$C$8</f>
        <v/>
      </c>
      <c r="R13" s="516">
        <f>Q13-S13-T13</f>
        <v/>
      </c>
      <c r="S13" s="500">
        <f>M13</f>
        <v/>
      </c>
      <c r="T13" s="519">
        <f>N13</f>
        <v/>
      </c>
      <c r="U13" s="500">
        <f>O13</f>
        <v/>
      </c>
      <c r="V13" s="92" t="n"/>
      <c r="W13" s="196">
        <f>H13-G13+1</f>
        <v/>
      </c>
      <c r="X13" s="92" t="n"/>
      <c r="AA13" s="94" t="n"/>
      <c r="AB13" s="92" t="n"/>
      <c r="AE13" s="94" t="n"/>
      <c r="AH13" s="507">
        <f>ROUNDDOWN((C11*1.1)*(C9-SUM(W6:W25))/C9,-1)</f>
        <v/>
      </c>
      <c r="AI13" s="506">
        <f>ROUNDDOWN(AH13*50%,-1)</f>
        <v/>
      </c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K14+O14</f>
        <v/>
      </c>
      <c r="K14" s="646">
        <f>$C$20/1.1/$C$8</f>
        <v/>
      </c>
      <c r="L14" s="516">
        <f>K14-M14-N14</f>
        <v/>
      </c>
      <c r="M14" s="517">
        <f>$C$12/$C$8</f>
        <v/>
      </c>
      <c r="N14" s="518">
        <f>$C$13/$C$8</f>
        <v/>
      </c>
      <c r="O14" s="518">
        <f>$C$14/$C$8</f>
        <v/>
      </c>
      <c r="P14" s="515">
        <f>Q14+U14</f>
        <v/>
      </c>
      <c r="Q14" s="646">
        <f>$C$41/1.1/$C$8</f>
        <v/>
      </c>
      <c r="R14" s="516">
        <f>Q14-S14-T14</f>
        <v/>
      </c>
      <c r="S14" s="500">
        <f>M14</f>
        <v/>
      </c>
      <c r="T14" s="519">
        <f>N14</f>
        <v/>
      </c>
      <c r="U14" s="500">
        <f>O14</f>
        <v/>
      </c>
      <c r="V14" s="92" t="n"/>
      <c r="W14" s="196">
        <f>H14-G14+1</f>
        <v/>
      </c>
      <c r="X14" s="92" t="n"/>
      <c r="AA14" s="94" t="n"/>
      <c r="AB14" s="92" t="n"/>
      <c r="AE14" s="94" t="n"/>
      <c r="AH14" s="517">
        <f>ROUNDDOWN((C11*1.1)*(H78-V25+1)/C9,-1)</f>
        <v/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K15+O15</f>
        <v/>
      </c>
      <c r="K15" s="646">
        <f>$C$20/1.1/$C$8</f>
        <v/>
      </c>
      <c r="L15" s="516">
        <f>K15-M15-N15</f>
        <v/>
      </c>
      <c r="M15" s="517">
        <f>$C$12/$C$8</f>
        <v/>
      </c>
      <c r="N15" s="518">
        <f>$C$13/$C$8</f>
        <v/>
      </c>
      <c r="O15" s="518">
        <f>$C$14/$C$8</f>
        <v/>
      </c>
      <c r="P15" s="515">
        <f>Q15+U15</f>
        <v/>
      </c>
      <c r="Q15" s="646">
        <f>$C$41/1.1/$C$8</f>
        <v/>
      </c>
      <c r="R15" s="516">
        <f>Q15-S15-T15</f>
        <v/>
      </c>
      <c r="S15" s="500">
        <f>M15</f>
        <v/>
      </c>
      <c r="T15" s="519">
        <f>N15</f>
        <v/>
      </c>
      <c r="U15" s="500">
        <f>O15</f>
        <v/>
      </c>
      <c r="V15" s="92" t="n"/>
      <c r="W15" s="196">
        <f>H15-G15+1</f>
        <v/>
      </c>
      <c r="X15" s="92" t="n"/>
      <c r="AA15" s="94" t="n"/>
      <c r="AB15" s="92" t="n"/>
      <c r="AE15" s="94" t="n"/>
      <c r="AI15" s="517" t="n"/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K16+O16</f>
        <v/>
      </c>
      <c r="K16" s="646">
        <f>$C$20/1.1/$C$8</f>
        <v/>
      </c>
      <c r="L16" s="516">
        <f>K16-M16-N16</f>
        <v/>
      </c>
      <c r="M16" s="517">
        <f>$C$12/$C$8</f>
        <v/>
      </c>
      <c r="N16" s="518">
        <f>$C$13/$C$8</f>
        <v/>
      </c>
      <c r="O16" s="518">
        <f>$C$14/$C$8</f>
        <v/>
      </c>
      <c r="P16" s="515">
        <f>Q16+U16</f>
        <v/>
      </c>
      <c r="Q16" s="646">
        <f>$C$41/1.1/$C$8</f>
        <v/>
      </c>
      <c r="R16" s="516">
        <f>Q16-S16-T16</f>
        <v/>
      </c>
      <c r="S16" s="500">
        <f>M16</f>
        <v/>
      </c>
      <c r="T16" s="519">
        <f>N16</f>
        <v/>
      </c>
      <c r="U16" s="500">
        <f>O16</f>
        <v/>
      </c>
      <c r="V16" s="92" t="n"/>
      <c r="W16" s="196">
        <f>H16-G16+1</f>
        <v/>
      </c>
      <c r="X16" s="92" t="n"/>
      <c r="AA16" s="94" t="n"/>
      <c r="AB16" s="92" t="n"/>
      <c r="AE16" s="94" t="n"/>
      <c r="AH16" s="500" t="n"/>
      <c r="AI16" s="517" t="n"/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K17+O17</f>
        <v/>
      </c>
      <c r="K17" s="646">
        <f>$C$20/1.1/$C$8</f>
        <v/>
      </c>
      <c r="L17" s="516">
        <f>K17-M17-N17</f>
        <v/>
      </c>
      <c r="M17" s="517">
        <f>$C$12/$C$8</f>
        <v/>
      </c>
      <c r="N17" s="518">
        <f>$C$13/$C$8</f>
        <v/>
      </c>
      <c r="O17" s="518">
        <f>$C$14/$C$8</f>
        <v/>
      </c>
      <c r="P17" s="515">
        <f>Q17+U17</f>
        <v/>
      </c>
      <c r="Q17" s="646">
        <f>$C$41/1.1/$C$8</f>
        <v/>
      </c>
      <c r="R17" s="516">
        <f>Q17-S17-T17</f>
        <v/>
      </c>
      <c r="S17" s="500">
        <f>M17</f>
        <v/>
      </c>
      <c r="T17" s="519">
        <f>N17</f>
        <v/>
      </c>
      <c r="U17" s="500">
        <f>O17</f>
        <v/>
      </c>
      <c r="V17" s="92" t="n"/>
      <c r="W17" s="196">
        <f>H17-G17+1</f>
        <v/>
      </c>
      <c r="X17" s="92" t="n"/>
      <c r="AA17" s="94" t="n"/>
      <c r="AB17" s="92" t="n"/>
      <c r="AE17" s="94" t="n"/>
      <c r="AH17" s="500" t="n"/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K18+O18</f>
        <v/>
      </c>
      <c r="K18" s="646">
        <f>$C$20/1.1/$C$8</f>
        <v/>
      </c>
      <c r="L18" s="516">
        <f>K18-M18-N18</f>
        <v/>
      </c>
      <c r="M18" s="517">
        <f>$C$12/$C$8</f>
        <v/>
      </c>
      <c r="N18" s="518">
        <f>$C$13/$C$8</f>
        <v/>
      </c>
      <c r="O18" s="518">
        <f>$C$14/$C$8</f>
        <v/>
      </c>
      <c r="P18" s="515">
        <f>Q18+U18</f>
        <v/>
      </c>
      <c r="Q18" s="646">
        <f>$C$41/1.1/$C$8</f>
        <v/>
      </c>
      <c r="R18" s="516">
        <f>Q18-S18-T18</f>
        <v/>
      </c>
      <c r="S18" s="500">
        <f>M18</f>
        <v/>
      </c>
      <c r="T18" s="519">
        <f>N18</f>
        <v/>
      </c>
      <c r="U18" s="500">
        <f>O18</f>
        <v/>
      </c>
      <c r="V18" s="92" t="n"/>
      <c r="W18" s="196">
        <f>H18-G18+1</f>
        <v/>
      </c>
      <c r="X18" s="92" t="n"/>
      <c r="AA18" s="94" t="n"/>
      <c r="AB18" s="92" t="n"/>
      <c r="AE18" s="94" t="n"/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K19+O19</f>
        <v/>
      </c>
      <c r="K19" s="646">
        <f>$C$20/1.1/$C$8</f>
        <v/>
      </c>
      <c r="L19" s="516">
        <f>K19-M19-N19</f>
        <v/>
      </c>
      <c r="M19" s="517">
        <f>$C$12/$C$8</f>
        <v/>
      </c>
      <c r="N19" s="518">
        <f>$C$13/$C$8</f>
        <v/>
      </c>
      <c r="O19" s="518">
        <f>$C$14/$C$8</f>
        <v/>
      </c>
      <c r="P19" s="515">
        <f>Q19+U19</f>
        <v/>
      </c>
      <c r="Q19" s="646">
        <f>$C$41/1.1/$C$8</f>
        <v/>
      </c>
      <c r="R19" s="516">
        <f>Q19-S19-T19</f>
        <v/>
      </c>
      <c r="S19" s="500">
        <f>M19</f>
        <v/>
      </c>
      <c r="T19" s="519">
        <f>N19</f>
        <v/>
      </c>
      <c r="U19" s="500">
        <f>O19</f>
        <v/>
      </c>
      <c r="V19" s="92" t="n"/>
      <c r="W19" s="196">
        <f>H19-G19+1</f>
        <v/>
      </c>
      <c r="X19" s="92" t="n"/>
      <c r="AA19" s="94" t="n"/>
      <c r="AB19" s="92" t="n"/>
      <c r="AE19" s="94" t="n"/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K20+O20</f>
        <v/>
      </c>
      <c r="K20" s="646">
        <f>$C$20/1.1/$C$8</f>
        <v/>
      </c>
      <c r="L20" s="516">
        <f>K20-M20-N20</f>
        <v/>
      </c>
      <c r="M20" s="517">
        <f>$C$12/$C$8</f>
        <v/>
      </c>
      <c r="N20" s="518">
        <f>$C$13/$C$8</f>
        <v/>
      </c>
      <c r="O20" s="518">
        <f>$C$14/$C$8</f>
        <v/>
      </c>
      <c r="P20" s="515">
        <f>Q20+U20</f>
        <v/>
      </c>
      <c r="Q20" s="646">
        <f>$C$41/1.1/$C$8</f>
        <v/>
      </c>
      <c r="R20" s="516">
        <f>Q20-S20-T20</f>
        <v/>
      </c>
      <c r="S20" s="500">
        <f>M20</f>
        <v/>
      </c>
      <c r="T20" s="519">
        <f>N20</f>
        <v/>
      </c>
      <c r="U20" s="500">
        <f>O20</f>
        <v/>
      </c>
      <c r="V20" s="92" t="n"/>
      <c r="W20" s="196">
        <f>H20-G20+1</f>
        <v/>
      </c>
      <c r="X20" s="92" t="n"/>
      <c r="AA20" s="94" t="n"/>
      <c r="AB20" s="92" t="n"/>
      <c r="AE20" s="94" t="n"/>
    </row>
    <row r="21" ht="17.45" customHeight="1" s="497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K21+O21</f>
        <v/>
      </c>
      <c r="K21" s="646">
        <f>$C$20/1.1/$C$8</f>
        <v/>
      </c>
      <c r="L21" s="516">
        <f>K21-M21-N21</f>
        <v/>
      </c>
      <c r="M21" s="517">
        <f>$C$12/$C$8</f>
        <v/>
      </c>
      <c r="N21" s="518">
        <f>$C$13/$C$8</f>
        <v/>
      </c>
      <c r="O21" s="518">
        <f>$C$14/$C$8</f>
        <v/>
      </c>
      <c r="P21" s="515">
        <f>Q21+U21</f>
        <v/>
      </c>
      <c r="Q21" s="646">
        <f>$C$41/1.1/$C$8</f>
        <v/>
      </c>
      <c r="R21" s="516">
        <f>Q21-S21-T21</f>
        <v/>
      </c>
      <c r="S21" s="500">
        <f>M21</f>
        <v/>
      </c>
      <c r="T21" s="519">
        <f>N21</f>
        <v/>
      </c>
      <c r="U21" s="500">
        <f>O21</f>
        <v/>
      </c>
      <c r="V21" s="92" t="n"/>
      <c r="W21" s="196">
        <f>H21-G21+1</f>
        <v/>
      </c>
      <c r="X21" s="92" t="n"/>
      <c r="AA21" s="94" t="n"/>
      <c r="AB21" s="92" t="n"/>
      <c r="AE21" s="94" t="n"/>
    </row>
    <row r="22" ht="17.45" customHeight="1" s="497">
      <c r="A22" s="176" t="n"/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K22+O22</f>
        <v/>
      </c>
      <c r="K22" s="646">
        <f>$C$20/1.1/$C$8</f>
        <v/>
      </c>
      <c r="L22" s="516">
        <f>K22-M22-N22</f>
        <v/>
      </c>
      <c r="M22" s="517">
        <f>$C$12/$C$8</f>
        <v/>
      </c>
      <c r="N22" s="518">
        <f>$C$13/$C$8</f>
        <v/>
      </c>
      <c r="O22" s="518">
        <f>$C$14/$C$8</f>
        <v/>
      </c>
      <c r="P22" s="515">
        <f>Q22+U22</f>
        <v/>
      </c>
      <c r="Q22" s="646">
        <f>$C$41/1.1/$C$8</f>
        <v/>
      </c>
      <c r="R22" s="516">
        <f>Q22-S22-T22</f>
        <v/>
      </c>
      <c r="S22" s="500">
        <f>M22</f>
        <v/>
      </c>
      <c r="T22" s="519">
        <f>N22</f>
        <v/>
      </c>
      <c r="U22" s="500">
        <f>O22</f>
        <v/>
      </c>
      <c r="V22" s="92" t="n"/>
      <c r="W22" s="196">
        <f>H22-G22+1</f>
        <v/>
      </c>
      <c r="X22" s="92" t="n"/>
      <c r="AA22" s="94" t="n"/>
      <c r="AB22" s="92" t="n"/>
      <c r="AE22" s="94" t="n"/>
    </row>
    <row r="23">
      <c r="A23" s="176" t="n"/>
      <c r="B23" s="9" t="inlineStr">
        <is>
          <t>(계산용) 선납금(v-) (총구독료 v+ 기준)</t>
        </is>
      </c>
      <c r="C23" s="506">
        <f>C18*C22/1.1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K23+O23</f>
        <v/>
      </c>
      <c r="K23" s="646">
        <f>$C$20/1.1/$C$8</f>
        <v/>
      </c>
      <c r="L23" s="516">
        <f>K23-M23-N23</f>
        <v/>
      </c>
      <c r="M23" s="517">
        <f>$C$12/$C$8</f>
        <v/>
      </c>
      <c r="N23" s="518">
        <f>$C$13/$C$8</f>
        <v/>
      </c>
      <c r="O23" s="518">
        <f>$C$14/$C$8</f>
        <v/>
      </c>
      <c r="P23" s="515">
        <f>Q23+U23</f>
        <v/>
      </c>
      <c r="Q23" s="646">
        <f>$C$41/1.1/$C$8</f>
        <v/>
      </c>
      <c r="R23" s="516">
        <f>Q23-S23-T23</f>
        <v/>
      </c>
      <c r="S23" s="500">
        <f>M23</f>
        <v/>
      </c>
      <c r="T23" s="519">
        <f>N23</f>
        <v/>
      </c>
      <c r="U23" s="500">
        <f>O23</f>
        <v/>
      </c>
      <c r="V23" s="92" t="n"/>
      <c r="W23" s="196">
        <f>H23-G23+1</f>
        <v/>
      </c>
      <c r="X23" s="629" t="n"/>
      <c r="AA23" s="94" t="n"/>
      <c r="AB23" s="92" t="n"/>
      <c r="AE23" s="94" t="n"/>
      <c r="AF23" s="517" t="n"/>
    </row>
    <row r="24">
      <c r="A24" s="176" t="n"/>
      <c r="B24" s="9" t="inlineStr">
        <is>
          <t>(계산용) 월 선납금(V-)</t>
        </is>
      </c>
      <c r="C24" s="506">
        <f>ROUND(C23/C8,-2)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K24+O24</f>
        <v/>
      </c>
      <c r="K24" s="646">
        <f>$C$20/1.1/$C$8</f>
        <v/>
      </c>
      <c r="L24" s="516">
        <f>K24-M24-N24</f>
        <v/>
      </c>
      <c r="M24" s="517">
        <f>$C$12/$C$8</f>
        <v/>
      </c>
      <c r="N24" s="518">
        <f>$C$13/$C$8</f>
        <v/>
      </c>
      <c r="O24" s="518">
        <f>$C$14/$C$8</f>
        <v/>
      </c>
      <c r="P24" s="515">
        <f>Q24+U24</f>
        <v/>
      </c>
      <c r="Q24" s="646">
        <f>$C$41/1.1/$C$8</f>
        <v/>
      </c>
      <c r="R24" s="516">
        <f>Q24-S24-T24</f>
        <v/>
      </c>
      <c r="S24" s="500">
        <f>M24</f>
        <v/>
      </c>
      <c r="T24" s="519">
        <f>N24</f>
        <v/>
      </c>
      <c r="U24" s="500">
        <f>O24</f>
        <v/>
      </c>
      <c r="V24" s="92" t="n"/>
      <c r="W24" s="196">
        <f>H24-G24+1</f>
        <v/>
      </c>
      <c r="X24" s="206" t="inlineStr">
        <is>
          <t>* 위약금은 비과세로 총구독료(v+)기준으로 계산</t>
        </is>
      </c>
      <c r="AA24" s="94" t="n"/>
      <c r="AB24" s="92" t="n"/>
      <c r="AE24" s="94" t="n"/>
    </row>
    <row r="25">
      <c r="A25" s="176" t="n"/>
      <c r="B25" s="9" t="inlineStr">
        <is>
          <t>(계산용) 월 선납금(V+)</t>
        </is>
      </c>
      <c r="C25" s="506">
        <f>C24*1.1</f>
        <v/>
      </c>
      <c r="F25" s="80" t="inlineStr">
        <is>
          <t>20회차</t>
        </is>
      </c>
      <c r="G25" s="81">
        <f>H24+1</f>
        <v/>
      </c>
      <c r="H25" s="81">
        <f>EOMONTH(G25,0)</f>
        <v/>
      </c>
      <c r="I25" s="82">
        <f>EDATE(I24,1)</f>
        <v/>
      </c>
      <c r="J25" s="630">
        <f>K25+O25</f>
        <v/>
      </c>
      <c r="K25" s="647">
        <f>$C$20/1.1/$C$8</f>
        <v/>
      </c>
      <c r="L25" s="631">
        <f>K25-M25-N25</f>
        <v/>
      </c>
      <c r="M25" s="632">
        <f>$C$12/$C$8</f>
        <v/>
      </c>
      <c r="N25" s="633">
        <f>$C$13/$C$8</f>
        <v/>
      </c>
      <c r="O25" s="633">
        <f>$C$14/$C$8</f>
        <v/>
      </c>
      <c r="P25" s="630">
        <f>Q25+U25</f>
        <v/>
      </c>
      <c r="Q25" s="647">
        <f>$C$41/1.1/$C$8</f>
        <v/>
      </c>
      <c r="R25" s="631">
        <f>Q25-S25-T25</f>
        <v/>
      </c>
      <c r="S25" s="634">
        <f>M25</f>
        <v/>
      </c>
      <c r="T25" s="635">
        <f>N25</f>
        <v/>
      </c>
      <c r="U25" s="634">
        <f>O25</f>
        <v/>
      </c>
      <c r="V25" s="99" t="n">
        <v>46494</v>
      </c>
      <c r="W25" s="415">
        <f>V25-G25</f>
        <v/>
      </c>
      <c r="X25" s="636">
        <f>ROUNDDOWN(((C18)*(C9-SUM(W6:W25))/C9)*20%,-1)</f>
        <v/>
      </c>
      <c r="Y25" s="648">
        <f>ROUNDDOWN(Q25*W25/DAY(H25),-2)+ROUNDDOWN(U25*W25/DAY(H25),-1)</f>
        <v/>
      </c>
      <c r="Z25" s="632">
        <f>ROUNDDOWN(C32*SUM(W6:W25)/C9,-2)</f>
        <v/>
      </c>
      <c r="AA25" s="638">
        <f>-ROUNDUP((C28*(C9-SUM(W6:W25))/C9),-2)</f>
        <v/>
      </c>
      <c r="AB25" s="636">
        <f>X25</f>
        <v/>
      </c>
      <c r="AC25" s="632">
        <f>ROUNDDOWN(Q25*W25/DAY(H25),-2)*1.1+ROUNDDOWN(U25*W25/DAY(H25),-1)</f>
        <v/>
      </c>
      <c r="AD25" s="632">
        <f>Z25*1.1</f>
        <v/>
      </c>
      <c r="AE25" s="638">
        <f>AA25*1.1</f>
        <v/>
      </c>
      <c r="AF25" s="206" t="inlineStr">
        <is>
          <t>* 위약금, 할인회수, 선납잔액 환불 기준: 일수비율</t>
        </is>
      </c>
    </row>
    <row r="26">
      <c r="A26" s="176" t="n"/>
      <c r="B26" s="9" t="inlineStr">
        <is>
          <t>(최종) 선납금 반영 월 구독료 (V-)</t>
        </is>
      </c>
      <c r="C26" s="506">
        <f>C17-C24</f>
        <v/>
      </c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K26+O26</f>
        <v/>
      </c>
      <c r="K26" s="646">
        <f>$C$20/1.1/$C$8</f>
        <v/>
      </c>
      <c r="L26" s="516">
        <f>K26-M26-N26</f>
        <v/>
      </c>
      <c r="M26" s="517">
        <f>$C$12/$C$8</f>
        <v/>
      </c>
      <c r="N26" s="518">
        <f>$C$13/$C$8</f>
        <v/>
      </c>
      <c r="O26" s="518">
        <f>$C$14/$C$8</f>
        <v/>
      </c>
      <c r="P26" s="515">
        <f>Q26+U26</f>
        <v/>
      </c>
      <c r="Q26" s="646">
        <f>$C$41/1.1/$C$8</f>
        <v/>
      </c>
      <c r="R26" s="516">
        <f>Q26-S26-T26</f>
        <v/>
      </c>
      <c r="S26" s="500">
        <f>M26</f>
        <v/>
      </c>
      <c r="T26" s="519">
        <f>N26</f>
        <v/>
      </c>
      <c r="U26" s="500">
        <f>O26</f>
        <v/>
      </c>
      <c r="V26" s="92" t="n"/>
      <c r="W26" s="196" t="inlineStr">
        <is>
          <t>* 사용일 기준: 제품판정일 전날까지 사용</t>
        </is>
      </c>
      <c r="X26" s="92" t="n"/>
      <c r="Y26" s="539" t="n"/>
      <c r="AA26" s="94" t="n"/>
      <c r="AB26" s="92" t="inlineStr">
        <is>
          <t>* 비과세</t>
        </is>
      </c>
      <c r="AC26" s="539" t="n"/>
      <c r="AE26" s="94" t="n"/>
    </row>
    <row r="27">
      <c r="A27" s="176" t="n"/>
      <c r="B27" s="9" t="inlineStr">
        <is>
          <t>(최종) 선납금 반영 총 구독료 (V-)</t>
        </is>
      </c>
      <c r="C27" s="506">
        <f>C26*C8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K27+O27</f>
        <v/>
      </c>
      <c r="K27" s="646">
        <f>$C$20/1.1/$C$8</f>
        <v/>
      </c>
      <c r="L27" s="516">
        <f>K27-M27-N27</f>
        <v/>
      </c>
      <c r="M27" s="517">
        <f>$C$12/$C$8</f>
        <v/>
      </c>
      <c r="N27" s="518">
        <f>$C$13/$C$8</f>
        <v/>
      </c>
      <c r="O27" s="518">
        <f>$C$14/$C$8</f>
        <v/>
      </c>
      <c r="P27" s="515">
        <f>Q27+U27</f>
        <v/>
      </c>
      <c r="Q27" s="646">
        <f>$C$41/1.1/$C$8</f>
        <v/>
      </c>
      <c r="R27" s="516">
        <f>Q27-S27-T27</f>
        <v/>
      </c>
      <c r="S27" s="500">
        <f>M27</f>
        <v/>
      </c>
      <c r="T27" s="519">
        <f>N27</f>
        <v/>
      </c>
      <c r="U27" s="500">
        <f>O27</f>
        <v/>
      </c>
      <c r="V27" s="92" t="n"/>
      <c r="W27" s="196" t="n"/>
      <c r="X27" s="92" t="n"/>
      <c r="AA27" s="94" t="n"/>
      <c r="AB27" s="92" t="n"/>
      <c r="AE27" s="94" t="n"/>
    </row>
    <row r="28">
      <c r="A28" s="176" t="n"/>
      <c r="B28" s="63" t="inlineStr">
        <is>
          <t>(최종) 선납금 (V-)</t>
        </is>
      </c>
      <c r="C28" s="649">
        <f>C24*C8</f>
        <v/>
      </c>
      <c r="D28" s="505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K28+O28</f>
        <v/>
      </c>
      <c r="K28" s="646">
        <f>$C$20/1.1/$C$8</f>
        <v/>
      </c>
      <c r="L28" s="516">
        <f>K28-M28-N28</f>
        <v/>
      </c>
      <c r="M28" s="517">
        <f>$C$12/$C$8</f>
        <v/>
      </c>
      <c r="N28" s="518">
        <f>$C$13/$C$8</f>
        <v/>
      </c>
      <c r="O28" s="518">
        <f>$C$14/$C$8</f>
        <v/>
      </c>
      <c r="P28" s="515">
        <f>Q28+U28</f>
        <v/>
      </c>
      <c r="Q28" s="646">
        <f>$C$41/1.1/$C$8</f>
        <v/>
      </c>
      <c r="R28" s="516">
        <f>Q28-S28-T28</f>
        <v/>
      </c>
      <c r="S28" s="500">
        <f>M28</f>
        <v/>
      </c>
      <c r="T28" s="519">
        <f>N28</f>
        <v/>
      </c>
      <c r="U28" s="500">
        <f>O28</f>
        <v/>
      </c>
      <c r="V28" s="92" t="n"/>
      <c r="W28" s="196" t="n"/>
      <c r="X28" s="92" t="n"/>
      <c r="AA28" s="94" t="n"/>
      <c r="AB28" s="92" t="n"/>
      <c r="AE28" s="94" t="n"/>
    </row>
    <row r="29">
      <c r="B29" s="170" t="inlineStr">
        <is>
          <t>(계산용) 선납 할인금 (V-) (총구독료 v+기준)</t>
        </is>
      </c>
      <c r="C29" s="650">
        <f>C18*4%/1.1</f>
        <v/>
      </c>
      <c r="D29" s="500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K29+O29</f>
        <v/>
      </c>
      <c r="K29" s="646">
        <f>$C$20/1.1/$C$8</f>
        <v/>
      </c>
      <c r="L29" s="516">
        <f>K29-M29-N29</f>
        <v/>
      </c>
      <c r="M29" s="517">
        <f>$C$12/$C$8</f>
        <v/>
      </c>
      <c r="N29" s="518">
        <f>$C$13/$C$8</f>
        <v/>
      </c>
      <c r="O29" s="518">
        <f>$C$14/$C$8</f>
        <v/>
      </c>
      <c r="P29" s="515">
        <f>Q29+U29</f>
        <v/>
      </c>
      <c r="Q29" s="646">
        <f>$C$41/1.1/$C$8</f>
        <v/>
      </c>
      <c r="R29" s="516">
        <f>Q29-S29-T29</f>
        <v/>
      </c>
      <c r="S29" s="500">
        <f>M29</f>
        <v/>
      </c>
      <c r="T29" s="519">
        <f>N29</f>
        <v/>
      </c>
      <c r="U29" s="500">
        <f>O29</f>
        <v/>
      </c>
      <c r="V29" s="92" t="n"/>
      <c r="W29" s="196" t="n"/>
      <c r="X29" s="92" t="n"/>
      <c r="AA29" s="94" t="n"/>
      <c r="AB29" s="92" t="n"/>
      <c r="AE29" s="94" t="n"/>
    </row>
    <row r="30">
      <c r="B30" s="9" t="inlineStr">
        <is>
          <t>(계산용) 선납 할인금 월할 (V-)</t>
        </is>
      </c>
      <c r="C30" s="506">
        <f>C29/C8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K30+O30</f>
        <v/>
      </c>
      <c r="K30" s="646">
        <f>$C$20/1.1/$C$8</f>
        <v/>
      </c>
      <c r="L30" s="516">
        <f>K30-M30-N30</f>
        <v/>
      </c>
      <c r="M30" s="517">
        <f>$C$12/$C$8</f>
        <v/>
      </c>
      <c r="N30" s="518">
        <f>$C$13/$C$8</f>
        <v/>
      </c>
      <c r="O30" s="518">
        <f>$C$14/$C$8</f>
        <v/>
      </c>
      <c r="P30" s="515">
        <f>Q30+U30</f>
        <v/>
      </c>
      <c r="Q30" s="646">
        <f>$C$41/1.1/$C$8</f>
        <v/>
      </c>
      <c r="R30" s="516">
        <f>Q30-S30-T30</f>
        <v/>
      </c>
      <c r="S30" s="500">
        <f>M30</f>
        <v/>
      </c>
      <c r="T30" s="519">
        <f>N30</f>
        <v/>
      </c>
      <c r="U30" s="500">
        <f>O30</f>
        <v/>
      </c>
      <c r="V30" s="92" t="n"/>
      <c r="W30" s="196" t="n"/>
      <c r="X30" s="92" t="n"/>
      <c r="AA30" s="94" t="n"/>
      <c r="AB30" s="92" t="n"/>
      <c r="AE30" s="94" t="n"/>
    </row>
    <row r="31">
      <c r="B31" s="9" t="inlineStr">
        <is>
          <t>(계산용) 선납 할인금 월할 보정 (V-)</t>
        </is>
      </c>
      <c r="C31" s="506">
        <f>ROUNDUP(C30,-2)</f>
        <v/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K31+O31</f>
        <v/>
      </c>
      <c r="K31" s="646">
        <f>$C$20/1.1/$C$8</f>
        <v/>
      </c>
      <c r="L31" s="516">
        <f>K31-M31-N31</f>
        <v/>
      </c>
      <c r="M31" s="517">
        <f>$C$12/$C$8</f>
        <v/>
      </c>
      <c r="N31" s="518">
        <f>$C$13/$C$8</f>
        <v/>
      </c>
      <c r="O31" s="518">
        <f>$C$14/$C$8</f>
        <v/>
      </c>
      <c r="P31" s="515">
        <f>Q31+U31</f>
        <v/>
      </c>
      <c r="Q31" s="646">
        <f>$C$41/1.1/$C$8</f>
        <v/>
      </c>
      <c r="R31" s="516">
        <f>Q31-S31-T31</f>
        <v/>
      </c>
      <c r="S31" s="500">
        <f>M31</f>
        <v/>
      </c>
      <c r="T31" s="519">
        <f>N31</f>
        <v/>
      </c>
      <c r="U31" s="500">
        <f>O31</f>
        <v/>
      </c>
      <c r="V31" s="92" t="n"/>
      <c r="W31" s="196" t="n"/>
      <c r="X31" s="92" t="n"/>
      <c r="AA31" s="94" t="n"/>
      <c r="AB31" s="92" t="n"/>
      <c r="AE31" s="94" t="n"/>
    </row>
    <row r="32">
      <c r="B32" s="63" t="inlineStr">
        <is>
          <t>(최종) 선납 할인금 (V-)</t>
        </is>
      </c>
      <c r="C32" s="649">
        <f>C31*C8</f>
        <v/>
      </c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K32+O32</f>
        <v/>
      </c>
      <c r="K32" s="646">
        <f>$C$20/1.1/$C$8</f>
        <v/>
      </c>
      <c r="L32" s="516">
        <f>K32-M32-N32</f>
        <v/>
      </c>
      <c r="M32" s="517">
        <f>$C$12/$C$8</f>
        <v/>
      </c>
      <c r="N32" s="518">
        <f>$C$13/$C$8</f>
        <v/>
      </c>
      <c r="O32" s="518">
        <f>$C$14/$C$8</f>
        <v/>
      </c>
      <c r="P32" s="515">
        <f>Q32+U32</f>
        <v/>
      </c>
      <c r="Q32" s="646">
        <f>$C$41/1.1/$C$8</f>
        <v/>
      </c>
      <c r="R32" s="516">
        <f>Q32-S32-T32</f>
        <v/>
      </c>
      <c r="S32" s="500">
        <f>M32</f>
        <v/>
      </c>
      <c r="T32" s="519">
        <f>N32</f>
        <v/>
      </c>
      <c r="U32" s="500">
        <f>O32</f>
        <v/>
      </c>
      <c r="V32" s="92" t="n"/>
      <c r="W32" s="196" t="n"/>
      <c r="X32" s="92" t="n"/>
      <c r="AA32" s="94" t="n"/>
      <c r="AB32" s="92" t="n"/>
      <c r="AE32" s="94" t="n"/>
    </row>
    <row r="33">
      <c r="B33" s="9" t="inlineStr">
        <is>
          <t>(최종) 선납 할인금 (V+)</t>
        </is>
      </c>
      <c r="C33" s="506">
        <f>C32*1.1</f>
        <v/>
      </c>
      <c r="D33" s="505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K33+O33</f>
        <v/>
      </c>
      <c r="K33" s="646">
        <f>$C$20/1.1/$C$8</f>
        <v/>
      </c>
      <c r="L33" s="516">
        <f>K33-M33-N33</f>
        <v/>
      </c>
      <c r="M33" s="517">
        <f>$C$12/$C$8</f>
        <v/>
      </c>
      <c r="N33" s="518">
        <f>$C$13/$C$8</f>
        <v/>
      </c>
      <c r="O33" s="518">
        <f>$C$14/$C$8</f>
        <v/>
      </c>
      <c r="P33" s="515">
        <f>Q33+U33</f>
        <v/>
      </c>
      <c r="Q33" s="646">
        <f>$C$41/1.1/$C$8</f>
        <v/>
      </c>
      <c r="R33" s="516">
        <f>Q33-S33-T33</f>
        <v/>
      </c>
      <c r="S33" s="500">
        <f>M33</f>
        <v/>
      </c>
      <c r="T33" s="519">
        <f>N33</f>
        <v/>
      </c>
      <c r="U33" s="500">
        <f>O33</f>
        <v/>
      </c>
      <c r="V33" s="92" t="n"/>
      <c r="W33" s="196" t="n"/>
      <c r="X33" s="92" t="n"/>
      <c r="AA33" s="94" t="n"/>
      <c r="AB33" s="92" t="n"/>
      <c r="AE33" s="94" t="n"/>
    </row>
    <row r="34">
      <c r="B34" s="182" t="inlineStr">
        <is>
          <t>(최종) 선납금+선납 할인 반영 월 구독료 (V-)</t>
        </is>
      </c>
      <c r="C34" s="651">
        <f>((C15-C28-C32)+C13+C14)/48</f>
        <v/>
      </c>
      <c r="D34" s="539">
        <f>(C16-C28-C32)/C8=C34</f>
        <v/>
      </c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K34+O34</f>
        <v/>
      </c>
      <c r="K34" s="646">
        <f>$C$20/1.1/$C$8</f>
        <v/>
      </c>
      <c r="L34" s="516">
        <f>K34-M34-N34</f>
        <v/>
      </c>
      <c r="M34" s="517">
        <f>$C$12/$C$8</f>
        <v/>
      </c>
      <c r="N34" s="518">
        <f>$C$13/$C$8</f>
        <v/>
      </c>
      <c r="O34" s="518">
        <f>$C$14/$C$8</f>
        <v/>
      </c>
      <c r="P34" s="515">
        <f>Q34+U34</f>
        <v/>
      </c>
      <c r="Q34" s="646">
        <f>$C$41/1.1/$C$8</f>
        <v/>
      </c>
      <c r="R34" s="516">
        <f>Q34-S34-T34</f>
        <v/>
      </c>
      <c r="S34" s="500">
        <f>M34</f>
        <v/>
      </c>
      <c r="T34" s="519">
        <f>N34</f>
        <v/>
      </c>
      <c r="U34" s="500">
        <f>O34</f>
        <v/>
      </c>
      <c r="V34" s="92" t="n"/>
      <c r="W34" s="196" t="n"/>
      <c r="X34" s="92" t="n"/>
      <c r="AA34" s="94" t="n"/>
      <c r="AB34" s="92" t="n"/>
      <c r="AE34" s="94" t="n"/>
    </row>
    <row r="35">
      <c r="B35" s="182" t="inlineStr">
        <is>
          <t>(최종) 선납금+선납 할인 반영 총 구독료 (V-)</t>
        </is>
      </c>
      <c r="C35" s="651">
        <f>C34*C8</f>
        <v/>
      </c>
      <c r="D35" s="539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K35+O35</f>
        <v/>
      </c>
      <c r="K35" s="646">
        <f>$C$20/1.1/$C$8</f>
        <v/>
      </c>
      <c r="L35" s="516">
        <f>K35-M35-N35</f>
        <v/>
      </c>
      <c r="M35" s="517">
        <f>$C$12/$C$8</f>
        <v/>
      </c>
      <c r="N35" s="518">
        <f>$C$13/$C$8</f>
        <v/>
      </c>
      <c r="O35" s="518">
        <f>$C$14/$C$8</f>
        <v/>
      </c>
      <c r="P35" s="515">
        <f>Q35+U35</f>
        <v/>
      </c>
      <c r="Q35" s="646">
        <f>$C$41/1.1/$C$8</f>
        <v/>
      </c>
      <c r="R35" s="516">
        <f>Q35-S35-T35</f>
        <v/>
      </c>
      <c r="S35" s="500">
        <f>M35</f>
        <v/>
      </c>
      <c r="T35" s="519">
        <f>N35</f>
        <v/>
      </c>
      <c r="U35" s="500">
        <f>O35</f>
        <v/>
      </c>
      <c r="V35" s="92" t="n"/>
      <c r="W35" s="196" t="n"/>
      <c r="X35" s="92" t="n"/>
      <c r="AA35" s="94" t="n"/>
      <c r="AB35" s="92" t="n"/>
      <c r="AE35" s="94" t="n"/>
    </row>
    <row r="36">
      <c r="B36" s="182" t="inlineStr">
        <is>
          <t>(최종) 선납금+선납 할인 반영 월 구독료 (V+)</t>
        </is>
      </c>
      <c r="C36" s="651">
        <f>((C15-C28-C32)*1.1+C13*1.1+C14)/48</f>
        <v/>
      </c>
      <c r="D36" s="517">
        <f>C36=(C18-C28*1.1-C33)/C8</f>
        <v/>
      </c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K36+O36</f>
        <v/>
      </c>
      <c r="K36" s="646">
        <f>$C$20/1.1/$C$8</f>
        <v/>
      </c>
      <c r="L36" s="516">
        <f>K36-M36-N36</f>
        <v/>
      </c>
      <c r="M36" s="517">
        <f>$C$12/$C$8</f>
        <v/>
      </c>
      <c r="N36" s="518">
        <f>$C$13/$C$8</f>
        <v/>
      </c>
      <c r="O36" s="518">
        <f>$C$14/$C$8</f>
        <v/>
      </c>
      <c r="P36" s="515">
        <f>Q36+U36</f>
        <v/>
      </c>
      <c r="Q36" s="646">
        <f>$C$41/1.1/$C$8</f>
        <v/>
      </c>
      <c r="R36" s="516">
        <f>Q36-S36-T36</f>
        <v/>
      </c>
      <c r="S36" s="500">
        <f>M36</f>
        <v/>
      </c>
      <c r="T36" s="519">
        <f>N36</f>
        <v/>
      </c>
      <c r="U36" s="500">
        <f>O36</f>
        <v/>
      </c>
      <c r="V36" s="92" t="n"/>
      <c r="W36" s="196" t="n"/>
      <c r="X36" s="92" t="n"/>
      <c r="AA36" s="94" t="n"/>
      <c r="AB36" s="92" t="n"/>
      <c r="AE36" s="94" t="n"/>
    </row>
    <row r="37">
      <c r="B37" s="182" t="inlineStr">
        <is>
          <t>(최종) 선납금+선납 할인 반영 총 구독료 (V+)</t>
        </is>
      </c>
      <c r="C37" s="651">
        <f>C36*C8</f>
        <v/>
      </c>
      <c r="D37" s="505">
        <f>(C15-C28-C32+C13)*1.1+C14</f>
        <v/>
      </c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K37+O37</f>
        <v/>
      </c>
      <c r="K37" s="646">
        <f>$C$20/1.1/$C$8</f>
        <v/>
      </c>
      <c r="L37" s="516">
        <f>K37-M37-N37</f>
        <v/>
      </c>
      <c r="M37" s="517">
        <f>$C$12/$C$8</f>
        <v/>
      </c>
      <c r="N37" s="518">
        <f>$C$13/$C$8</f>
        <v/>
      </c>
      <c r="O37" s="518">
        <f>$C$14/$C$8</f>
        <v/>
      </c>
      <c r="P37" s="515">
        <f>Q37+U37</f>
        <v/>
      </c>
      <c r="Q37" s="646">
        <f>$C$41/1.1/$C$8</f>
        <v/>
      </c>
      <c r="R37" s="516">
        <f>Q37-S37-T37</f>
        <v/>
      </c>
      <c r="S37" s="500">
        <f>M37</f>
        <v/>
      </c>
      <c r="T37" s="519">
        <f>N37</f>
        <v/>
      </c>
      <c r="U37" s="500">
        <f>O37</f>
        <v/>
      </c>
      <c r="V37" s="92" t="n"/>
      <c r="W37" s="196" t="n"/>
      <c r="X37" s="92" t="n"/>
      <c r="AA37" s="94" t="n"/>
      <c r="AB37" s="92" t="n"/>
      <c r="AE37" s="94" t="n"/>
    </row>
    <row r="38">
      <c r="C38" s="505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K38+O38</f>
        <v/>
      </c>
      <c r="K38" s="646">
        <f>$C$20/1.1/$C$8</f>
        <v/>
      </c>
      <c r="L38" s="516">
        <f>K38-M38-N38</f>
        <v/>
      </c>
      <c r="M38" s="517">
        <f>$C$12/$C$8</f>
        <v/>
      </c>
      <c r="N38" s="518">
        <f>$C$13/$C$8</f>
        <v/>
      </c>
      <c r="O38" s="518">
        <f>$C$14/$C$8</f>
        <v/>
      </c>
      <c r="P38" s="515">
        <f>Q38+U38</f>
        <v/>
      </c>
      <c r="Q38" s="646">
        <f>$C$41/1.1/$C$8</f>
        <v/>
      </c>
      <c r="R38" s="516">
        <f>Q38-S38-T38</f>
        <v/>
      </c>
      <c r="S38" s="500">
        <f>M38</f>
        <v/>
      </c>
      <c r="T38" s="519">
        <f>N38</f>
        <v/>
      </c>
      <c r="U38" s="500">
        <f>O38</f>
        <v/>
      </c>
      <c r="V38" s="92" t="n"/>
      <c r="W38" s="196" t="n"/>
      <c r="X38" s="92" t="n"/>
      <c r="AA38" s="94" t="n"/>
      <c r="AB38" s="92" t="n"/>
      <c r="AE38" s="94" t="n"/>
    </row>
    <row r="39">
      <c r="B39" s="9" t="inlineStr">
        <is>
          <t>선납금+선납 할인 반영 순수 구독료 (V-)</t>
        </is>
      </c>
      <c r="C39" s="506">
        <f>C35-C12-C13-C14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K39+O39</f>
        <v/>
      </c>
      <c r="K39" s="646">
        <f>$C$20/1.1/$C$8</f>
        <v/>
      </c>
      <c r="L39" s="516">
        <f>K39-M39-N39</f>
        <v/>
      </c>
      <c r="M39" s="517">
        <f>$C$12/$C$8</f>
        <v/>
      </c>
      <c r="N39" s="518">
        <f>$C$13/$C$8</f>
        <v/>
      </c>
      <c r="O39" s="518">
        <f>$C$14/$C$8</f>
        <v/>
      </c>
      <c r="P39" s="515">
        <f>Q39+U39</f>
        <v/>
      </c>
      <c r="Q39" s="646">
        <f>$C$41/1.1/$C$8</f>
        <v/>
      </c>
      <c r="R39" s="516">
        <f>Q39-S39-T39</f>
        <v/>
      </c>
      <c r="S39" s="500">
        <f>M39</f>
        <v/>
      </c>
      <c r="T39" s="519">
        <f>N39</f>
        <v/>
      </c>
      <c r="U39" s="500">
        <f>O39</f>
        <v/>
      </c>
      <c r="V39" s="92" t="n"/>
      <c r="W39" s="196" t="n"/>
      <c r="X39" s="92" t="n"/>
      <c r="AA39" s="94" t="n"/>
      <c r="AB39" s="92" t="n"/>
      <c r="AE39" s="94" t="n"/>
    </row>
    <row r="40">
      <c r="B40" s="9" t="inlineStr">
        <is>
          <t>선납금+선납 할인 반영 순수 구독료 월할 (V-)</t>
        </is>
      </c>
      <c r="C40" s="506">
        <f>C39/C8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K40+O40</f>
        <v/>
      </c>
      <c r="K40" s="646">
        <f>$C$20/1.1/$C$8</f>
        <v/>
      </c>
      <c r="L40" s="516">
        <f>K40-M40-N40</f>
        <v/>
      </c>
      <c r="M40" s="517">
        <f>$C$12/$C$8</f>
        <v/>
      </c>
      <c r="N40" s="518">
        <f>$C$13/$C$8</f>
        <v/>
      </c>
      <c r="O40" s="518">
        <f>$C$14/$C$8</f>
        <v/>
      </c>
      <c r="P40" s="515">
        <f>Q40+U40</f>
        <v/>
      </c>
      <c r="Q40" s="646">
        <f>$C$41/1.1/$C$8</f>
        <v/>
      </c>
      <c r="R40" s="516">
        <f>Q40-S40-T40</f>
        <v/>
      </c>
      <c r="S40" s="500">
        <f>M40</f>
        <v/>
      </c>
      <c r="T40" s="519">
        <f>N40</f>
        <v/>
      </c>
      <c r="U40" s="500">
        <f>O40</f>
        <v/>
      </c>
      <c r="V40" s="92" t="n"/>
      <c r="W40" s="196" t="n"/>
      <c r="X40" s="92" t="n"/>
      <c r="AA40" s="94" t="n"/>
      <c r="AB40" s="92" t="n"/>
      <c r="AE40" s="94" t="n"/>
    </row>
    <row r="41">
      <c r="B41" s="250" t="inlineStr">
        <is>
          <t>선납금+선납 할인 반영 파손제외 구독료 (v+)</t>
        </is>
      </c>
      <c r="C41" s="527">
        <f>C37-C14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K41+O41</f>
        <v/>
      </c>
      <c r="K41" s="646">
        <f>$C$20/1.1/$C$8</f>
        <v/>
      </c>
      <c r="L41" s="516">
        <f>K41-M41-N41</f>
        <v/>
      </c>
      <c r="M41" s="517">
        <f>$C$12/$C$8</f>
        <v/>
      </c>
      <c r="N41" s="518">
        <f>$C$13/$C$8</f>
        <v/>
      </c>
      <c r="O41" s="518">
        <f>$C$14/$C$8</f>
        <v/>
      </c>
      <c r="P41" s="515">
        <f>Q41+U41</f>
        <v/>
      </c>
      <c r="Q41" s="646">
        <f>$C$41/1.1/$C$8</f>
        <v/>
      </c>
      <c r="R41" s="516">
        <f>Q41-S41-T41</f>
        <v/>
      </c>
      <c r="S41" s="500">
        <f>M41</f>
        <v/>
      </c>
      <c r="T41" s="519">
        <f>N41</f>
        <v/>
      </c>
      <c r="U41" s="500">
        <f>O41</f>
        <v/>
      </c>
      <c r="V41" s="92" t="n"/>
      <c r="W41" s="196" t="n"/>
      <c r="X41" s="92" t="n"/>
      <c r="AA41" s="94" t="n"/>
      <c r="AB41" s="92" t="n"/>
      <c r="AE41" s="94" t="n"/>
    </row>
    <row r="42"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K42+O42</f>
        <v/>
      </c>
      <c r="K42" s="646">
        <f>$C$20/1.1/$C$8</f>
        <v/>
      </c>
      <c r="L42" s="516">
        <f>K42-M42-N42</f>
        <v/>
      </c>
      <c r="M42" s="517">
        <f>$C$12/$C$8</f>
        <v/>
      </c>
      <c r="N42" s="518">
        <f>$C$13/$C$8</f>
        <v/>
      </c>
      <c r="O42" s="518">
        <f>$C$14/$C$8</f>
        <v/>
      </c>
      <c r="P42" s="515">
        <f>Q42+U42</f>
        <v/>
      </c>
      <c r="Q42" s="646">
        <f>$C$41/1.1/$C$8</f>
        <v/>
      </c>
      <c r="R42" s="516">
        <f>Q42-S42-T42</f>
        <v/>
      </c>
      <c r="S42" s="500">
        <f>M42</f>
        <v/>
      </c>
      <c r="T42" s="519">
        <f>N42</f>
        <v/>
      </c>
      <c r="U42" s="500">
        <f>O42</f>
        <v/>
      </c>
      <c r="V42" s="92" t="n"/>
      <c r="W42" s="196" t="n"/>
      <c r="X42" s="92" t="n"/>
      <c r="AA42" s="94" t="n"/>
      <c r="AB42" s="92" t="n"/>
      <c r="AE42" s="94" t="n"/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K43+O43</f>
        <v/>
      </c>
      <c r="K43" s="646">
        <f>$C$20/1.1/$C$8</f>
        <v/>
      </c>
      <c r="L43" s="516">
        <f>K43-M43-N43</f>
        <v/>
      </c>
      <c r="M43" s="517">
        <f>$C$12/$C$8</f>
        <v/>
      </c>
      <c r="N43" s="518">
        <f>$C$13/$C$8</f>
        <v/>
      </c>
      <c r="O43" s="518">
        <f>$C$14/$C$8</f>
        <v/>
      </c>
      <c r="P43" s="515">
        <f>Q43+U43</f>
        <v/>
      </c>
      <c r="Q43" s="646">
        <f>$C$41/1.1/$C$8</f>
        <v/>
      </c>
      <c r="R43" s="516">
        <f>Q43-S43-T43</f>
        <v/>
      </c>
      <c r="S43" s="500">
        <f>M43</f>
        <v/>
      </c>
      <c r="T43" s="519">
        <f>N43</f>
        <v/>
      </c>
      <c r="U43" s="500">
        <f>O43</f>
        <v/>
      </c>
      <c r="V43" s="92" t="n"/>
      <c r="W43" s="196" t="n"/>
      <c r="X43" s="92" t="n"/>
      <c r="AA43" s="94" t="n"/>
      <c r="AB43" s="92" t="n"/>
      <c r="AE43" s="94" t="n"/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K44+O44</f>
        <v/>
      </c>
      <c r="K44" s="646">
        <f>$C$20/1.1/$C$8</f>
        <v/>
      </c>
      <c r="L44" s="516">
        <f>K44-M44-N44</f>
        <v/>
      </c>
      <c r="M44" s="517">
        <f>$C$12/$C$8</f>
        <v/>
      </c>
      <c r="N44" s="518">
        <f>$C$13/$C$8</f>
        <v/>
      </c>
      <c r="O44" s="518">
        <f>$C$14/$C$8</f>
        <v/>
      </c>
      <c r="P44" s="515">
        <f>Q44+U44</f>
        <v/>
      </c>
      <c r="Q44" s="646">
        <f>$C$41/1.1/$C$8</f>
        <v/>
      </c>
      <c r="R44" s="516">
        <f>Q44-S44-T44</f>
        <v/>
      </c>
      <c r="S44" s="500">
        <f>M44</f>
        <v/>
      </c>
      <c r="T44" s="519">
        <f>N44</f>
        <v/>
      </c>
      <c r="U44" s="500">
        <f>O44</f>
        <v/>
      </c>
      <c r="V44" s="92" t="n"/>
      <c r="W44" s="196" t="n"/>
      <c r="X44" s="92" t="n"/>
      <c r="AA44" s="94" t="n"/>
      <c r="AB44" s="92" t="n"/>
      <c r="AE44" s="94" t="n"/>
    </row>
    <row r="45">
      <c r="C45" s="500" t="n"/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K45+O45</f>
        <v/>
      </c>
      <c r="K45" s="646">
        <f>$C$20/1.1/$C$8</f>
        <v/>
      </c>
      <c r="L45" s="516">
        <f>K45-M45-N45</f>
        <v/>
      </c>
      <c r="M45" s="517">
        <f>$C$12/$C$8</f>
        <v/>
      </c>
      <c r="N45" s="518">
        <f>$C$13/$C$8</f>
        <v/>
      </c>
      <c r="O45" s="518">
        <f>$C$14/$C$8</f>
        <v/>
      </c>
      <c r="P45" s="515">
        <f>Q45+U45</f>
        <v/>
      </c>
      <c r="Q45" s="646">
        <f>$C$41/1.1/$C$8</f>
        <v/>
      </c>
      <c r="R45" s="516">
        <f>Q45-S45-T45</f>
        <v/>
      </c>
      <c r="S45" s="500">
        <f>M45</f>
        <v/>
      </c>
      <c r="T45" s="519">
        <f>N45</f>
        <v/>
      </c>
      <c r="U45" s="500">
        <f>O45</f>
        <v/>
      </c>
      <c r="V45" s="92" t="n"/>
      <c r="W45" s="196" t="n"/>
      <c r="X45" s="92" t="n"/>
      <c r="AA45" s="94" t="n"/>
      <c r="AB45" s="92" t="n"/>
      <c r="AE45" s="94" t="n"/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K46+O46</f>
        <v/>
      </c>
      <c r="K46" s="646">
        <f>$C$20/1.1/$C$8</f>
        <v/>
      </c>
      <c r="L46" s="516">
        <f>K46-M46-N46</f>
        <v/>
      </c>
      <c r="M46" s="517">
        <f>$C$12/$C$8</f>
        <v/>
      </c>
      <c r="N46" s="518">
        <f>$C$13/$C$8</f>
        <v/>
      </c>
      <c r="O46" s="518">
        <f>$C$14/$C$8</f>
        <v/>
      </c>
      <c r="P46" s="515">
        <f>Q46+U46</f>
        <v/>
      </c>
      <c r="Q46" s="646">
        <f>$C$41/1.1/$C$8</f>
        <v/>
      </c>
      <c r="R46" s="516">
        <f>Q46-S46-T46</f>
        <v/>
      </c>
      <c r="S46" s="500">
        <f>M46</f>
        <v/>
      </c>
      <c r="T46" s="519">
        <f>N46</f>
        <v/>
      </c>
      <c r="U46" s="500">
        <f>O46</f>
        <v/>
      </c>
      <c r="V46" s="92" t="n"/>
      <c r="W46" s="196" t="n"/>
      <c r="X46" s="92" t="n"/>
      <c r="AA46" s="94" t="n"/>
      <c r="AB46" s="92" t="n"/>
      <c r="AE46" s="94" t="n"/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K47+O47</f>
        <v/>
      </c>
      <c r="K47" s="646">
        <f>$C$20/1.1/$C$8</f>
        <v/>
      </c>
      <c r="L47" s="516">
        <f>K47-M47-N47</f>
        <v/>
      </c>
      <c r="M47" s="517">
        <f>$C$12/$C$8</f>
        <v/>
      </c>
      <c r="N47" s="518">
        <f>$C$13/$C$8</f>
        <v/>
      </c>
      <c r="O47" s="518">
        <f>$C$14/$C$8</f>
        <v/>
      </c>
      <c r="P47" s="515">
        <f>Q47+U47</f>
        <v/>
      </c>
      <c r="Q47" s="646">
        <f>$C$41/1.1/$C$8</f>
        <v/>
      </c>
      <c r="R47" s="516">
        <f>Q47-S47-T47</f>
        <v/>
      </c>
      <c r="S47" s="500">
        <f>M47</f>
        <v/>
      </c>
      <c r="T47" s="519">
        <f>N47</f>
        <v/>
      </c>
      <c r="U47" s="500">
        <f>O47</f>
        <v/>
      </c>
      <c r="V47" s="92" t="n"/>
      <c r="W47" s="196" t="n"/>
      <c r="X47" s="92" t="n"/>
      <c r="AA47" s="94" t="n"/>
      <c r="AB47" s="92" t="n"/>
      <c r="AE47" s="94" t="n"/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K48+O48</f>
        <v/>
      </c>
      <c r="K48" s="646">
        <f>$C$20/1.1/$C$8</f>
        <v/>
      </c>
      <c r="L48" s="516">
        <f>K48-M48-N48</f>
        <v/>
      </c>
      <c r="M48" s="517">
        <f>$C$12/$C$8</f>
        <v/>
      </c>
      <c r="N48" s="518">
        <f>$C$13/$C$8</f>
        <v/>
      </c>
      <c r="O48" s="518">
        <f>$C$14/$C$8</f>
        <v/>
      </c>
      <c r="P48" s="515">
        <f>Q48+U48</f>
        <v/>
      </c>
      <c r="Q48" s="646">
        <f>$C$41/1.1/$C$8</f>
        <v/>
      </c>
      <c r="R48" s="516">
        <f>Q48-S48-T48</f>
        <v/>
      </c>
      <c r="S48" s="500">
        <f>M48</f>
        <v/>
      </c>
      <c r="T48" s="519">
        <f>N48</f>
        <v/>
      </c>
      <c r="U48" s="500">
        <f>O48</f>
        <v/>
      </c>
      <c r="V48" s="92" t="n"/>
      <c r="W48" s="196" t="n"/>
      <c r="X48" s="92" t="n"/>
      <c r="AA48" s="94" t="n"/>
      <c r="AB48" s="92" t="n"/>
      <c r="AE48" s="94" t="n"/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K49+O49</f>
        <v/>
      </c>
      <c r="K49" s="646">
        <f>$C$20/1.1/$C$8</f>
        <v/>
      </c>
      <c r="L49" s="516">
        <f>K49-M49-N49</f>
        <v/>
      </c>
      <c r="M49" s="517">
        <f>$C$12/$C$8</f>
        <v/>
      </c>
      <c r="N49" s="518">
        <f>$C$13/$C$8</f>
        <v/>
      </c>
      <c r="O49" s="518">
        <f>$C$14/$C$8</f>
        <v/>
      </c>
      <c r="P49" s="515">
        <f>Q49+U49</f>
        <v/>
      </c>
      <c r="Q49" s="646">
        <f>$C$41/1.1/$C$8</f>
        <v/>
      </c>
      <c r="R49" s="516">
        <f>Q49-S49-T49</f>
        <v/>
      </c>
      <c r="S49" s="500">
        <f>M49</f>
        <v/>
      </c>
      <c r="T49" s="519">
        <f>N49</f>
        <v/>
      </c>
      <c r="U49" s="500">
        <f>O49</f>
        <v/>
      </c>
      <c r="V49" s="92" t="n"/>
      <c r="W49" s="196" t="n"/>
      <c r="X49" s="92" t="n"/>
      <c r="AA49" s="94" t="n"/>
      <c r="AB49" s="92" t="n"/>
      <c r="AE49" s="94" t="n"/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K50+O50</f>
        <v/>
      </c>
      <c r="K50" s="646">
        <f>$C$20/1.1/$C$8</f>
        <v/>
      </c>
      <c r="L50" s="516">
        <f>K50-M50-N50</f>
        <v/>
      </c>
      <c r="M50" s="517">
        <f>$C$12/$C$8</f>
        <v/>
      </c>
      <c r="N50" s="518">
        <f>$C$13/$C$8</f>
        <v/>
      </c>
      <c r="O50" s="518">
        <f>$C$14/$C$8</f>
        <v/>
      </c>
      <c r="P50" s="515">
        <f>Q50+U50</f>
        <v/>
      </c>
      <c r="Q50" s="646">
        <f>$C$41/1.1/$C$8</f>
        <v/>
      </c>
      <c r="R50" s="516">
        <f>Q50-S50-T50</f>
        <v/>
      </c>
      <c r="S50" s="500">
        <f>M50</f>
        <v/>
      </c>
      <c r="T50" s="519">
        <f>N50</f>
        <v/>
      </c>
      <c r="U50" s="500">
        <f>O50</f>
        <v/>
      </c>
      <c r="V50" s="92" t="n"/>
      <c r="W50" s="196" t="n"/>
      <c r="X50" s="92" t="n"/>
      <c r="AA50" s="94" t="n"/>
      <c r="AB50" s="92" t="n"/>
      <c r="AE50" s="94" t="n"/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K51+O51</f>
        <v/>
      </c>
      <c r="K51" s="646">
        <f>$C$20/1.1/$C$8</f>
        <v/>
      </c>
      <c r="L51" s="516">
        <f>K51-M51-N51</f>
        <v/>
      </c>
      <c r="M51" s="517">
        <f>$C$12/$C$8</f>
        <v/>
      </c>
      <c r="N51" s="518">
        <f>$C$13/$C$8</f>
        <v/>
      </c>
      <c r="O51" s="518">
        <f>$C$14/$C$8</f>
        <v/>
      </c>
      <c r="P51" s="515">
        <f>Q51+U51</f>
        <v/>
      </c>
      <c r="Q51" s="646">
        <f>$C$41/1.1/$C$8</f>
        <v/>
      </c>
      <c r="R51" s="516">
        <f>Q51-S51-T51</f>
        <v/>
      </c>
      <c r="S51" s="500">
        <f>M51</f>
        <v/>
      </c>
      <c r="T51" s="519">
        <f>N51</f>
        <v/>
      </c>
      <c r="U51" s="500">
        <f>O51</f>
        <v/>
      </c>
      <c r="V51" s="92" t="n"/>
      <c r="W51" s="196" t="n"/>
      <c r="X51" s="92" t="n"/>
      <c r="AA51" s="94" t="n"/>
      <c r="AB51" s="92" t="n"/>
      <c r="AE51" s="94" t="n"/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K52+O52</f>
        <v/>
      </c>
      <c r="K52" s="646">
        <f>$C$20/1.1/$C$8</f>
        <v/>
      </c>
      <c r="L52" s="516">
        <f>K52-M52-N52</f>
        <v/>
      </c>
      <c r="M52" s="517">
        <f>$C$12/$C$8</f>
        <v/>
      </c>
      <c r="N52" s="518">
        <f>$C$13/$C$8</f>
        <v/>
      </c>
      <c r="O52" s="518">
        <f>$C$14/$C$8</f>
        <v/>
      </c>
      <c r="P52" s="515">
        <f>Q52+U52</f>
        <v/>
      </c>
      <c r="Q52" s="646">
        <f>$C$41/1.1/$C$8</f>
        <v/>
      </c>
      <c r="R52" s="516">
        <f>Q52-S52-T52</f>
        <v/>
      </c>
      <c r="S52" s="500">
        <f>M52</f>
        <v/>
      </c>
      <c r="T52" s="519">
        <f>N52</f>
        <v/>
      </c>
      <c r="U52" s="500">
        <f>O52</f>
        <v/>
      </c>
      <c r="V52" s="92" t="n"/>
      <c r="W52" s="196" t="n"/>
      <c r="X52" s="92" t="n"/>
      <c r="AA52" s="94" t="n"/>
      <c r="AB52" s="92" t="n"/>
      <c r="AE52" s="94" t="n"/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K53+O53</f>
        <v/>
      </c>
      <c r="K53" s="646">
        <f>$C$20/1.1/$C$8</f>
        <v/>
      </c>
      <c r="L53" s="516">
        <f>K53-M53-N53</f>
        <v/>
      </c>
      <c r="M53" s="517">
        <f>$C$12/$C$8</f>
        <v/>
      </c>
      <c r="N53" s="518">
        <f>$C$13/$C$8</f>
        <v/>
      </c>
      <c r="O53" s="518">
        <f>$C$14/$C$8</f>
        <v/>
      </c>
      <c r="P53" s="515">
        <f>Q53+U53</f>
        <v/>
      </c>
      <c r="Q53" s="646">
        <f>$C$41/1.1/$C$8</f>
        <v/>
      </c>
      <c r="R53" s="516">
        <f>Q53-S53-T53</f>
        <v/>
      </c>
      <c r="S53" s="500">
        <f>M53</f>
        <v/>
      </c>
      <c r="T53" s="519">
        <f>N53</f>
        <v/>
      </c>
      <c r="U53" s="500">
        <f>O53</f>
        <v/>
      </c>
      <c r="V53" s="92" t="n"/>
      <c r="W53" s="196" t="n"/>
      <c r="X53" s="92" t="n"/>
      <c r="AA53" s="94" t="n"/>
      <c r="AB53" s="92" t="n"/>
      <c r="AE53" s="94" t="n"/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K54+O54</f>
        <v/>
      </c>
      <c r="K54" s="646">
        <f>$C$20/1.1/$C$8-K6</f>
        <v/>
      </c>
      <c r="L54" s="516">
        <f>K54-M54-N54</f>
        <v/>
      </c>
      <c r="M54" s="517">
        <f>$C$12/$C$8</f>
        <v/>
      </c>
      <c r="N54" s="518">
        <f>$C$13/$C$8-N6</f>
        <v/>
      </c>
      <c r="O54" s="518">
        <f>$C$14/$C$8-O6</f>
        <v/>
      </c>
      <c r="P54" s="515">
        <f>Q54+U54</f>
        <v/>
      </c>
      <c r="Q54" s="646">
        <f>$C$41/1.1/$C$8-Q6</f>
        <v/>
      </c>
      <c r="R54" s="516">
        <f>Q54-S54-T54</f>
        <v/>
      </c>
      <c r="S54" s="500">
        <f>M54</f>
        <v/>
      </c>
      <c r="T54" s="519">
        <f>N54</f>
        <v/>
      </c>
      <c r="U54" s="500">
        <f>O54</f>
        <v/>
      </c>
      <c r="V54" s="92" t="n"/>
      <c r="W54" s="196" t="n"/>
      <c r="X54" s="92" t="n"/>
      <c r="AA54" s="94" t="n"/>
      <c r="AB54" s="92" t="n"/>
      <c r="AE54" s="94" t="n"/>
    </row>
    <row r="55">
      <c r="F55" s="101" t="n"/>
      <c r="G55" s="102" t="n"/>
      <c r="H55" s="102" t="n"/>
      <c r="I55" s="103" t="n"/>
      <c r="J55" s="515" t="n"/>
      <c r="K55" s="646" t="n"/>
      <c r="L55" s="516" t="n"/>
      <c r="M55" s="517" t="n"/>
      <c r="N55" s="518" t="n"/>
      <c r="O55" s="518" t="n"/>
      <c r="P55" s="515" t="n"/>
      <c r="Q55" s="646" t="n"/>
      <c r="R55" s="516" t="n"/>
      <c r="S55" s="500" t="n"/>
      <c r="T55" s="519" t="n"/>
      <c r="U55" s="500" t="n"/>
      <c r="V55" s="92" t="n"/>
      <c r="W55" s="196" t="n"/>
      <c r="X55" s="92" t="n"/>
      <c r="AA55" s="94" t="n"/>
      <c r="AB55" s="92" t="n"/>
      <c r="AE55" s="94" t="n"/>
    </row>
    <row r="56">
      <c r="F56" s="101" t="n"/>
      <c r="G56" s="102" t="n"/>
      <c r="H56" s="102" t="n"/>
      <c r="I56" s="103" t="n"/>
      <c r="J56" s="515" t="n"/>
      <c r="K56" s="646" t="n"/>
      <c r="L56" s="516" t="n"/>
      <c r="M56" s="517" t="n"/>
      <c r="N56" s="518" t="n"/>
      <c r="O56" s="518" t="n"/>
      <c r="P56" s="515" t="n"/>
      <c r="Q56" s="646" t="n"/>
      <c r="R56" s="516" t="n"/>
      <c r="S56" s="500" t="n"/>
      <c r="T56" s="519" t="n"/>
      <c r="U56" s="500" t="n"/>
      <c r="V56" s="92" t="n"/>
      <c r="W56" s="196" t="n"/>
      <c r="X56" s="92" t="n"/>
      <c r="AA56" s="94" t="n"/>
      <c r="AB56" s="92" t="n"/>
      <c r="AE56" s="94" t="n"/>
    </row>
    <row r="57">
      <c r="F57" s="101" t="n"/>
      <c r="G57" s="102" t="n"/>
      <c r="H57" s="102" t="n"/>
      <c r="I57" s="103" t="n"/>
      <c r="J57" s="515" t="n"/>
      <c r="K57" s="646" t="n"/>
      <c r="L57" s="516" t="n"/>
      <c r="M57" s="517" t="n"/>
      <c r="N57" s="518" t="n"/>
      <c r="O57" s="518" t="n"/>
      <c r="P57" s="515" t="n"/>
      <c r="Q57" s="646" t="n"/>
      <c r="R57" s="516" t="n"/>
      <c r="S57" s="500" t="n"/>
      <c r="T57" s="519" t="n"/>
      <c r="U57" s="500" t="n"/>
      <c r="V57" s="92" t="n"/>
      <c r="W57" s="196" t="n"/>
      <c r="X57" s="92" t="n"/>
      <c r="AA57" s="94" t="n"/>
      <c r="AB57" s="92" t="n"/>
      <c r="AE57" s="94" t="n"/>
    </row>
    <row r="58">
      <c r="F58" s="101" t="n"/>
      <c r="G58" s="102" t="n"/>
      <c r="H58" s="102" t="n"/>
      <c r="I58" s="103" t="n"/>
      <c r="J58" s="515" t="n"/>
      <c r="K58" s="646" t="n"/>
      <c r="L58" s="516" t="n"/>
      <c r="M58" s="517" t="n"/>
      <c r="N58" s="518" t="n"/>
      <c r="O58" s="518" t="n"/>
      <c r="P58" s="515" t="n"/>
      <c r="Q58" s="646" t="n"/>
      <c r="R58" s="516" t="n"/>
      <c r="S58" s="500" t="n"/>
      <c r="T58" s="519" t="n"/>
      <c r="U58" s="500" t="n"/>
      <c r="V58" s="92" t="n"/>
      <c r="W58" s="196" t="n"/>
      <c r="X58" s="92" t="n"/>
      <c r="AA58" s="94" t="n"/>
      <c r="AB58" s="92" t="n"/>
      <c r="AE58" s="94" t="n"/>
    </row>
    <row r="59">
      <c r="F59" s="101" t="n"/>
      <c r="G59" s="102" t="n"/>
      <c r="H59" s="102" t="n"/>
      <c r="I59" s="103" t="n"/>
      <c r="J59" s="515" t="n"/>
      <c r="K59" s="646" t="n"/>
      <c r="L59" s="516" t="n"/>
      <c r="M59" s="517" t="n"/>
      <c r="N59" s="518" t="n"/>
      <c r="O59" s="518" t="n"/>
      <c r="P59" s="515" t="n"/>
      <c r="Q59" s="646" t="n"/>
      <c r="R59" s="516" t="n"/>
      <c r="S59" s="500" t="n"/>
      <c r="T59" s="519" t="n"/>
      <c r="U59" s="500" t="n"/>
      <c r="V59" s="92" t="n"/>
      <c r="W59" s="196" t="n"/>
      <c r="X59" s="92" t="n"/>
      <c r="AA59" s="94" t="n"/>
      <c r="AB59" s="92" t="n"/>
      <c r="AE59" s="94" t="n"/>
    </row>
    <row r="60">
      <c r="F60" s="101" t="n"/>
      <c r="G60" s="102" t="n"/>
      <c r="H60" s="102" t="n"/>
      <c r="I60" s="103" t="n"/>
      <c r="J60" s="515" t="n"/>
      <c r="K60" s="646" t="n"/>
      <c r="L60" s="516" t="n"/>
      <c r="M60" s="517" t="n"/>
      <c r="N60" s="518" t="n"/>
      <c r="O60" s="518" t="n"/>
      <c r="P60" s="515" t="n"/>
      <c r="Q60" s="646" t="n"/>
      <c r="R60" s="516" t="n"/>
      <c r="S60" s="500" t="n"/>
      <c r="T60" s="519" t="n"/>
      <c r="U60" s="500" t="n"/>
      <c r="V60" s="92" t="n"/>
      <c r="W60" s="196" t="n"/>
      <c r="X60" s="92" t="n"/>
      <c r="AA60" s="94" t="n"/>
      <c r="AB60" s="92" t="n"/>
      <c r="AE60" s="94" t="n"/>
    </row>
    <row r="61">
      <c r="F61" s="101" t="n"/>
      <c r="G61" s="102" t="n"/>
      <c r="H61" s="102" t="n"/>
      <c r="I61" s="103" t="n"/>
      <c r="J61" s="515" t="n"/>
      <c r="K61" s="646" t="n"/>
      <c r="L61" s="516" t="n"/>
      <c r="M61" s="517" t="n"/>
      <c r="N61" s="518" t="n"/>
      <c r="O61" s="518" t="n"/>
      <c r="P61" s="515" t="n"/>
      <c r="Q61" s="646" t="n"/>
      <c r="R61" s="516" t="n"/>
      <c r="S61" s="500" t="n"/>
      <c r="T61" s="519" t="n"/>
      <c r="U61" s="500" t="n"/>
      <c r="V61" s="92" t="n"/>
      <c r="W61" s="196" t="n"/>
      <c r="X61" s="92" t="n"/>
      <c r="AA61" s="94" t="n"/>
      <c r="AB61" s="92" t="n"/>
      <c r="AE61" s="94" t="n"/>
    </row>
    <row r="62">
      <c r="F62" s="101" t="n"/>
      <c r="G62" s="102" t="n"/>
      <c r="H62" s="102" t="n"/>
      <c r="I62" s="103" t="n"/>
      <c r="J62" s="515" t="n"/>
      <c r="K62" s="646" t="n"/>
      <c r="L62" s="516" t="n"/>
      <c r="M62" s="517" t="n"/>
      <c r="N62" s="518" t="n"/>
      <c r="O62" s="518" t="n"/>
      <c r="P62" s="515" t="n"/>
      <c r="Q62" s="646" t="n"/>
      <c r="R62" s="516" t="n"/>
      <c r="S62" s="500" t="n"/>
      <c r="T62" s="519" t="n"/>
      <c r="U62" s="500" t="n"/>
      <c r="V62" s="92" t="n"/>
      <c r="W62" s="196" t="n"/>
      <c r="X62" s="92" t="n"/>
      <c r="AA62" s="94" t="n"/>
      <c r="AB62" s="92" t="n"/>
      <c r="AE62" s="94" t="n"/>
    </row>
    <row r="63">
      <c r="F63" s="101" t="n"/>
      <c r="G63" s="102" t="n"/>
      <c r="H63" s="102" t="n"/>
      <c r="I63" s="103" t="n"/>
      <c r="J63" s="515" t="n"/>
      <c r="K63" s="646" t="n"/>
      <c r="L63" s="516" t="n"/>
      <c r="M63" s="517" t="n"/>
      <c r="N63" s="518" t="n"/>
      <c r="O63" s="518" t="n"/>
      <c r="P63" s="515" t="n"/>
      <c r="Q63" s="646" t="n"/>
      <c r="R63" s="516" t="n"/>
      <c r="S63" s="500" t="n"/>
      <c r="T63" s="519" t="n"/>
      <c r="U63" s="500" t="n"/>
      <c r="V63" s="92" t="n"/>
      <c r="W63" s="196" t="n"/>
      <c r="X63" s="92" t="n"/>
      <c r="AA63" s="94" t="n"/>
      <c r="AB63" s="92" t="n"/>
      <c r="AE63" s="94" t="n"/>
    </row>
    <row r="64">
      <c r="F64" s="101" t="n"/>
      <c r="G64" s="102" t="n"/>
      <c r="H64" s="102" t="n"/>
      <c r="I64" s="103" t="n"/>
      <c r="J64" s="515" t="n"/>
      <c r="K64" s="646" t="n"/>
      <c r="L64" s="516" t="n"/>
      <c r="M64" s="517" t="n"/>
      <c r="N64" s="518" t="n"/>
      <c r="O64" s="518" t="n"/>
      <c r="P64" s="515" t="n"/>
      <c r="Q64" s="646" t="n"/>
      <c r="R64" s="516" t="n"/>
      <c r="S64" s="500" t="n"/>
      <c r="T64" s="519" t="n"/>
      <c r="U64" s="500" t="n"/>
      <c r="V64" s="92" t="n"/>
      <c r="W64" s="196" t="n"/>
      <c r="X64" s="92" t="n"/>
      <c r="AA64" s="94" t="n"/>
      <c r="AB64" s="92" t="n"/>
      <c r="AE64" s="94" t="n"/>
    </row>
    <row r="65">
      <c r="F65" s="101" t="n"/>
      <c r="G65" s="102" t="n"/>
      <c r="H65" s="102" t="n"/>
      <c r="I65" s="103" t="n"/>
      <c r="J65" s="515" t="n"/>
      <c r="K65" s="646" t="n"/>
      <c r="L65" s="516" t="n"/>
      <c r="M65" s="517" t="n"/>
      <c r="N65" s="518" t="n"/>
      <c r="O65" s="518" t="n"/>
      <c r="P65" s="515" t="n"/>
      <c r="Q65" s="646" t="n"/>
      <c r="R65" s="516" t="n"/>
      <c r="S65" s="500" t="n"/>
      <c r="T65" s="519" t="n"/>
      <c r="U65" s="500" t="n"/>
      <c r="V65" s="92" t="n"/>
      <c r="W65" s="196" t="n"/>
      <c r="X65" s="92" t="n"/>
      <c r="AA65" s="94" t="n"/>
      <c r="AB65" s="92" t="n"/>
      <c r="AE65" s="94" t="n"/>
    </row>
    <row r="66">
      <c r="F66" s="101" t="n"/>
      <c r="G66" s="102" t="n"/>
      <c r="H66" s="102" t="n"/>
      <c r="I66" s="103" t="n"/>
      <c r="J66" s="515" t="n"/>
      <c r="K66" s="646" t="n"/>
      <c r="L66" s="516" t="n"/>
      <c r="M66" s="517" t="n"/>
      <c r="N66" s="518" t="n"/>
      <c r="O66" s="518" t="n"/>
      <c r="P66" s="515" t="n"/>
      <c r="Q66" s="646" t="n"/>
      <c r="R66" s="516" t="n"/>
      <c r="S66" s="500" t="n"/>
      <c r="T66" s="519" t="n"/>
      <c r="U66" s="500" t="n"/>
      <c r="V66" s="92" t="n"/>
      <c r="W66" s="196" t="n"/>
      <c r="X66" s="92" t="n"/>
      <c r="AA66" s="94" t="n"/>
      <c r="AB66" s="92" t="n"/>
      <c r="AE66" s="94" t="n"/>
    </row>
    <row r="67">
      <c r="F67" s="101" t="n"/>
      <c r="G67" s="102" t="n"/>
      <c r="H67" s="102" t="n"/>
      <c r="I67" s="103" t="n"/>
      <c r="J67" s="515" t="n"/>
      <c r="K67" s="646" t="n"/>
      <c r="L67" s="516" t="n"/>
      <c r="M67" s="517" t="n"/>
      <c r="N67" s="518" t="n"/>
      <c r="O67" s="518" t="n"/>
      <c r="P67" s="515" t="n"/>
      <c r="Q67" s="646" t="n"/>
      <c r="R67" s="516" t="n"/>
      <c r="S67" s="500" t="n"/>
      <c r="T67" s="519" t="n"/>
      <c r="U67" s="500" t="n"/>
      <c r="V67" s="92" t="n"/>
      <c r="W67" s="196" t="n"/>
      <c r="X67" s="92" t="n"/>
      <c r="AA67" s="94" t="n"/>
      <c r="AB67" s="92" t="n"/>
      <c r="AE67" s="94" t="n"/>
    </row>
    <row r="68">
      <c r="F68" s="101" t="n"/>
      <c r="G68" s="102" t="n"/>
      <c r="H68" s="102" t="n"/>
      <c r="I68" s="103" t="n"/>
      <c r="J68" s="515" t="n"/>
      <c r="K68" s="646" t="n"/>
      <c r="L68" s="516" t="n"/>
      <c r="M68" s="517" t="n"/>
      <c r="N68" s="518" t="n"/>
      <c r="O68" s="518" t="n"/>
      <c r="P68" s="515" t="n"/>
      <c r="Q68" s="646" t="n"/>
      <c r="R68" s="516" t="n"/>
      <c r="S68" s="500" t="n"/>
      <c r="T68" s="519" t="n"/>
      <c r="U68" s="500" t="n"/>
      <c r="V68" s="92" t="n"/>
      <c r="W68" s="196" t="n"/>
      <c r="X68" s="92" t="n"/>
      <c r="AA68" s="94" t="n"/>
      <c r="AB68" s="92" t="n"/>
      <c r="AE68" s="94" t="n"/>
    </row>
    <row r="69">
      <c r="F69" s="101" t="n"/>
      <c r="G69" s="102" t="n"/>
      <c r="H69" s="102" t="n"/>
      <c r="I69" s="103" t="n"/>
      <c r="J69" s="515" t="n"/>
      <c r="K69" s="646" t="n"/>
      <c r="L69" s="516" t="n"/>
      <c r="M69" s="517" t="n"/>
      <c r="N69" s="518" t="n"/>
      <c r="O69" s="518" t="n"/>
      <c r="P69" s="515" t="n"/>
      <c r="Q69" s="646" t="n"/>
      <c r="R69" s="516" t="n"/>
      <c r="S69" s="500" t="n"/>
      <c r="T69" s="519" t="n"/>
      <c r="U69" s="500" t="n"/>
      <c r="V69" s="92" t="n"/>
      <c r="W69" s="196" t="n"/>
      <c r="X69" s="92" t="n"/>
      <c r="AA69" s="94" t="n"/>
      <c r="AB69" s="92" t="n"/>
      <c r="AE69" s="94" t="n"/>
    </row>
    <row r="70">
      <c r="F70" s="101" t="n"/>
      <c r="G70" s="102" t="n"/>
      <c r="H70" s="102" t="n"/>
      <c r="I70" s="103" t="n"/>
      <c r="J70" s="515" t="n"/>
      <c r="K70" s="646" t="n"/>
      <c r="L70" s="516" t="n"/>
      <c r="M70" s="517" t="n"/>
      <c r="N70" s="518" t="n"/>
      <c r="O70" s="518" t="n"/>
      <c r="P70" s="515" t="n"/>
      <c r="Q70" s="646" t="n"/>
      <c r="R70" s="516" t="n"/>
      <c r="S70" s="500" t="n"/>
      <c r="T70" s="519" t="n"/>
      <c r="U70" s="500" t="n"/>
      <c r="V70" s="92" t="n"/>
      <c r="W70" s="196" t="n"/>
      <c r="X70" s="92" t="n"/>
      <c r="AA70" s="94" t="n"/>
      <c r="AB70" s="92" t="n"/>
      <c r="AE70" s="94" t="n"/>
    </row>
    <row r="71">
      <c r="F71" s="101" t="n"/>
      <c r="G71" s="102" t="n"/>
      <c r="H71" s="102" t="n"/>
      <c r="I71" s="103" t="n"/>
      <c r="J71" s="515" t="n"/>
      <c r="K71" s="646" t="n"/>
      <c r="L71" s="516" t="n"/>
      <c r="M71" s="517" t="n"/>
      <c r="N71" s="518" t="n"/>
      <c r="O71" s="518" t="n"/>
      <c r="P71" s="515" t="n"/>
      <c r="Q71" s="646" t="n"/>
      <c r="R71" s="516" t="n"/>
      <c r="S71" s="500" t="n"/>
      <c r="T71" s="519" t="n"/>
      <c r="U71" s="500" t="n"/>
      <c r="V71" s="92" t="n"/>
      <c r="W71" s="196" t="n"/>
      <c r="X71" s="92" t="n"/>
      <c r="AA71" s="94" t="n"/>
      <c r="AB71" s="92" t="n"/>
      <c r="AE71" s="94" t="n"/>
    </row>
    <row r="72">
      <c r="F72" s="101" t="n"/>
      <c r="G72" s="102" t="n"/>
      <c r="H72" s="102" t="n"/>
      <c r="I72" s="103" t="n"/>
      <c r="J72" s="515" t="n"/>
      <c r="K72" s="646" t="n"/>
      <c r="L72" s="516" t="n"/>
      <c r="M72" s="517" t="n"/>
      <c r="N72" s="518" t="n"/>
      <c r="O72" s="518" t="n"/>
      <c r="P72" s="515" t="n"/>
      <c r="Q72" s="646" t="n"/>
      <c r="R72" s="516" t="n"/>
      <c r="S72" s="500" t="n"/>
      <c r="T72" s="519" t="n"/>
      <c r="U72" s="500" t="n"/>
      <c r="V72" s="92" t="n"/>
      <c r="W72" s="196" t="n"/>
      <c r="X72" s="92" t="n"/>
      <c r="AA72" s="94" t="n"/>
      <c r="AB72" s="92" t="n"/>
      <c r="AE72" s="94" t="n"/>
    </row>
    <row r="73">
      <c r="F73" s="101" t="n"/>
      <c r="G73" s="102" t="n"/>
      <c r="H73" s="102" t="n"/>
      <c r="I73" s="103" t="n"/>
      <c r="J73" s="515" t="n"/>
      <c r="K73" s="646" t="n"/>
      <c r="L73" s="516" t="n"/>
      <c r="M73" s="517" t="n"/>
      <c r="N73" s="518" t="n"/>
      <c r="O73" s="518" t="n"/>
      <c r="P73" s="515" t="n"/>
      <c r="Q73" s="646" t="n"/>
      <c r="R73" s="516" t="n"/>
      <c r="S73" s="500" t="n"/>
      <c r="T73" s="519" t="n"/>
      <c r="U73" s="500" t="n"/>
      <c r="V73" s="92" t="n"/>
      <c r="W73" s="196" t="n"/>
      <c r="X73" s="92" t="n"/>
      <c r="AA73" s="94" t="n"/>
      <c r="AB73" s="92" t="n"/>
      <c r="AE73" s="94" t="n"/>
    </row>
    <row r="74">
      <c r="F74" s="101" t="n"/>
      <c r="G74" s="102" t="n"/>
      <c r="H74" s="102" t="n"/>
      <c r="I74" s="103" t="n"/>
      <c r="J74" s="515" t="n"/>
      <c r="K74" s="646" t="n"/>
      <c r="L74" s="516" t="n"/>
      <c r="M74" s="517" t="n"/>
      <c r="N74" s="518" t="n"/>
      <c r="O74" s="518" t="n"/>
      <c r="P74" s="515" t="n"/>
      <c r="Q74" s="646" t="n"/>
      <c r="R74" s="516" t="n"/>
      <c r="S74" s="500" t="n"/>
      <c r="T74" s="519" t="n"/>
      <c r="U74" s="500" t="n"/>
      <c r="V74" s="92" t="n"/>
      <c r="W74" s="196" t="n"/>
      <c r="X74" s="92" t="n"/>
      <c r="AA74" s="94" t="n"/>
      <c r="AB74" s="92" t="n"/>
      <c r="AE74" s="94" t="n"/>
    </row>
    <row r="75">
      <c r="F75" s="101" t="n"/>
      <c r="G75" s="102" t="n"/>
      <c r="H75" s="102" t="n"/>
      <c r="I75" s="103" t="n"/>
      <c r="J75" s="515" t="n"/>
      <c r="K75" s="646" t="n"/>
      <c r="L75" s="516" t="n"/>
      <c r="M75" s="517" t="n"/>
      <c r="N75" s="518" t="n"/>
      <c r="O75" s="518" t="n"/>
      <c r="P75" s="515" t="n"/>
      <c r="Q75" s="646" t="n"/>
      <c r="R75" s="516" t="n"/>
      <c r="S75" s="500" t="n"/>
      <c r="T75" s="519" t="n"/>
      <c r="U75" s="500" t="n"/>
      <c r="V75" s="92" t="n"/>
      <c r="W75" s="196" t="n"/>
      <c r="X75" s="92" t="n"/>
      <c r="AA75" s="94" t="n"/>
      <c r="AB75" s="92" t="n"/>
      <c r="AE75" s="94" t="n"/>
    </row>
    <row r="76">
      <c r="F76" s="101" t="n"/>
      <c r="G76" s="102" t="n"/>
      <c r="H76" s="102" t="n"/>
      <c r="I76" s="103" t="n"/>
      <c r="J76" s="515" t="n"/>
      <c r="K76" s="646" t="n"/>
      <c r="L76" s="516" t="n"/>
      <c r="M76" s="517" t="n"/>
      <c r="N76" s="518" t="n"/>
      <c r="O76" s="518" t="n"/>
      <c r="P76" s="515" t="n"/>
      <c r="Q76" s="646" t="n"/>
      <c r="R76" s="516" t="n"/>
      <c r="S76" s="500" t="n"/>
      <c r="T76" s="519" t="n"/>
      <c r="U76" s="500" t="n"/>
      <c r="V76" s="92" t="n"/>
      <c r="W76" s="196" t="n"/>
      <c r="X76" s="92" t="n"/>
      <c r="AA76" s="94" t="n"/>
      <c r="AB76" s="92" t="n"/>
      <c r="AE76" s="94" t="n"/>
    </row>
    <row r="77">
      <c r="F77" s="101" t="n"/>
      <c r="G77" s="102" t="n"/>
      <c r="H77" s="102" t="n"/>
      <c r="I77" s="103" t="n"/>
      <c r="J77" s="515" t="n"/>
      <c r="K77" s="646" t="n"/>
      <c r="L77" s="516" t="n"/>
      <c r="M77" s="517" t="n"/>
      <c r="N77" s="518" t="n"/>
      <c r="O77" s="518" t="n"/>
      <c r="P77" s="515" t="n"/>
      <c r="Q77" s="646" t="n"/>
      <c r="R77" s="516" t="n"/>
      <c r="S77" s="500" t="n"/>
      <c r="T77" s="519" t="n"/>
      <c r="U77" s="500" t="n"/>
      <c r="V77" s="92" t="n"/>
      <c r="W77" s="196" t="n"/>
      <c r="X77" s="92" t="n"/>
      <c r="AA77" s="94" t="n"/>
      <c r="AB77" s="92" t="n"/>
      <c r="AE77" s="94" t="n"/>
    </row>
    <row r="78">
      <c r="F78" s="276" t="n"/>
      <c r="G78" s="277" t="n"/>
      <c r="H78" s="277" t="n"/>
      <c r="I78" s="278" t="n"/>
      <c r="J78" s="581" t="n"/>
      <c r="K78" s="653" t="n"/>
      <c r="L78" s="588" t="n"/>
      <c r="M78" s="640" t="n"/>
      <c r="N78" s="641" t="n"/>
      <c r="O78" s="641" t="n"/>
      <c r="P78" s="581" t="n"/>
      <c r="Q78" s="653" t="n"/>
      <c r="R78" s="588" t="n"/>
      <c r="S78" s="589" t="n"/>
      <c r="T78" s="642" t="n"/>
      <c r="U78" s="589" t="n"/>
      <c r="V78" s="59" t="n"/>
      <c r="W78" s="12" t="n"/>
      <c r="X78" s="59" t="n"/>
      <c r="Y78" s="95" t="n"/>
      <c r="Z78" s="95" t="n"/>
      <c r="AA78" s="97" t="n"/>
      <c r="AB78" s="59" t="n"/>
      <c r="AC78" s="95" t="n"/>
      <c r="AD78" s="95" t="n"/>
      <c r="AE78" s="97" t="n"/>
    </row>
    <row r="79">
      <c r="R79" s="500" t="n"/>
    </row>
  </sheetData>
  <pageMargins left="0.7" right="0.7" top="0.75" bottom="0.75" header="0.3" footer="0.3"/>
  <pageSetup orientation="portrait" paperSize="9"/>
</worksheet>
</file>

<file path=xl/worksheets/sheet29.xml><?xml version="1.0" encoding="utf-8"?>
<worksheet xmlns="http://schemas.openxmlformats.org/spreadsheetml/2006/main">
  <sheetPr>
    <tabColor rgb="00A6A6A6"/>
    <outlinePr summaryBelow="1" summaryRight="1"/>
    <pageSetUpPr/>
  </sheetPr>
  <dimension ref="A2:AM78"/>
  <sheetViews>
    <sheetView showGridLines="0" topLeftCell="N1" zoomScale="70" zoomScaleNormal="70" workbookViewId="0">
      <selection activeCell="Y24" sqref="Y2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1.6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11.6875" bestFit="1" customWidth="1" style="497" min="18" max="20"/>
    <col width="9.375" bestFit="1" customWidth="1" style="497" min="21" max="21"/>
    <col width="11.1875" bestFit="1" customWidth="1" style="497" min="22" max="22"/>
    <col width="9.1875" customWidth="1" style="497" min="23" max="23"/>
    <col width="16.5" customWidth="1" style="497" min="24" max="28"/>
    <col outlineLevel="1" width="14" customWidth="1" style="497" min="29" max="33"/>
    <col width="11.375" bestFit="1" customWidth="1" style="497" min="34" max="34"/>
    <col width="15.375" bestFit="1" customWidth="1" style="497" min="36" max="36"/>
    <col width="12.375" bestFit="1" customWidth="1" style="497" min="37" max="37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선납+선납할인+단품할인 시 (v-)</t>
        </is>
      </c>
      <c r="S3" s="76" t="n"/>
      <c r="T3" s="76" t="n"/>
      <c r="U3" s="76" t="n"/>
      <c r="V3" s="75" t="inlineStr">
        <is>
          <t>중도해지 시 (v-)</t>
        </is>
      </c>
      <c r="W3" s="70" t="n"/>
      <c r="X3" s="254" t="n"/>
      <c r="Y3" s="254" t="n"/>
      <c r="Z3" s="254" t="n"/>
      <c r="AA3" s="255" t="n"/>
      <c r="AB3" s="254" t="n"/>
      <c r="AC3" s="75" t="inlineStr">
        <is>
          <t>중도해지 시 (v+)</t>
        </is>
      </c>
      <c r="AD3" s="70" t="n"/>
      <c r="AE3" s="70" t="n"/>
      <c r="AF3" s="70" t="n"/>
      <c r="AG3" s="71" t="n"/>
      <c r="AM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26" t="inlineStr">
        <is>
          <t>제품판정일</t>
        </is>
      </c>
      <c r="W4" s="9" t="inlineStr">
        <is>
          <t>경과일</t>
        </is>
      </c>
      <c r="X4" s="26" t="inlineStr">
        <is>
          <t>위약금</t>
        </is>
      </c>
      <c r="Y4" s="15" t="inlineStr">
        <is>
          <t>사용분 청구</t>
        </is>
      </c>
      <c r="Z4" s="15" t="inlineStr">
        <is>
          <t>할인금 회수</t>
        </is>
      </c>
      <c r="AA4" s="15" t="inlineStr">
        <is>
          <t>선납잔액 환불</t>
        </is>
      </c>
      <c r="AB4" s="27" t="inlineStr">
        <is>
          <t>등록비 청구</t>
        </is>
      </c>
      <c r="AC4" s="15" t="inlineStr">
        <is>
          <t>위약금</t>
        </is>
      </c>
      <c r="AD4" s="15" t="inlineStr">
        <is>
          <t>사용분 청구</t>
        </is>
      </c>
      <c r="AE4" s="15" t="inlineStr">
        <is>
          <t>할인금 회수</t>
        </is>
      </c>
      <c r="AF4" s="15" t="inlineStr">
        <is>
          <t>선납잔액 환불</t>
        </is>
      </c>
      <c r="AG4" s="27" t="inlineStr">
        <is>
          <t>등록비</t>
        </is>
      </c>
      <c r="AJ4" s="273" t="inlineStr">
        <is>
          <t>사용분 청구 (v-)</t>
        </is>
      </c>
      <c r="AK4" s="274" t="n"/>
      <c r="AL4" s="274" t="n"/>
      <c r="AM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L5</f>
        <v/>
      </c>
      <c r="Q5" s="519">
        <f>M5</f>
        <v/>
      </c>
      <c r="R5" s="515">
        <f>ROUNDDOWN(($C$44/$C$7)*(H5-G5+1)/DAY(H5),-2)</f>
        <v/>
      </c>
      <c r="S5" s="516">
        <f>R5-T5-U5</f>
        <v/>
      </c>
      <c r="T5" s="500">
        <f>P5</f>
        <v/>
      </c>
      <c r="U5" s="519">
        <f>Q5</f>
        <v/>
      </c>
      <c r="V5" s="55" t="n"/>
      <c r="W5" s="54">
        <f>H5-G5+1</f>
        <v/>
      </c>
      <c r="X5" s="55" t="n"/>
      <c r="Y5" s="626" t="n"/>
      <c r="Z5" s="627" t="n"/>
      <c r="AA5" s="251" t="n"/>
      <c r="AB5" s="94" t="n"/>
      <c r="AC5" s="251" t="n"/>
      <c r="AD5" s="626" t="n"/>
      <c r="AE5" s="627" t="n"/>
      <c r="AF5" s="627" t="n"/>
      <c r="AG5" s="91" t="n"/>
      <c r="AJ5" s="130" t="n"/>
      <c r="AK5" s="9" t="inlineStr">
        <is>
          <t>제품</t>
        </is>
      </c>
      <c r="AL5" s="9" t="inlineStr">
        <is>
          <t>케어</t>
        </is>
      </c>
      <c r="AM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515">
        <f>$C$43</f>
        <v/>
      </c>
      <c r="S6" s="516">
        <f>R6-T6-U6</f>
        <v/>
      </c>
      <c r="T6" s="500">
        <f>P6</f>
        <v/>
      </c>
      <c r="U6" s="519">
        <f>Q6</f>
        <v/>
      </c>
      <c r="V6" s="92" t="n"/>
      <c r="W6" s="196">
        <f>H6-G6+1</f>
        <v/>
      </c>
      <c r="X6" s="92" t="n"/>
      <c r="Y6" s="206" t="n"/>
      <c r="Z6" s="206" t="n"/>
      <c r="AA6" s="206" t="n"/>
      <c r="AB6" s="94" t="n"/>
      <c r="AC6" s="206" t="n"/>
      <c r="AD6" s="206" t="n"/>
      <c r="AE6" s="206" t="n"/>
      <c r="AF6" s="206" t="n"/>
      <c r="AG6" s="94" t="n"/>
      <c r="AJ6" s="527">
        <f>Y24</f>
        <v/>
      </c>
      <c r="AK6" s="527">
        <f>AJ6-AL6-AM6</f>
        <v/>
      </c>
      <c r="AL6" s="2">
        <f>ROUNDDOWN(P24*W24/DAY(H24),-2)</f>
        <v/>
      </c>
      <c r="AM6" s="2">
        <f>ROUNDDOWN(Q24*W24/DAY(H24),-2)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515">
        <f>$C$43</f>
        <v/>
      </c>
      <c r="S7" s="516">
        <f>R7-T7-U7</f>
        <v/>
      </c>
      <c r="T7" s="500">
        <f>P7</f>
        <v/>
      </c>
      <c r="U7" s="519">
        <f>Q7</f>
        <v/>
      </c>
      <c r="V7" s="92" t="n"/>
      <c r="W7" s="196">
        <f>H7-G7+1</f>
        <v/>
      </c>
      <c r="X7" s="92" t="n"/>
      <c r="Y7" s="206" t="n"/>
      <c r="Z7" s="206" t="n"/>
      <c r="AA7" s="206" t="n"/>
      <c r="AB7" s="94" t="n"/>
      <c r="AC7" s="206" t="n"/>
      <c r="AD7" s="206" t="n"/>
      <c r="AE7" s="206" t="n"/>
      <c r="AF7" s="206" t="n"/>
      <c r="AG7" s="94" t="n"/>
      <c r="AJ7" s="505" t="n"/>
      <c r="AK7" s="505" t="n"/>
      <c r="AL7" s="505" t="n"/>
      <c r="AM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515">
        <f>$C$43</f>
        <v/>
      </c>
      <c r="S8" s="516">
        <f>R8-T8-U8</f>
        <v/>
      </c>
      <c r="T8" s="500">
        <f>P8</f>
        <v/>
      </c>
      <c r="U8" s="519">
        <f>Q8</f>
        <v/>
      </c>
      <c r="V8" s="92" t="n"/>
      <c r="W8" s="196">
        <f>H8-G8+1</f>
        <v/>
      </c>
      <c r="X8" s="92" t="n"/>
      <c r="Y8" s="206" t="n"/>
      <c r="Z8" s="206" t="n"/>
      <c r="AA8" s="206" t="n"/>
      <c r="AB8" s="94" t="n"/>
      <c r="AC8" s="206" t="n"/>
      <c r="AD8" s="206" t="n"/>
      <c r="AE8" s="206" t="n"/>
      <c r="AF8" s="206" t="n"/>
      <c r="AG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515">
        <f>$C$43</f>
        <v/>
      </c>
      <c r="S9" s="516">
        <f>R9-T9-U9</f>
        <v/>
      </c>
      <c r="T9" s="500">
        <f>P9</f>
        <v/>
      </c>
      <c r="U9" s="519">
        <f>Q9</f>
        <v/>
      </c>
      <c r="V9" s="92" t="n"/>
      <c r="W9" s="196">
        <f>H9-G9+1</f>
        <v/>
      </c>
      <c r="X9" s="92" t="n"/>
      <c r="Y9" s="206" t="n"/>
      <c r="Z9" s="206" t="n"/>
      <c r="AA9" s="206" t="n"/>
      <c r="AB9" s="94" t="n"/>
      <c r="AC9" s="206" t="n"/>
      <c r="AD9" s="206" t="n"/>
      <c r="AE9" s="206" t="n"/>
      <c r="AF9" s="206" t="n"/>
      <c r="AG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$C$43</f>
        <v/>
      </c>
      <c r="S10" s="516">
        <f>R10-T10-U10</f>
        <v/>
      </c>
      <c r="T10" s="500">
        <f>P10</f>
        <v/>
      </c>
      <c r="U10" s="519">
        <f>Q10</f>
        <v/>
      </c>
      <c r="V10" s="92" t="n"/>
      <c r="W10" s="196">
        <f>H10-G10+1</f>
        <v/>
      </c>
      <c r="X10" s="92" t="n"/>
      <c r="Y10" s="206" t="n"/>
      <c r="Z10" s="206" t="n"/>
      <c r="AA10" s="206" t="n"/>
      <c r="AB10" s="94" t="n"/>
      <c r="AC10" s="206" t="n"/>
      <c r="AD10" s="206" t="n"/>
      <c r="AE10" s="206" t="n"/>
      <c r="AF10" s="206" t="n"/>
      <c r="AG10" s="94" t="n"/>
      <c r="AJ10" s="206" t="inlineStr">
        <is>
          <t>* 분실료, 파손료는 비과세로 혜택가(v+)기준으로 계산</t>
        </is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$C$43</f>
        <v/>
      </c>
      <c r="S11" s="516">
        <f>R11-T11-U11</f>
        <v/>
      </c>
      <c r="T11" s="500">
        <f>P11</f>
        <v/>
      </c>
      <c r="U11" s="519">
        <f>Q11</f>
        <v/>
      </c>
      <c r="V11" s="92" t="n"/>
      <c r="W11" s="196">
        <f>H11-G11+1</f>
        <v/>
      </c>
      <c r="X11" s="92" t="n"/>
      <c r="Y11" s="206" t="n"/>
      <c r="Z11" s="206" t="n"/>
      <c r="AA11" s="206" t="n"/>
      <c r="AB11" s="94" t="n"/>
      <c r="AC11" s="206" t="n"/>
      <c r="AD11" s="206" t="n"/>
      <c r="AE11" s="206" t="n"/>
      <c r="AF11" s="206" t="n"/>
      <c r="AG11" s="94" t="n"/>
      <c r="AJ11" s="9" t="inlineStr">
        <is>
          <t>분실료</t>
        </is>
      </c>
      <c r="AK11" s="9" t="inlineStr">
        <is>
          <t>파손료</t>
        </is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$C$43</f>
        <v/>
      </c>
      <c r="S12" s="516">
        <f>R12-T12-U12</f>
        <v/>
      </c>
      <c r="T12" s="500">
        <f>P12</f>
        <v/>
      </c>
      <c r="U12" s="519">
        <f>Q12</f>
        <v/>
      </c>
      <c r="V12" s="92" t="n"/>
      <c r="W12" s="196">
        <f>H12-G12+1</f>
        <v/>
      </c>
      <c r="X12" s="92" t="n"/>
      <c r="Y12" s="206" t="n"/>
      <c r="Z12" s="206" t="n"/>
      <c r="AA12" s="206" t="n"/>
      <c r="AB12" s="94" t="n"/>
      <c r="AC12" s="206" t="n"/>
      <c r="AD12" s="206" t="n"/>
      <c r="AE12" s="206" t="n"/>
      <c r="AF12" s="206" t="n"/>
      <c r="AG12" s="94" t="n"/>
      <c r="AJ12" s="507">
        <f>ROUNDDOWN((C10*1.1)*(C8-SUM(W5:W24))/C8,-1)</f>
        <v/>
      </c>
      <c r="AK12" s="506">
        <f>ROUNDDOWN(AJ12*50%,-1)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$C$43</f>
        <v/>
      </c>
      <c r="S13" s="516">
        <f>R13-T13-U13</f>
        <v/>
      </c>
      <c r="T13" s="500">
        <f>P13</f>
        <v/>
      </c>
      <c r="U13" s="519">
        <f>Q13</f>
        <v/>
      </c>
      <c r="V13" s="92" t="n"/>
      <c r="W13" s="196">
        <f>H13-G13+1</f>
        <v/>
      </c>
      <c r="X13" s="92" t="n"/>
      <c r="Y13" s="206" t="n"/>
      <c r="Z13" s="206" t="n"/>
      <c r="AA13" s="206" t="n"/>
      <c r="AB13" s="94" t="n"/>
      <c r="AC13" s="206" t="n"/>
      <c r="AD13" s="206" t="n"/>
      <c r="AE13" s="206" t="n"/>
      <c r="AF13" s="206" t="n"/>
      <c r="AG13" s="94" t="n"/>
      <c r="AJ13" s="517">
        <f>ROUNDDOWN((C10*1.1)*(H77-V24+1)/C8,-1)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$C$43</f>
        <v/>
      </c>
      <c r="S14" s="516">
        <f>R14-T14-U14</f>
        <v/>
      </c>
      <c r="T14" s="500">
        <f>P14</f>
        <v/>
      </c>
      <c r="U14" s="519">
        <f>Q14</f>
        <v/>
      </c>
      <c r="V14" s="92" t="n"/>
      <c r="W14" s="196">
        <f>H14-G14+1</f>
        <v/>
      </c>
      <c r="X14" s="92" t="n"/>
      <c r="Y14" s="206" t="n"/>
      <c r="Z14" s="206" t="n"/>
      <c r="AA14" s="206" t="n"/>
      <c r="AB14" s="94" t="n"/>
      <c r="AC14" s="206" t="n"/>
      <c r="AD14" s="206" t="n"/>
      <c r="AE14" s="206" t="n"/>
      <c r="AF14" s="206" t="n"/>
      <c r="AG14" s="94" t="n"/>
      <c r="AK14" s="517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$C$43</f>
        <v/>
      </c>
      <c r="S15" s="516">
        <f>R15-T15-U15</f>
        <v/>
      </c>
      <c r="T15" s="500">
        <f>P15</f>
        <v/>
      </c>
      <c r="U15" s="519">
        <f>Q15</f>
        <v/>
      </c>
      <c r="V15" s="92" t="n"/>
      <c r="W15" s="196">
        <f>H15-G15+1</f>
        <v/>
      </c>
      <c r="X15" s="92" t="n"/>
      <c r="Y15" s="206" t="n"/>
      <c r="Z15" s="206" t="n"/>
      <c r="AA15" s="206" t="n"/>
      <c r="AB15" s="94" t="n"/>
      <c r="AC15" s="206" t="n"/>
      <c r="AD15" s="206" t="n"/>
      <c r="AE15" s="206" t="n"/>
      <c r="AF15" s="206" t="n"/>
      <c r="AG15" s="94" t="n"/>
      <c r="AJ15" s="500" t="n"/>
      <c r="AK15" s="517" t="n"/>
    </row>
    <row r="16">
      <c r="B16" s="9" t="inlineStr">
        <is>
          <t>총구독료(v+)</t>
        </is>
      </c>
      <c r="C16" s="526" t="n">
        <v>12933360</v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$C$43</f>
        <v/>
      </c>
      <c r="S16" s="516">
        <f>R16-T16-U16</f>
        <v/>
      </c>
      <c r="T16" s="500">
        <f>P16</f>
        <v/>
      </c>
      <c r="U16" s="519">
        <f>Q16</f>
        <v/>
      </c>
      <c r="V16" s="92" t="n"/>
      <c r="W16" s="196">
        <f>H16-G16+1</f>
        <v/>
      </c>
      <c r="X16" s="92" t="n"/>
      <c r="Y16" s="206" t="n"/>
      <c r="Z16" s="206" t="n"/>
      <c r="AA16" s="206" t="n"/>
      <c r="AB16" s="94" t="n"/>
      <c r="AC16" s="206" t="n"/>
      <c r="AD16" s="206" t="n"/>
      <c r="AE16" s="206" t="n"/>
      <c r="AF16" s="206" t="n"/>
      <c r="AG16" s="94" t="n"/>
      <c r="AJ16" s="500" t="n"/>
    </row>
    <row r="17">
      <c r="B17" s="9" t="inlineStr">
        <is>
          <t>월구독료(v+)</t>
        </is>
      </c>
      <c r="C17" s="526" t="n">
        <v>179630</v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$C$43</f>
        <v/>
      </c>
      <c r="S17" s="516">
        <f>R17-T17-U17</f>
        <v/>
      </c>
      <c r="T17" s="500">
        <f>P17</f>
        <v/>
      </c>
      <c r="U17" s="519">
        <f>Q17</f>
        <v/>
      </c>
      <c r="V17" s="92" t="n"/>
      <c r="W17" s="196">
        <f>H17-G17+1</f>
        <v/>
      </c>
      <c r="X17" s="92" t="n"/>
      <c r="Y17" s="206" t="n"/>
      <c r="Z17" s="206" t="n"/>
      <c r="AA17" s="206" t="n"/>
      <c r="AB17" s="94" t="n"/>
      <c r="AC17" s="206" t="n"/>
      <c r="AD17" s="206" t="n"/>
      <c r="AE17" s="206" t="n"/>
      <c r="AF17" s="206" t="n"/>
      <c r="AG17" s="94" t="n"/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$C$43</f>
        <v/>
      </c>
      <c r="S18" s="516">
        <f>R18-T18-U18</f>
        <v/>
      </c>
      <c r="T18" s="500">
        <f>P18</f>
        <v/>
      </c>
      <c r="U18" s="519">
        <f>Q18</f>
        <v/>
      </c>
      <c r="V18" s="92" t="n"/>
      <c r="W18" s="196">
        <f>H18-G18+1</f>
        <v/>
      </c>
      <c r="X18" s="92" t="n"/>
      <c r="Y18" s="206" t="n"/>
      <c r="Z18" s="206" t="n"/>
      <c r="AA18" s="206" t="n"/>
      <c r="AB18" s="94" t="n"/>
      <c r="AC18" s="206" t="n"/>
      <c r="AD18" s="206" t="n"/>
      <c r="AE18" s="206" t="n"/>
      <c r="AF18" s="206" t="n"/>
      <c r="AG18" s="94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$C$43</f>
        <v/>
      </c>
      <c r="S19" s="516">
        <f>R19-T19-U19</f>
        <v/>
      </c>
      <c r="T19" s="500">
        <f>P19</f>
        <v/>
      </c>
      <c r="U19" s="519">
        <f>Q19</f>
        <v/>
      </c>
      <c r="V19" s="92" t="n"/>
      <c r="W19" s="196">
        <f>H19-G19+1</f>
        <v/>
      </c>
      <c r="X19" s="92" t="n"/>
      <c r="Y19" s="206" t="n"/>
      <c r="Z19" s="206" t="n"/>
      <c r="AA19" s="206" t="n"/>
      <c r="AB19" s="94" t="n"/>
      <c r="AC19" s="206" t="n"/>
      <c r="AD19" s="206" t="n"/>
      <c r="AE19" s="206" t="n"/>
      <c r="AF19" s="206" t="n"/>
      <c r="AG19" s="94" t="n"/>
    </row>
    <row r="20" ht="17.45" customHeight="1" s="497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L20</f>
        <v/>
      </c>
      <c r="Q20" s="519">
        <f>M20</f>
        <v/>
      </c>
      <c r="R20" s="515">
        <f>$C$43</f>
        <v/>
      </c>
      <c r="S20" s="516">
        <f>R20-T20-U20</f>
        <v/>
      </c>
      <c r="T20" s="500">
        <f>P20</f>
        <v/>
      </c>
      <c r="U20" s="519">
        <f>Q20</f>
        <v/>
      </c>
      <c r="V20" s="92" t="n"/>
      <c r="W20" s="196">
        <f>H20-G20+1</f>
        <v/>
      </c>
      <c r="X20" s="92" t="n"/>
      <c r="Y20" s="206" t="n"/>
      <c r="Z20" s="206" t="n"/>
      <c r="AA20" s="206" t="n"/>
      <c r="AB20" s="94" t="n"/>
      <c r="AC20" s="206" t="n"/>
      <c r="AD20" s="206" t="n"/>
      <c r="AE20" s="206" t="n"/>
      <c r="AF20" s="206" t="n"/>
      <c r="AG20" s="94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L21</f>
        <v/>
      </c>
      <c r="Q21" s="519">
        <f>M21</f>
        <v/>
      </c>
      <c r="R21" s="515">
        <f>$C$43</f>
        <v/>
      </c>
      <c r="S21" s="516">
        <f>R21-T21-U21</f>
        <v/>
      </c>
      <c r="T21" s="500">
        <f>P21</f>
        <v/>
      </c>
      <c r="U21" s="519">
        <f>Q21</f>
        <v/>
      </c>
      <c r="V21" s="92" t="n"/>
      <c r="W21" s="196">
        <f>H21-G21+1</f>
        <v/>
      </c>
      <c r="X21" s="92" t="n"/>
      <c r="Y21" s="206" t="n"/>
      <c r="Z21" s="206" t="n"/>
      <c r="AA21" s="206" t="n"/>
      <c r="AB21" s="94" t="n"/>
      <c r="AC21" s="206" t="n"/>
      <c r="AD21" s="206" t="n"/>
      <c r="AE21" s="206" t="n"/>
      <c r="AF21" s="206" t="n"/>
      <c r="AG21" s="94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D22" s="500" t="n"/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L22</f>
        <v/>
      </c>
      <c r="Q22" s="519">
        <f>M22</f>
        <v/>
      </c>
      <c r="R22" s="515">
        <f>$C$43</f>
        <v/>
      </c>
      <c r="S22" s="516">
        <f>R22-T22-U22</f>
        <v/>
      </c>
      <c r="T22" s="500">
        <f>P22</f>
        <v/>
      </c>
      <c r="U22" s="519">
        <f>Q22</f>
        <v/>
      </c>
      <c r="V22" s="92" t="n"/>
      <c r="W22" s="196">
        <f>H22-G22+1</f>
        <v/>
      </c>
      <c r="X22" s="629" t="n"/>
      <c r="Y22" s="206" t="n"/>
      <c r="Z22" s="206" t="n"/>
      <c r="AA22" s="206" t="n"/>
      <c r="AB22" s="94" t="n"/>
      <c r="AC22" s="206" t="n"/>
      <c r="AD22" s="206" t="n"/>
      <c r="AE22" s="206" t="n"/>
      <c r="AF22" s="206" t="n"/>
      <c r="AG22" s="94" t="n"/>
      <c r="AH22" s="517" t="n"/>
    </row>
    <row r="23">
      <c r="A23" s="176" t="n"/>
      <c r="B23" s="9" t="inlineStr">
        <is>
          <t>(계산용) 월 선납금(V+)</t>
        </is>
      </c>
      <c r="C23" s="506">
        <f>C22*1.1</f>
        <v/>
      </c>
      <c r="D23" s="500">
        <f>+C23*72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L23</f>
        <v/>
      </c>
      <c r="Q23" s="519">
        <f>M23</f>
        <v/>
      </c>
      <c r="R23" s="515">
        <f>$C$43</f>
        <v/>
      </c>
      <c r="S23" s="516">
        <f>R23-T23-U23</f>
        <v/>
      </c>
      <c r="T23" s="500">
        <f>P23</f>
        <v/>
      </c>
      <c r="U23" s="519">
        <f>Q23</f>
        <v/>
      </c>
      <c r="V23" s="92" t="n"/>
      <c r="W23" s="196">
        <f>H23-G23+1</f>
        <v/>
      </c>
      <c r="X23" s="92" t="inlineStr">
        <is>
          <t>* 위약금은 비과세로 총구독료(v+)기준으로 계산</t>
        </is>
      </c>
      <c r="Y23" s="206" t="n"/>
      <c r="Z23" s="206" t="n"/>
      <c r="AA23" s="206" t="n"/>
      <c r="AB23" s="94" t="n"/>
      <c r="AC23" s="206" t="n"/>
      <c r="AD23" s="206" t="n"/>
      <c r="AE23" s="206" t="n"/>
      <c r="AF23" s="206" t="n"/>
      <c r="AG23" s="94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L24</f>
        <v/>
      </c>
      <c r="Q24" s="635">
        <f>M24</f>
        <v/>
      </c>
      <c r="R24" s="630">
        <f>$C$43</f>
        <v/>
      </c>
      <c r="S24" s="631">
        <f>R24-T24-U24</f>
        <v/>
      </c>
      <c r="T24" s="634">
        <f>P24</f>
        <v/>
      </c>
      <c r="U24" s="635">
        <f>Q24</f>
        <v/>
      </c>
      <c r="V24" s="99" t="n">
        <v>46494</v>
      </c>
      <c r="W24" s="415">
        <f>V24-G24</f>
        <v/>
      </c>
      <c r="X24" s="636">
        <f>ROUNDDOWN(((C16)*(C8-SUM(W5:W24))/C8)*20%,-1)</f>
        <v/>
      </c>
      <c r="Y24" s="632">
        <f>ROUNDDOWN(R24*W24/DAY(H24),-2)</f>
        <v/>
      </c>
      <c r="Z24" s="654">
        <f>ROUNDDOWN((C30)*SUM(W5:W24)/C8,-2)+ROUNDDOWN((C42)*SUM(W5:W24)/C8,-2)</f>
        <v/>
      </c>
      <c r="AA24" s="655">
        <f>-ROUNDUP((C26*(C8-SUM(W5:W24))/C8),-2)</f>
        <v/>
      </c>
      <c r="AB24" s="638">
        <f>ROUNDDOWN(C48/1.1*SUM(W5:W24)/C8,-2)</f>
        <v/>
      </c>
      <c r="AC24" s="639">
        <f>X24</f>
        <v/>
      </c>
      <c r="AD24" s="632">
        <f>Y24*1.1</f>
        <v/>
      </c>
      <c r="AE24" s="632">
        <f>Z24*1.1</f>
        <v/>
      </c>
      <c r="AF24" s="637">
        <f>AA24*1.1</f>
        <v/>
      </c>
      <c r="AG24" s="638">
        <f>AB24*1.1</f>
        <v/>
      </c>
      <c r="AH24" s="206" t="inlineStr">
        <is>
          <t>* 위약금, 할인회수, 선납잔액 환불, 등록비 청구 기준: 일수비율</t>
        </is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515">
        <f>$C$43</f>
        <v/>
      </c>
      <c r="S25" s="516">
        <f>R25-T25-U25</f>
        <v/>
      </c>
      <c r="T25" s="500">
        <f>P25</f>
        <v/>
      </c>
      <c r="U25" s="519">
        <f>Q25</f>
        <v/>
      </c>
      <c r="V25" s="92" t="n"/>
      <c r="W25" s="196" t="inlineStr">
        <is>
          <t>* 사용일 기준: 제품판정일 전날까지 사용</t>
        </is>
      </c>
      <c r="X25" s="92" t="n"/>
      <c r="Y25" s="539" t="n"/>
      <c r="Z25" s="200" t="inlineStr">
        <is>
          <t>* 할인 개별 일할/단수조정 적용</t>
        </is>
      </c>
      <c r="AA25" s="206" t="n"/>
      <c r="AB25" s="94" t="n"/>
      <c r="AC25" s="206" t="inlineStr">
        <is>
          <t>* 비과세</t>
        </is>
      </c>
      <c r="AD25" s="539" t="n"/>
      <c r="AE25" s="206" t="n"/>
      <c r="AF25" s="206" t="n"/>
      <c r="AG25" s="94" t="n"/>
    </row>
    <row r="26">
      <c r="A26" s="176" t="n"/>
      <c r="B26" s="63" t="inlineStr">
        <is>
          <t>(최종) 선납금 (V-)</t>
        </is>
      </c>
      <c r="C26" s="506">
        <f>C22*C7</f>
        <v/>
      </c>
      <c r="D26" s="500">
        <f>C14-C25=C26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515">
        <f>$C$43</f>
        <v/>
      </c>
      <c r="S26" s="516">
        <f>R26-T26-U26</f>
        <v/>
      </c>
      <c r="T26" s="500">
        <f>P26</f>
        <v/>
      </c>
      <c r="U26" s="519">
        <f>Q26</f>
        <v/>
      </c>
      <c r="V26" s="92" t="n"/>
      <c r="W26" s="196" t="n"/>
      <c r="X26" s="92" t="n"/>
      <c r="Y26" s="206" t="n"/>
      <c r="Z26" s="206" t="n"/>
      <c r="AA26" s="206" t="n"/>
      <c r="AB26" s="94" t="n"/>
      <c r="AC26" s="206" t="n"/>
      <c r="AD26" s="206" t="n"/>
      <c r="AE26" s="206" t="n"/>
      <c r="AF26" s="206" t="n"/>
      <c r="AG26" s="94" t="n"/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515">
        <f>$C$43</f>
        <v/>
      </c>
      <c r="S27" s="516">
        <f>R27-T27-U27</f>
        <v/>
      </c>
      <c r="T27" s="500">
        <f>P27</f>
        <v/>
      </c>
      <c r="U27" s="519">
        <f>Q27</f>
        <v/>
      </c>
      <c r="V27" s="92" t="n"/>
      <c r="W27" s="196" t="n"/>
      <c r="X27" s="92" t="n"/>
      <c r="Y27" s="206" t="n"/>
      <c r="Z27" s="206" t="n"/>
      <c r="AA27" s="206" t="n"/>
      <c r="AB27" s="94" t="n"/>
      <c r="AC27" s="206" t="n"/>
      <c r="AD27" s="206" t="n"/>
      <c r="AE27" s="206" t="n"/>
      <c r="AF27" s="206" t="n"/>
      <c r="AG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515">
        <f>$C$43</f>
        <v/>
      </c>
      <c r="S28" s="516">
        <f>R28-T28-U28</f>
        <v/>
      </c>
      <c r="T28" s="500">
        <f>P28</f>
        <v/>
      </c>
      <c r="U28" s="519">
        <f>Q28</f>
        <v/>
      </c>
      <c r="V28" s="92" t="n"/>
      <c r="W28" s="196" t="n"/>
      <c r="X28" s="92" t="n"/>
      <c r="Y28" s="206" t="n"/>
      <c r="Z28" s="206" t="n"/>
      <c r="AA28" s="206" t="n"/>
      <c r="AB28" s="94" t="n"/>
      <c r="AC28" s="206" t="n"/>
      <c r="AD28" s="206" t="n"/>
      <c r="AE28" s="206" t="n"/>
      <c r="AF28" s="206" t="n"/>
      <c r="AG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515">
        <f>$C$43</f>
        <v/>
      </c>
      <c r="S29" s="516">
        <f>R29-T29-U29</f>
        <v/>
      </c>
      <c r="T29" s="500">
        <f>P29</f>
        <v/>
      </c>
      <c r="U29" s="519">
        <f>Q29</f>
        <v/>
      </c>
      <c r="V29" s="92" t="n"/>
      <c r="W29" s="196" t="n"/>
      <c r="X29" s="92" t="n"/>
      <c r="Y29" s="206" t="n"/>
      <c r="Z29" s="206" t="n"/>
      <c r="AA29" s="206" t="n"/>
      <c r="AB29" s="94" t="n"/>
      <c r="AC29" s="206" t="n"/>
      <c r="AD29" s="206" t="n"/>
      <c r="AE29" s="206" t="n"/>
      <c r="AF29" s="206" t="n"/>
      <c r="AG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515">
        <f>$C$43</f>
        <v/>
      </c>
      <c r="S30" s="516">
        <f>R30-T30-U30</f>
        <v/>
      </c>
      <c r="T30" s="500">
        <f>P30</f>
        <v/>
      </c>
      <c r="U30" s="519">
        <f>Q30</f>
        <v/>
      </c>
      <c r="V30" s="92" t="n"/>
      <c r="W30" s="196" t="n"/>
      <c r="X30" s="92" t="n"/>
      <c r="Y30" s="206" t="n"/>
      <c r="Z30" s="206" t="n"/>
      <c r="AA30" s="206" t="n"/>
      <c r="AB30" s="94" t="n"/>
      <c r="AC30" s="206" t="n"/>
      <c r="AD30" s="206" t="n"/>
      <c r="AE30" s="206" t="n"/>
      <c r="AF30" s="206" t="n"/>
      <c r="AG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515">
        <f>$C$43</f>
        <v/>
      </c>
      <c r="S31" s="516">
        <f>R31-T31-U31</f>
        <v/>
      </c>
      <c r="T31" s="500">
        <f>P31</f>
        <v/>
      </c>
      <c r="U31" s="519">
        <f>Q31</f>
        <v/>
      </c>
      <c r="V31" s="92" t="n"/>
      <c r="W31" s="196" t="n"/>
      <c r="X31" s="92" t="n"/>
      <c r="Y31" s="206" t="n"/>
      <c r="Z31" s="206" t="n"/>
      <c r="AA31" s="206" t="n"/>
      <c r="AB31" s="94" t="n"/>
      <c r="AC31" s="206" t="n"/>
      <c r="AD31" s="206" t="n"/>
      <c r="AE31" s="206" t="n"/>
      <c r="AF31" s="206" t="n"/>
      <c r="AG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515">
        <f>$C$43</f>
        <v/>
      </c>
      <c r="S32" s="516">
        <f>R32-T32-U32</f>
        <v/>
      </c>
      <c r="T32" s="500">
        <f>P32</f>
        <v/>
      </c>
      <c r="U32" s="519">
        <f>Q32</f>
        <v/>
      </c>
      <c r="V32" s="92" t="n"/>
      <c r="W32" s="196" t="n"/>
      <c r="X32" s="92" t="n"/>
      <c r="Y32" s="206" t="n"/>
      <c r="Z32" s="206" t="n"/>
      <c r="AA32" s="206" t="n"/>
      <c r="AB32" s="94" t="n"/>
      <c r="AC32" s="206" t="n"/>
      <c r="AD32" s="206" t="n"/>
      <c r="AE32" s="206" t="n"/>
      <c r="AF32" s="206" t="n"/>
      <c r="AG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515">
        <f>$C$43</f>
        <v/>
      </c>
      <c r="S33" s="516">
        <f>R33-T33-U33</f>
        <v/>
      </c>
      <c r="T33" s="500">
        <f>P33</f>
        <v/>
      </c>
      <c r="U33" s="519">
        <f>Q33</f>
        <v/>
      </c>
      <c r="V33" s="92" t="n"/>
      <c r="W33" s="196" t="n"/>
      <c r="X33" s="92" t="n"/>
      <c r="Y33" s="206" t="n"/>
      <c r="Z33" s="206" t="n"/>
      <c r="AA33" s="206" t="n"/>
      <c r="AB33" s="94" t="n"/>
      <c r="AC33" s="206" t="n"/>
      <c r="AD33" s="206" t="n"/>
      <c r="AE33" s="206" t="n"/>
      <c r="AF33" s="206" t="n"/>
      <c r="AG33" s="94" t="n"/>
    </row>
    <row r="34">
      <c r="B34" s="9" t="inlineStr">
        <is>
          <t>선납금+선납 할인 반영 순수 구독료 (V-)</t>
        </is>
      </c>
      <c r="C34" s="506">
        <f>C32-C11-C12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515">
        <f>$C$43</f>
        <v/>
      </c>
      <c r="S34" s="516">
        <f>R34-T34-U34</f>
        <v/>
      </c>
      <c r="T34" s="500">
        <f>P34</f>
        <v/>
      </c>
      <c r="U34" s="519">
        <f>Q34</f>
        <v/>
      </c>
      <c r="V34" s="92" t="n"/>
      <c r="W34" s="196" t="n"/>
      <c r="X34" s="92" t="n"/>
      <c r="Y34" s="206" t="n"/>
      <c r="Z34" s="206" t="n"/>
      <c r="AA34" s="206" t="n"/>
      <c r="AB34" s="94" t="n"/>
      <c r="AC34" s="206" t="n"/>
      <c r="AD34" s="206" t="n"/>
      <c r="AE34" s="206" t="n"/>
      <c r="AF34" s="206" t="n"/>
      <c r="AG34" s="94" t="n"/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515">
        <f>$C$43</f>
        <v/>
      </c>
      <c r="S35" s="516">
        <f>R35-T35-U35</f>
        <v/>
      </c>
      <c r="T35" s="500">
        <f>P35</f>
        <v/>
      </c>
      <c r="U35" s="519">
        <f>Q35</f>
        <v/>
      </c>
      <c r="V35" s="92" t="n"/>
      <c r="W35" s="196" t="n"/>
      <c r="X35" s="92" t="n"/>
      <c r="Y35" s="206" t="n"/>
      <c r="Z35" s="206" t="n"/>
      <c r="AA35" s="206" t="n"/>
      <c r="AB35" s="94" t="n"/>
      <c r="AC35" s="206" t="n"/>
      <c r="AD35" s="206" t="n"/>
      <c r="AE35" s="206" t="n"/>
      <c r="AF35" s="206" t="n"/>
      <c r="AG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515">
        <f>$C$43</f>
        <v/>
      </c>
      <c r="S36" s="516">
        <f>R36-T36-U36</f>
        <v/>
      </c>
      <c r="T36" s="500">
        <f>P36</f>
        <v/>
      </c>
      <c r="U36" s="519">
        <f>Q36</f>
        <v/>
      </c>
      <c r="V36" s="92" t="n"/>
      <c r="W36" s="196" t="n"/>
      <c r="X36" s="92" t="n"/>
      <c r="Y36" s="206" t="n"/>
      <c r="Z36" s="206" t="n"/>
      <c r="AA36" s="206" t="n"/>
      <c r="AB36" s="94" t="n"/>
      <c r="AC36" s="206" t="n"/>
      <c r="AD36" s="206" t="n"/>
      <c r="AE36" s="206" t="n"/>
      <c r="AF36" s="206" t="n"/>
      <c r="AG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515">
        <f>$C$43</f>
        <v/>
      </c>
      <c r="S37" s="516">
        <f>R37-T37-U37</f>
        <v/>
      </c>
      <c r="T37" s="500">
        <f>P37</f>
        <v/>
      </c>
      <c r="U37" s="519">
        <f>Q37</f>
        <v/>
      </c>
      <c r="V37" s="92" t="n"/>
      <c r="W37" s="196" t="n"/>
      <c r="X37" s="92" t="n"/>
      <c r="Y37" s="206" t="n"/>
      <c r="Z37" s="206" t="n"/>
      <c r="AA37" s="206" t="n"/>
      <c r="AB37" s="94" t="n"/>
      <c r="AC37" s="206" t="n"/>
      <c r="AD37" s="206" t="n"/>
      <c r="AE37" s="206" t="n"/>
      <c r="AF37" s="206" t="n"/>
      <c r="AG37" s="94" t="n"/>
    </row>
    <row r="38">
      <c r="B38" s="9" t="inlineStr">
        <is>
          <t>단품 할인율 % (예시)</t>
        </is>
      </c>
      <c r="C38" s="288" t="n">
        <v>0.05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515">
        <f>$C$43</f>
        <v/>
      </c>
      <c r="S38" s="516">
        <f>R38-T38-U38</f>
        <v/>
      </c>
      <c r="T38" s="500">
        <f>P38</f>
        <v/>
      </c>
      <c r="U38" s="519">
        <f>Q38</f>
        <v/>
      </c>
      <c r="V38" s="92" t="n"/>
      <c r="W38" s="196" t="n"/>
      <c r="X38" s="92" t="n"/>
      <c r="Y38" s="206" t="n"/>
      <c r="Z38" s="206" t="n"/>
      <c r="AA38" s="206" t="n"/>
      <c r="AB38" s="94" t="n"/>
      <c r="AC38" s="206" t="n"/>
      <c r="AD38" s="206" t="n"/>
      <c r="AE38" s="206" t="n"/>
      <c r="AF38" s="206" t="n"/>
      <c r="AG38" s="94" t="n"/>
    </row>
    <row r="39">
      <c r="B39" s="9" t="inlineStr">
        <is>
          <t>(계산용) 할인금(v-) (총구독료 v+ 기준)</t>
        </is>
      </c>
      <c r="C39" s="506">
        <f>C16*C38/1.1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515">
        <f>$C$43</f>
        <v/>
      </c>
      <c r="S39" s="516">
        <f>R39-T39-U39</f>
        <v/>
      </c>
      <c r="T39" s="500">
        <f>P39</f>
        <v/>
      </c>
      <c r="U39" s="519">
        <f>Q39</f>
        <v/>
      </c>
      <c r="V39" s="92" t="n"/>
      <c r="W39" s="196" t="n"/>
      <c r="X39" s="92" t="n"/>
      <c r="Y39" s="206" t="n"/>
      <c r="Z39" s="206" t="n"/>
      <c r="AA39" s="206" t="n"/>
      <c r="AB39" s="94" t="n"/>
      <c r="AC39" s="206" t="n"/>
      <c r="AD39" s="206" t="n"/>
      <c r="AE39" s="206" t="n"/>
      <c r="AF39" s="206" t="n"/>
      <c r="AG39" s="94" t="n"/>
    </row>
    <row r="40">
      <c r="B40" s="9" t="inlineStr">
        <is>
          <t>(계산용) 할인금 월할 (V-)</t>
        </is>
      </c>
      <c r="C40" s="506">
        <f>C39/C7</f>
        <v/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515">
        <f>$C$43</f>
        <v/>
      </c>
      <c r="S40" s="516">
        <f>R40-T40-U40</f>
        <v/>
      </c>
      <c r="T40" s="500">
        <f>P40</f>
        <v/>
      </c>
      <c r="U40" s="519">
        <f>Q40</f>
        <v/>
      </c>
      <c r="V40" s="92" t="n"/>
      <c r="W40" s="196" t="n"/>
      <c r="X40" s="92" t="n"/>
      <c r="Y40" s="206" t="n"/>
      <c r="Z40" s="206" t="n"/>
      <c r="AA40" s="206" t="n"/>
      <c r="AB40" s="94" t="n"/>
      <c r="AC40" s="206" t="n"/>
      <c r="AD40" s="206" t="n"/>
      <c r="AE40" s="206" t="n"/>
      <c r="AF40" s="206" t="n"/>
      <c r="AG40" s="94" t="n"/>
    </row>
    <row r="41">
      <c r="B41" s="9" t="inlineStr">
        <is>
          <t>(계산용) 할인금 월할 보정 (V-)</t>
        </is>
      </c>
      <c r="C41" s="506">
        <f>ROUNDUP(C40,-2)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515">
        <f>$C$43</f>
        <v/>
      </c>
      <c r="S41" s="516">
        <f>R41-T41-U41</f>
        <v/>
      </c>
      <c r="T41" s="500">
        <f>P41</f>
        <v/>
      </c>
      <c r="U41" s="519">
        <f>Q41</f>
        <v/>
      </c>
      <c r="V41" s="92" t="n"/>
      <c r="W41" s="196" t="n"/>
      <c r="X41" s="92" t="n"/>
      <c r="Y41" s="206" t="n"/>
      <c r="Z41" s="206" t="n"/>
      <c r="AA41" s="206" t="n"/>
      <c r="AB41" s="94" t="n"/>
      <c r="AC41" s="206" t="n"/>
      <c r="AD41" s="206" t="n"/>
      <c r="AE41" s="206" t="n"/>
      <c r="AF41" s="206" t="n"/>
      <c r="AG41" s="94" t="n"/>
    </row>
    <row r="42">
      <c r="B42" s="63" t="inlineStr">
        <is>
          <t>(최종) 할인금 (V-)</t>
        </is>
      </c>
      <c r="C42" s="506">
        <f>C41*C7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515">
        <f>$C$43</f>
        <v/>
      </c>
      <c r="S42" s="516">
        <f>R42-T42-U42</f>
        <v/>
      </c>
      <c r="T42" s="500">
        <f>P42</f>
        <v/>
      </c>
      <c r="U42" s="519">
        <f>Q42</f>
        <v/>
      </c>
      <c r="V42" s="92" t="n"/>
      <c r="W42" s="196" t="n"/>
      <c r="X42" s="92" t="n"/>
      <c r="Y42" s="206" t="n"/>
      <c r="Z42" s="206" t="n"/>
      <c r="AA42" s="206" t="n"/>
      <c r="AB42" s="94" t="n"/>
      <c r="AC42" s="206" t="n"/>
      <c r="AD42" s="206" t="n"/>
      <c r="AE42" s="206" t="n"/>
      <c r="AF42" s="206" t="n"/>
      <c r="AG42" s="94" t="n"/>
    </row>
    <row r="43">
      <c r="B43" s="184" t="inlineStr">
        <is>
          <t>(최종) 선납금+선납 할인+단품 할인 반영 월 구독료 (V-)</t>
        </is>
      </c>
      <c r="C43" s="506">
        <f>(C14-C26-C30-C42)/C7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515">
        <f>$C$43</f>
        <v/>
      </c>
      <c r="S43" s="516">
        <f>R43-T43-U43</f>
        <v/>
      </c>
      <c r="T43" s="500">
        <f>P43</f>
        <v/>
      </c>
      <c r="U43" s="519">
        <f>Q43</f>
        <v/>
      </c>
      <c r="V43" s="92" t="n"/>
      <c r="W43" s="196" t="n"/>
      <c r="X43" s="92" t="n"/>
      <c r="Y43" s="206" t="n"/>
      <c r="Z43" s="206" t="n"/>
      <c r="AA43" s="206" t="n"/>
      <c r="AB43" s="94" t="n"/>
      <c r="AC43" s="206" t="n"/>
      <c r="AD43" s="206" t="n"/>
      <c r="AE43" s="206" t="n"/>
      <c r="AF43" s="206" t="n"/>
      <c r="AG43" s="94" t="n"/>
    </row>
    <row r="44">
      <c r="B44" s="184" t="inlineStr">
        <is>
          <t>(최종) 선납금+선납 할인+단품 할인 반영 총 구독료 (V-)</t>
        </is>
      </c>
      <c r="C44" s="506">
        <f>C43*C7</f>
        <v/>
      </c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515">
        <f>$C$43</f>
        <v/>
      </c>
      <c r="S44" s="516">
        <f>R44-T44-U44</f>
        <v/>
      </c>
      <c r="T44" s="500">
        <f>P44</f>
        <v/>
      </c>
      <c r="U44" s="519">
        <f>Q44</f>
        <v/>
      </c>
      <c r="V44" s="92" t="n"/>
      <c r="W44" s="196" t="n"/>
      <c r="X44" s="92" t="n"/>
      <c r="Y44" s="206" t="n"/>
      <c r="Z44" s="206" t="n"/>
      <c r="AA44" s="206" t="n"/>
      <c r="AB44" s="94" t="n"/>
      <c r="AC44" s="206" t="n"/>
      <c r="AD44" s="206" t="n"/>
      <c r="AE44" s="206" t="n"/>
      <c r="AF44" s="206" t="n"/>
      <c r="AG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515">
        <f>$C$43</f>
        <v/>
      </c>
      <c r="S45" s="516">
        <f>R45-T45-U45</f>
        <v/>
      </c>
      <c r="T45" s="500">
        <f>P45</f>
        <v/>
      </c>
      <c r="U45" s="519">
        <f>Q45</f>
        <v/>
      </c>
      <c r="V45" s="92" t="n"/>
      <c r="W45" s="196" t="n"/>
      <c r="X45" s="92" t="n"/>
      <c r="Y45" s="206" t="n"/>
      <c r="Z45" s="206" t="n"/>
      <c r="AA45" s="206" t="n"/>
      <c r="AB45" s="94" t="n"/>
      <c r="AC45" s="206" t="n"/>
      <c r="AD45" s="206" t="n"/>
      <c r="AE45" s="206" t="n"/>
      <c r="AF45" s="206" t="n"/>
      <c r="AG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515">
        <f>$C$43</f>
        <v/>
      </c>
      <c r="S46" s="516">
        <f>R46-T46-U46</f>
        <v/>
      </c>
      <c r="T46" s="500">
        <f>P46</f>
        <v/>
      </c>
      <c r="U46" s="519">
        <f>Q46</f>
        <v/>
      </c>
      <c r="V46" s="92" t="n"/>
      <c r="W46" s="196" t="n"/>
      <c r="X46" s="92" t="n"/>
      <c r="Y46" s="206" t="n"/>
      <c r="Z46" s="206" t="n"/>
      <c r="AA46" s="206" t="n"/>
      <c r="AB46" s="94" t="n"/>
      <c r="AC46" s="206" t="n"/>
      <c r="AD46" s="206" t="n"/>
      <c r="AE46" s="206" t="n"/>
      <c r="AF46" s="206" t="n"/>
      <c r="AG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515">
        <f>$C$43</f>
        <v/>
      </c>
      <c r="S47" s="516">
        <f>R47-T47-U47</f>
        <v/>
      </c>
      <c r="T47" s="500">
        <f>P47</f>
        <v/>
      </c>
      <c r="U47" s="519">
        <f>Q47</f>
        <v/>
      </c>
      <c r="V47" s="92" t="n"/>
      <c r="W47" s="196" t="n"/>
      <c r="X47" s="92" t="n"/>
      <c r="Y47" s="206" t="n"/>
      <c r="Z47" s="206" t="n"/>
      <c r="AA47" s="206" t="n"/>
      <c r="AB47" s="94" t="n"/>
      <c r="AC47" s="206" t="n"/>
      <c r="AD47" s="206" t="n"/>
      <c r="AE47" s="206" t="n"/>
      <c r="AF47" s="206" t="n"/>
      <c r="AG47" s="94" t="n"/>
    </row>
    <row r="48">
      <c r="B48" s="256" t="inlineStr">
        <is>
          <t>등록비 (V+)</t>
        </is>
      </c>
      <c r="C48" s="526" t="n">
        <v>100000</v>
      </c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515">
        <f>$C$43</f>
        <v/>
      </c>
      <c r="S48" s="516">
        <f>R48-T48-U48</f>
        <v/>
      </c>
      <c r="T48" s="500">
        <f>P48</f>
        <v/>
      </c>
      <c r="U48" s="519">
        <f>Q48</f>
        <v/>
      </c>
      <c r="V48" s="92" t="n"/>
      <c r="W48" s="196" t="n"/>
      <c r="X48" s="92" t="n"/>
      <c r="Y48" s="206" t="n"/>
      <c r="Z48" s="206" t="n"/>
      <c r="AA48" s="206" t="n"/>
      <c r="AB48" s="94" t="n"/>
      <c r="AC48" s="206" t="n"/>
      <c r="AD48" s="206" t="n"/>
      <c r="AE48" s="206" t="n"/>
      <c r="AF48" s="206" t="n"/>
      <c r="AG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515">
        <f>$C$43</f>
        <v/>
      </c>
      <c r="S49" s="516">
        <f>R49-T49-U49</f>
        <v/>
      </c>
      <c r="T49" s="500">
        <f>P49</f>
        <v/>
      </c>
      <c r="U49" s="519">
        <f>Q49</f>
        <v/>
      </c>
      <c r="V49" s="92" t="n"/>
      <c r="W49" s="196" t="n"/>
      <c r="X49" s="92" t="n"/>
      <c r="Y49" s="206" t="n"/>
      <c r="Z49" s="206" t="n"/>
      <c r="AA49" s="206" t="n"/>
      <c r="AB49" s="94" t="n"/>
      <c r="AC49" s="206" t="n"/>
      <c r="AD49" s="206" t="n"/>
      <c r="AE49" s="206" t="n"/>
      <c r="AF49" s="206" t="n"/>
      <c r="AG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515">
        <f>$C$43</f>
        <v/>
      </c>
      <c r="S50" s="516">
        <f>R50-T50-U50</f>
        <v/>
      </c>
      <c r="T50" s="500">
        <f>P50</f>
        <v/>
      </c>
      <c r="U50" s="519">
        <f>Q50</f>
        <v/>
      </c>
      <c r="V50" s="92" t="n"/>
      <c r="W50" s="196" t="n"/>
      <c r="X50" s="92" t="n"/>
      <c r="Y50" s="206" t="n"/>
      <c r="Z50" s="206" t="n"/>
      <c r="AA50" s="206" t="n"/>
      <c r="AB50" s="94" t="n"/>
      <c r="AC50" s="206" t="n"/>
      <c r="AD50" s="206" t="n"/>
      <c r="AE50" s="206" t="n"/>
      <c r="AF50" s="206" t="n"/>
      <c r="AG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515">
        <f>$C$43</f>
        <v/>
      </c>
      <c r="S51" s="516">
        <f>R51-T51-U51</f>
        <v/>
      </c>
      <c r="T51" s="500">
        <f>P51</f>
        <v/>
      </c>
      <c r="U51" s="519">
        <f>Q51</f>
        <v/>
      </c>
      <c r="V51" s="92" t="n"/>
      <c r="W51" s="196" t="n"/>
      <c r="X51" s="92" t="n"/>
      <c r="Y51" s="206" t="n"/>
      <c r="Z51" s="206" t="n"/>
      <c r="AA51" s="206" t="n"/>
      <c r="AB51" s="94" t="n"/>
      <c r="AC51" s="206" t="n"/>
      <c r="AD51" s="206" t="n"/>
      <c r="AE51" s="206" t="n"/>
      <c r="AF51" s="206" t="n"/>
      <c r="AG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515">
        <f>$C$43</f>
        <v/>
      </c>
      <c r="S52" s="516">
        <f>R52-T52-U52</f>
        <v/>
      </c>
      <c r="T52" s="500">
        <f>P52</f>
        <v/>
      </c>
      <c r="U52" s="519">
        <f>Q52</f>
        <v/>
      </c>
      <c r="V52" s="92" t="n"/>
      <c r="W52" s="196" t="n"/>
      <c r="X52" s="92" t="n"/>
      <c r="Y52" s="206" t="n"/>
      <c r="Z52" s="206" t="n"/>
      <c r="AA52" s="206" t="n"/>
      <c r="AB52" s="94" t="n"/>
      <c r="AC52" s="206" t="n"/>
      <c r="AD52" s="206" t="n"/>
      <c r="AE52" s="206" t="n"/>
      <c r="AF52" s="206" t="n"/>
      <c r="AG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515">
        <f>$C$43</f>
        <v/>
      </c>
      <c r="S53" s="516">
        <f>R53-T53-U53</f>
        <v/>
      </c>
      <c r="T53" s="500">
        <f>P53</f>
        <v/>
      </c>
      <c r="U53" s="519">
        <f>Q53</f>
        <v/>
      </c>
      <c r="V53" s="92" t="n"/>
      <c r="W53" s="196" t="n"/>
      <c r="X53" s="92" t="n"/>
      <c r="Y53" s="206" t="n"/>
      <c r="Z53" s="206" t="n"/>
      <c r="AA53" s="206" t="n"/>
      <c r="AB53" s="94" t="n"/>
      <c r="AC53" s="206" t="n"/>
      <c r="AD53" s="206" t="n"/>
      <c r="AE53" s="206" t="n"/>
      <c r="AF53" s="206" t="n"/>
      <c r="AG53" s="94" t="n"/>
    </row>
    <row r="54">
      <c r="C54" s="500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515">
        <f>$C$43</f>
        <v/>
      </c>
      <c r="S54" s="516">
        <f>R54-T54-U54</f>
        <v/>
      </c>
      <c r="T54" s="500">
        <f>P54</f>
        <v/>
      </c>
      <c r="U54" s="519">
        <f>Q54</f>
        <v/>
      </c>
      <c r="V54" s="92" t="n"/>
      <c r="W54" s="196" t="n"/>
      <c r="X54" s="92" t="n"/>
      <c r="Y54" s="206" t="n"/>
      <c r="Z54" s="206" t="n"/>
      <c r="AA54" s="206" t="n"/>
      <c r="AB54" s="94" t="n"/>
      <c r="AC54" s="206" t="n"/>
      <c r="AD54" s="206" t="n"/>
      <c r="AE54" s="206" t="n"/>
      <c r="AF54" s="206" t="n"/>
      <c r="AG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515">
        <f>$C$43</f>
        <v/>
      </c>
      <c r="S55" s="516">
        <f>R55-T55-U55</f>
        <v/>
      </c>
      <c r="T55" s="500">
        <f>P55</f>
        <v/>
      </c>
      <c r="U55" s="519">
        <f>Q55</f>
        <v/>
      </c>
      <c r="V55" s="92" t="n"/>
      <c r="W55" s="196" t="n"/>
      <c r="X55" s="92" t="n"/>
      <c r="Y55" s="206" t="n"/>
      <c r="Z55" s="206" t="n"/>
      <c r="AA55" s="206" t="n"/>
      <c r="AB55" s="94" t="n"/>
      <c r="AC55" s="206" t="n"/>
      <c r="AD55" s="206" t="n"/>
      <c r="AE55" s="206" t="n"/>
      <c r="AF55" s="206" t="n"/>
      <c r="AG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515">
        <f>$C$43</f>
        <v/>
      </c>
      <c r="S56" s="516">
        <f>R56-T56-U56</f>
        <v/>
      </c>
      <c r="T56" s="500">
        <f>P56</f>
        <v/>
      </c>
      <c r="U56" s="519">
        <f>Q56</f>
        <v/>
      </c>
      <c r="V56" s="92" t="n"/>
      <c r="W56" s="196" t="n"/>
      <c r="X56" s="92" t="n"/>
      <c r="Y56" s="206" t="n"/>
      <c r="Z56" s="206" t="n"/>
      <c r="AA56" s="206" t="n"/>
      <c r="AB56" s="94" t="n"/>
      <c r="AC56" s="206" t="n"/>
      <c r="AD56" s="206" t="n"/>
      <c r="AE56" s="206" t="n"/>
      <c r="AF56" s="206" t="n"/>
      <c r="AG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515">
        <f>$C$43</f>
        <v/>
      </c>
      <c r="S57" s="516">
        <f>R57-T57-U57</f>
        <v/>
      </c>
      <c r="T57" s="500">
        <f>P57</f>
        <v/>
      </c>
      <c r="U57" s="519">
        <f>Q57</f>
        <v/>
      </c>
      <c r="V57" s="92" t="n"/>
      <c r="W57" s="196" t="n"/>
      <c r="X57" s="92" t="n"/>
      <c r="Y57" s="206" t="n"/>
      <c r="Z57" s="206" t="n"/>
      <c r="AA57" s="206" t="n"/>
      <c r="AB57" s="94" t="n"/>
      <c r="AC57" s="206" t="n"/>
      <c r="AD57" s="206" t="n"/>
      <c r="AE57" s="206" t="n"/>
      <c r="AF57" s="206" t="n"/>
      <c r="AG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515">
        <f>$C$43</f>
        <v/>
      </c>
      <c r="S58" s="516">
        <f>R58-T58-U58</f>
        <v/>
      </c>
      <c r="T58" s="500">
        <f>P58</f>
        <v/>
      </c>
      <c r="U58" s="519">
        <f>Q58</f>
        <v/>
      </c>
      <c r="V58" s="92" t="n"/>
      <c r="W58" s="196" t="n"/>
      <c r="X58" s="92" t="n"/>
      <c r="Y58" s="206" t="n"/>
      <c r="Z58" s="206" t="n"/>
      <c r="AA58" s="206" t="n"/>
      <c r="AB58" s="94" t="n"/>
      <c r="AC58" s="206" t="n"/>
      <c r="AD58" s="206" t="n"/>
      <c r="AE58" s="206" t="n"/>
      <c r="AF58" s="206" t="n"/>
      <c r="AG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515">
        <f>$C$43</f>
        <v/>
      </c>
      <c r="S59" s="516">
        <f>R59-T59-U59</f>
        <v/>
      </c>
      <c r="T59" s="500">
        <f>P59</f>
        <v/>
      </c>
      <c r="U59" s="519">
        <f>Q59</f>
        <v/>
      </c>
      <c r="V59" s="92" t="n"/>
      <c r="W59" s="196" t="n"/>
      <c r="X59" s="92" t="n"/>
      <c r="Y59" s="206" t="n"/>
      <c r="Z59" s="206" t="n"/>
      <c r="AA59" s="206" t="n"/>
      <c r="AB59" s="94" t="n"/>
      <c r="AC59" s="206" t="n"/>
      <c r="AD59" s="206" t="n"/>
      <c r="AE59" s="206" t="n"/>
      <c r="AF59" s="206" t="n"/>
      <c r="AG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L60</f>
        <v/>
      </c>
      <c r="Q60" s="519">
        <f>M60</f>
        <v/>
      </c>
      <c r="R60" s="515">
        <f>$C$43</f>
        <v/>
      </c>
      <c r="S60" s="516">
        <f>R60-T60-U60</f>
        <v/>
      </c>
      <c r="T60" s="500">
        <f>P60</f>
        <v/>
      </c>
      <c r="U60" s="519">
        <f>Q60</f>
        <v/>
      </c>
      <c r="V60" s="92" t="n"/>
      <c r="W60" s="196" t="n"/>
      <c r="X60" s="92" t="n"/>
      <c r="Y60" s="206" t="n"/>
      <c r="Z60" s="206" t="n"/>
      <c r="AA60" s="206" t="n"/>
      <c r="AB60" s="94" t="n"/>
      <c r="AC60" s="206" t="n"/>
      <c r="AD60" s="206" t="n"/>
      <c r="AE60" s="206" t="n"/>
      <c r="AF60" s="206" t="n"/>
      <c r="AG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515">
        <f>$C$43</f>
        <v/>
      </c>
      <c r="S61" s="516">
        <f>R61-T61-U61</f>
        <v/>
      </c>
      <c r="T61" s="500">
        <f>P61</f>
        <v/>
      </c>
      <c r="U61" s="519">
        <f>Q61</f>
        <v/>
      </c>
      <c r="V61" s="92" t="n"/>
      <c r="W61" s="196" t="n"/>
      <c r="X61" s="92" t="n"/>
      <c r="Y61" s="206" t="n"/>
      <c r="Z61" s="206" t="n"/>
      <c r="AA61" s="206" t="n"/>
      <c r="AB61" s="94" t="n"/>
      <c r="AC61" s="206" t="n"/>
      <c r="AD61" s="206" t="n"/>
      <c r="AE61" s="206" t="n"/>
      <c r="AF61" s="206" t="n"/>
      <c r="AG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515">
        <f>$C$43</f>
        <v/>
      </c>
      <c r="S62" s="516">
        <f>R62-T62-U62</f>
        <v/>
      </c>
      <c r="T62" s="500">
        <f>P62</f>
        <v/>
      </c>
      <c r="U62" s="519">
        <f>Q62</f>
        <v/>
      </c>
      <c r="V62" s="92" t="n"/>
      <c r="W62" s="196" t="n"/>
      <c r="X62" s="92" t="n"/>
      <c r="Y62" s="206" t="n"/>
      <c r="Z62" s="206" t="n"/>
      <c r="AA62" s="206" t="n"/>
      <c r="AB62" s="94" t="n"/>
      <c r="AC62" s="206" t="n"/>
      <c r="AD62" s="206" t="n"/>
      <c r="AE62" s="206" t="n"/>
      <c r="AF62" s="206" t="n"/>
      <c r="AG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515">
        <f>$C$43</f>
        <v/>
      </c>
      <c r="S63" s="516">
        <f>R63-T63-U63</f>
        <v/>
      </c>
      <c r="T63" s="500">
        <f>P63</f>
        <v/>
      </c>
      <c r="U63" s="519">
        <f>Q63</f>
        <v/>
      </c>
      <c r="V63" s="92" t="n"/>
      <c r="W63" s="196" t="n"/>
      <c r="X63" s="92" t="n"/>
      <c r="Y63" s="206" t="n"/>
      <c r="Z63" s="206" t="n"/>
      <c r="AA63" s="206" t="n"/>
      <c r="AB63" s="94" t="n"/>
      <c r="AC63" s="206" t="n"/>
      <c r="AD63" s="206" t="n"/>
      <c r="AE63" s="206" t="n"/>
      <c r="AF63" s="206" t="n"/>
      <c r="AG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515">
        <f>$C$43</f>
        <v/>
      </c>
      <c r="S64" s="516">
        <f>R64-T64-U64</f>
        <v/>
      </c>
      <c r="T64" s="500">
        <f>P64</f>
        <v/>
      </c>
      <c r="U64" s="519">
        <f>Q64</f>
        <v/>
      </c>
      <c r="V64" s="92" t="n"/>
      <c r="W64" s="196" t="n"/>
      <c r="X64" s="92" t="n"/>
      <c r="Y64" s="206" t="n"/>
      <c r="Z64" s="206" t="n"/>
      <c r="AA64" s="206" t="n"/>
      <c r="AB64" s="94" t="n"/>
      <c r="AC64" s="206" t="n"/>
      <c r="AD64" s="206" t="n"/>
      <c r="AE64" s="206" t="n"/>
      <c r="AF64" s="206" t="n"/>
      <c r="AG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515">
        <f>$C$43</f>
        <v/>
      </c>
      <c r="S65" s="516">
        <f>R65-T65-U65</f>
        <v/>
      </c>
      <c r="T65" s="500">
        <f>P65</f>
        <v/>
      </c>
      <c r="U65" s="519">
        <f>Q65</f>
        <v/>
      </c>
      <c r="V65" s="92" t="n"/>
      <c r="W65" s="196" t="n"/>
      <c r="X65" s="92" t="n"/>
      <c r="Y65" s="206" t="n"/>
      <c r="Z65" s="206" t="n"/>
      <c r="AA65" s="206" t="n"/>
      <c r="AB65" s="94" t="n"/>
      <c r="AC65" s="206" t="n"/>
      <c r="AD65" s="206" t="n"/>
      <c r="AE65" s="206" t="n"/>
      <c r="AF65" s="206" t="n"/>
      <c r="AG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515">
        <f>$C$43</f>
        <v/>
      </c>
      <c r="S66" s="516">
        <f>R66-T66-U66</f>
        <v/>
      </c>
      <c r="T66" s="500">
        <f>P66</f>
        <v/>
      </c>
      <c r="U66" s="519">
        <f>Q66</f>
        <v/>
      </c>
      <c r="V66" s="92" t="n"/>
      <c r="W66" s="196" t="n"/>
      <c r="X66" s="92" t="n"/>
      <c r="Y66" s="206" t="n"/>
      <c r="Z66" s="206" t="n"/>
      <c r="AA66" s="206" t="n"/>
      <c r="AB66" s="94" t="n"/>
      <c r="AC66" s="206" t="n"/>
      <c r="AD66" s="206" t="n"/>
      <c r="AE66" s="206" t="n"/>
      <c r="AF66" s="206" t="n"/>
      <c r="AG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515">
        <f>$C$43</f>
        <v/>
      </c>
      <c r="S67" s="516">
        <f>R67-T67-U67</f>
        <v/>
      </c>
      <c r="T67" s="500">
        <f>P67</f>
        <v/>
      </c>
      <c r="U67" s="519">
        <f>Q67</f>
        <v/>
      </c>
      <c r="V67" s="92" t="n"/>
      <c r="W67" s="196" t="n"/>
      <c r="X67" s="92" t="n"/>
      <c r="Y67" s="206" t="n"/>
      <c r="Z67" s="206" t="n"/>
      <c r="AA67" s="206" t="n"/>
      <c r="AB67" s="94" t="n"/>
      <c r="AC67" s="206" t="n"/>
      <c r="AD67" s="206" t="n"/>
      <c r="AE67" s="206" t="n"/>
      <c r="AF67" s="206" t="n"/>
      <c r="AG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515">
        <f>$C$43</f>
        <v/>
      </c>
      <c r="S68" s="516">
        <f>R68-T68-U68</f>
        <v/>
      </c>
      <c r="T68" s="500">
        <f>P68</f>
        <v/>
      </c>
      <c r="U68" s="519">
        <f>Q68</f>
        <v/>
      </c>
      <c r="V68" s="92" t="n"/>
      <c r="W68" s="196" t="n"/>
      <c r="X68" s="92" t="n"/>
      <c r="Y68" s="206" t="n"/>
      <c r="Z68" s="206" t="n"/>
      <c r="AA68" s="206" t="n"/>
      <c r="AB68" s="94" t="n"/>
      <c r="AC68" s="206" t="n"/>
      <c r="AD68" s="206" t="n"/>
      <c r="AE68" s="206" t="n"/>
      <c r="AF68" s="206" t="n"/>
      <c r="AG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515">
        <f>$C$43</f>
        <v/>
      </c>
      <c r="S69" s="516">
        <f>R69-T69-U69</f>
        <v/>
      </c>
      <c r="T69" s="500">
        <f>P69</f>
        <v/>
      </c>
      <c r="U69" s="519">
        <f>Q69</f>
        <v/>
      </c>
      <c r="V69" s="92" t="n"/>
      <c r="W69" s="196" t="n"/>
      <c r="X69" s="92" t="n"/>
      <c r="Y69" s="206" t="n"/>
      <c r="Z69" s="206" t="n"/>
      <c r="AA69" s="206" t="n"/>
      <c r="AB69" s="94" t="n"/>
      <c r="AC69" s="206" t="n"/>
      <c r="AD69" s="206" t="n"/>
      <c r="AE69" s="206" t="n"/>
      <c r="AF69" s="206" t="n"/>
      <c r="AG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515">
        <f>$C$43</f>
        <v/>
      </c>
      <c r="S70" s="516">
        <f>R70-T70-U70</f>
        <v/>
      </c>
      <c r="T70" s="500">
        <f>P70</f>
        <v/>
      </c>
      <c r="U70" s="519">
        <f>Q70</f>
        <v/>
      </c>
      <c r="V70" s="92" t="n"/>
      <c r="W70" s="196" t="n"/>
      <c r="X70" s="92" t="n"/>
      <c r="Y70" s="206" t="n"/>
      <c r="Z70" s="206" t="n"/>
      <c r="AA70" s="206" t="n"/>
      <c r="AB70" s="94" t="n"/>
      <c r="AC70" s="206" t="n"/>
      <c r="AD70" s="206" t="n"/>
      <c r="AE70" s="206" t="n"/>
      <c r="AF70" s="206" t="n"/>
      <c r="AG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515">
        <f>$C$43</f>
        <v/>
      </c>
      <c r="S71" s="516">
        <f>R71-T71-U71</f>
        <v/>
      </c>
      <c r="T71" s="500">
        <f>P71</f>
        <v/>
      </c>
      <c r="U71" s="519">
        <f>Q71</f>
        <v/>
      </c>
      <c r="V71" s="92" t="n"/>
      <c r="W71" s="196" t="n"/>
      <c r="X71" s="92" t="n"/>
      <c r="Y71" s="206" t="n"/>
      <c r="Z71" s="206" t="n"/>
      <c r="AA71" s="206" t="n"/>
      <c r="AB71" s="94" t="n"/>
      <c r="AC71" s="206" t="n"/>
      <c r="AD71" s="206" t="n"/>
      <c r="AE71" s="206" t="n"/>
      <c r="AF71" s="206" t="n"/>
      <c r="AG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515">
        <f>$C$43</f>
        <v/>
      </c>
      <c r="S72" s="516">
        <f>R72-T72-U72</f>
        <v/>
      </c>
      <c r="T72" s="500">
        <f>P72</f>
        <v/>
      </c>
      <c r="U72" s="519">
        <f>Q72</f>
        <v/>
      </c>
      <c r="V72" s="92" t="n"/>
      <c r="W72" s="196" t="n"/>
      <c r="X72" s="92" t="n"/>
      <c r="Y72" s="206" t="n"/>
      <c r="Z72" s="206" t="n"/>
      <c r="AA72" s="206" t="n"/>
      <c r="AB72" s="94" t="n"/>
      <c r="AC72" s="206" t="n"/>
      <c r="AD72" s="206" t="n"/>
      <c r="AE72" s="206" t="n"/>
      <c r="AF72" s="206" t="n"/>
      <c r="AG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515">
        <f>$C$43</f>
        <v/>
      </c>
      <c r="S73" s="516">
        <f>R73-T73-U73</f>
        <v/>
      </c>
      <c r="T73" s="500">
        <f>P73</f>
        <v/>
      </c>
      <c r="U73" s="519">
        <f>Q73</f>
        <v/>
      </c>
      <c r="V73" s="92" t="n"/>
      <c r="W73" s="196" t="n"/>
      <c r="X73" s="92" t="n"/>
      <c r="Y73" s="206" t="n"/>
      <c r="Z73" s="206" t="n"/>
      <c r="AA73" s="206" t="n"/>
      <c r="AB73" s="94" t="n"/>
      <c r="AC73" s="206" t="n"/>
      <c r="AD73" s="206" t="n"/>
      <c r="AE73" s="206" t="n"/>
      <c r="AF73" s="206" t="n"/>
      <c r="AG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515">
        <f>$C$43</f>
        <v/>
      </c>
      <c r="S74" s="516">
        <f>R74-T74-U74</f>
        <v/>
      </c>
      <c r="T74" s="500">
        <f>P74</f>
        <v/>
      </c>
      <c r="U74" s="519">
        <f>Q74</f>
        <v/>
      </c>
      <c r="V74" s="92" t="n"/>
      <c r="W74" s="196" t="n"/>
      <c r="X74" s="92" t="n"/>
      <c r="Y74" s="206" t="n"/>
      <c r="Z74" s="206" t="n"/>
      <c r="AA74" s="206" t="n"/>
      <c r="AB74" s="94" t="n"/>
      <c r="AC74" s="206" t="n"/>
      <c r="AD74" s="206" t="n"/>
      <c r="AE74" s="206" t="n"/>
      <c r="AF74" s="206" t="n"/>
      <c r="AG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515">
        <f>$C$43</f>
        <v/>
      </c>
      <c r="S75" s="516">
        <f>R75-T75-U75</f>
        <v/>
      </c>
      <c r="T75" s="500">
        <f>P75</f>
        <v/>
      </c>
      <c r="U75" s="519">
        <f>Q75</f>
        <v/>
      </c>
      <c r="V75" s="92" t="n"/>
      <c r="W75" s="196" t="n"/>
      <c r="X75" s="92" t="n"/>
      <c r="Y75" s="206" t="n"/>
      <c r="Z75" s="206" t="n"/>
      <c r="AA75" s="206" t="n"/>
      <c r="AB75" s="94" t="n"/>
      <c r="AC75" s="206" t="n"/>
      <c r="AD75" s="206" t="n"/>
      <c r="AE75" s="206" t="n"/>
      <c r="AF75" s="206" t="n"/>
      <c r="AG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515">
        <f>$C$43</f>
        <v/>
      </c>
      <c r="S76" s="516">
        <f>R76-T76-U76</f>
        <v/>
      </c>
      <c r="T76" s="500">
        <f>P76</f>
        <v/>
      </c>
      <c r="U76" s="519">
        <f>Q76</f>
        <v/>
      </c>
      <c r="V76" s="92" t="n"/>
      <c r="W76" s="196" t="n"/>
      <c r="X76" s="92" t="n"/>
      <c r="Y76" s="206" t="n"/>
      <c r="Z76" s="206" t="n"/>
      <c r="AA76" s="206" t="n"/>
      <c r="AB76" s="94" t="n"/>
      <c r="AC76" s="206" t="n"/>
      <c r="AD76" s="206" t="n"/>
      <c r="AE76" s="206" t="n"/>
      <c r="AF76" s="206" t="n"/>
      <c r="AG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81">
        <f>$C$43-R5</f>
        <v/>
      </c>
      <c r="S77" s="588">
        <f>R77-T77-U77</f>
        <v/>
      </c>
      <c r="T77" s="589">
        <f>P77</f>
        <v/>
      </c>
      <c r="U77" s="642">
        <f>Q77</f>
        <v/>
      </c>
      <c r="V77" s="59" t="n"/>
      <c r="W77" s="12" t="n"/>
      <c r="X77" s="59" t="n"/>
      <c r="Y77" s="95" t="n"/>
      <c r="Z77" s="95" t="n"/>
      <c r="AA77" s="95" t="n"/>
      <c r="AB77" s="97" t="n"/>
      <c r="AC77" s="95" t="n"/>
      <c r="AD77" s="95" t="n"/>
      <c r="AE77" s="95" t="n"/>
      <c r="AF77" s="95" t="n"/>
      <c r="AG77" s="97" t="n"/>
    </row>
    <row r="78">
      <c r="O78" s="500" t="n"/>
      <c r="S78" s="500" t="n"/>
    </row>
  </sheetData>
  <pageMargins left="0.7" right="0.7" top="0.75" bottom="0.75" header="0.3" footer="0.3"/>
  <pageSetup orientation="portrait" paperSize="9"/>
</worksheet>
</file>

<file path=xl/worksheets/sheet30.xml><?xml version="1.0" encoding="utf-8"?>
<worksheet xmlns="http://schemas.openxmlformats.org/spreadsheetml/2006/main">
  <sheetPr>
    <tabColor rgb="00A6A6A6"/>
    <outlinePr summaryBelow="1" summaryRight="1"/>
    <pageSetUpPr/>
  </sheetPr>
  <dimension ref="A2:AM78"/>
  <sheetViews>
    <sheetView showGridLines="0" zoomScale="70" zoomScaleNormal="70" workbookViewId="0">
      <selection activeCell="C48" sqref="C48"/>
    </sheetView>
  </sheetViews>
  <sheetFormatPr baseColWidth="8" defaultRowHeight="16.9"/>
  <cols>
    <col width="8" customWidth="1" style="497" min="1" max="1"/>
    <col width="44.375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customWidth="1" style="185" min="6" max="6"/>
    <col width="11.125" customWidth="1" style="185" min="7" max="9"/>
    <col width="13.375" customWidth="1" style="497" min="10" max="11"/>
    <col width="12.125" customWidth="1" style="497" min="12" max="12"/>
    <col width="10.5" customWidth="1" style="497" min="13" max="13"/>
    <col hidden="1" width="12.125" customWidth="1" style="497" min="14" max="16"/>
    <col hidden="1" width="10.5" customWidth="1" style="497" min="17" max="17"/>
    <col width="15.875" customWidth="1" style="497" min="18" max="19"/>
    <col width="11.6875" bestFit="1" customWidth="1" style="497" min="20" max="20"/>
    <col width="10.1875" bestFit="1" customWidth="1" style="497" min="21" max="21"/>
    <col width="11.1875" bestFit="1" customWidth="1" style="497" min="22" max="22"/>
    <col width="9.1875" customWidth="1" style="497" min="23" max="23"/>
    <col width="16.5" customWidth="1" style="497" min="24" max="28"/>
    <col outlineLevel="1" width="14" customWidth="1" style="497" min="29" max="33"/>
    <col width="13.625" customWidth="1" style="497" min="36" max="36"/>
    <col width="11.6875" bestFit="1" customWidth="1" style="497" min="37" max="37"/>
    <col width="6.375" bestFit="1" customWidth="1" style="497" min="38" max="38"/>
    <col width="5.625" bestFit="1" customWidth="1" style="497" min="39" max="39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선납+선납할인+단품+결합할인 시 (v-)</t>
        </is>
      </c>
      <c r="S3" s="76" t="n"/>
      <c r="T3" s="76" t="n"/>
      <c r="U3" s="76" t="n"/>
      <c r="V3" s="75" t="inlineStr">
        <is>
          <t>중도해지 시 (v-)</t>
        </is>
      </c>
      <c r="W3" s="70" t="n"/>
      <c r="X3" s="254" t="n"/>
      <c r="Y3" s="254" t="n"/>
      <c r="Z3" s="254" t="n"/>
      <c r="AA3" s="255" t="n"/>
      <c r="AB3" s="254" t="n"/>
      <c r="AC3" s="75" t="inlineStr">
        <is>
          <t>중도해지 시 (v+)</t>
        </is>
      </c>
      <c r="AD3" s="70" t="n"/>
      <c r="AE3" s="70" t="n"/>
      <c r="AF3" s="70" t="n"/>
      <c r="AG3" s="71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26" t="inlineStr">
        <is>
          <t>제품판정일</t>
        </is>
      </c>
      <c r="W4" s="9" t="inlineStr">
        <is>
          <t>경과일</t>
        </is>
      </c>
      <c r="X4" s="26" t="inlineStr">
        <is>
          <t>위약금</t>
        </is>
      </c>
      <c r="Y4" s="15" t="inlineStr">
        <is>
          <t>사용분 청구</t>
        </is>
      </c>
      <c r="Z4" s="15" t="inlineStr">
        <is>
          <t>할인금 회수</t>
        </is>
      </c>
      <c r="AA4" s="15" t="inlineStr">
        <is>
          <t>선납잔액 환불</t>
        </is>
      </c>
      <c r="AB4" s="27" t="inlineStr">
        <is>
          <t>등록비 청구</t>
        </is>
      </c>
      <c r="AC4" s="15" t="inlineStr">
        <is>
          <t>위약금</t>
        </is>
      </c>
      <c r="AD4" s="15" t="inlineStr">
        <is>
          <t>사용분 청구</t>
        </is>
      </c>
      <c r="AE4" s="15" t="inlineStr">
        <is>
          <t>할인금 회수</t>
        </is>
      </c>
      <c r="AF4" s="15" t="inlineStr">
        <is>
          <t>선납잔액 환불</t>
        </is>
      </c>
      <c r="AG4" s="27" t="inlineStr">
        <is>
          <t>등록비</t>
        </is>
      </c>
      <c r="AJ4" s="273" t="inlineStr">
        <is>
          <t>사용분 청구 (v-)</t>
        </is>
      </c>
      <c r="AK4" s="274" t="n"/>
      <c r="AL4" s="274" t="n"/>
      <c r="AM4" s="124" t="n"/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08">
        <f>ROUNDDOWN(($C$34/$C$7)*(H5-G5+1)/DAY(H5),-2)</f>
        <v/>
      </c>
      <c r="O5" s="509">
        <f>N5-P5-Q5</f>
        <v/>
      </c>
      <c r="P5" s="512">
        <f>L5</f>
        <v/>
      </c>
      <c r="Q5" s="513">
        <f>M5</f>
        <v/>
      </c>
      <c r="R5" s="508">
        <f>ROUNDDOWN(($C$58/$C$7)*($H5-$G5+1)/DAY($H5),-2)</f>
        <v/>
      </c>
      <c r="S5" s="509">
        <f>R5-T5-U5</f>
        <v/>
      </c>
      <c r="T5" s="512">
        <f>P5</f>
        <v/>
      </c>
      <c r="U5" s="513">
        <f>Q5</f>
        <v/>
      </c>
      <c r="V5" s="55" t="n"/>
      <c r="W5" s="54">
        <f>H5-G5+1</f>
        <v/>
      </c>
      <c r="X5" s="55" t="n"/>
      <c r="Y5" s="626" t="n"/>
      <c r="Z5" s="627" t="n"/>
      <c r="AA5" s="251" t="n"/>
      <c r="AB5" s="94" t="n"/>
      <c r="AC5" s="251" t="n"/>
      <c r="AD5" s="626" t="n"/>
      <c r="AE5" s="627" t="n"/>
      <c r="AF5" s="627" t="n"/>
      <c r="AG5" s="91" t="n"/>
      <c r="AJ5" s="130" t="n"/>
      <c r="AK5" s="9" t="inlineStr">
        <is>
          <t>제품</t>
        </is>
      </c>
      <c r="AL5" s="9" t="inlineStr">
        <is>
          <t>케어</t>
        </is>
      </c>
      <c r="AM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$C$33</f>
        <v/>
      </c>
      <c r="O6" s="516">
        <f>N6-P6-Q6</f>
        <v/>
      </c>
      <c r="P6" s="500">
        <f>L6</f>
        <v/>
      </c>
      <c r="Q6" s="519">
        <f>M6</f>
        <v/>
      </c>
      <c r="R6" s="515">
        <f>$C$57</f>
        <v/>
      </c>
      <c r="S6" s="516">
        <f>R6-T6-U6</f>
        <v/>
      </c>
      <c r="T6" s="500">
        <f>P6</f>
        <v/>
      </c>
      <c r="U6" s="519">
        <f>Q6</f>
        <v/>
      </c>
      <c r="V6" s="92" t="n"/>
      <c r="W6" s="196">
        <f>H6-G6+1</f>
        <v/>
      </c>
      <c r="X6" s="92" t="n"/>
      <c r="Y6" s="206" t="n"/>
      <c r="Z6" s="206" t="n"/>
      <c r="AA6" s="206" t="n"/>
      <c r="AB6" s="94" t="n"/>
      <c r="AC6" s="206" t="n"/>
      <c r="AD6" s="206" t="n"/>
      <c r="AE6" s="206" t="n"/>
      <c r="AF6" s="206" t="n"/>
      <c r="AG6" s="94" t="n"/>
      <c r="AJ6" s="527">
        <f>Y24</f>
        <v/>
      </c>
      <c r="AK6" s="527">
        <f>AJ6-AL6-AM6</f>
        <v/>
      </c>
      <c r="AL6" s="2">
        <f>ROUNDDOWN(T24*W24/DAY(H24),-2)</f>
        <v/>
      </c>
      <c r="AM6" s="2">
        <f>ROUNDDOWN(U24*W24/DAY(H24),-2)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$C$33</f>
        <v/>
      </c>
      <c r="O7" s="516">
        <f>N7-P7-Q7</f>
        <v/>
      </c>
      <c r="P7" s="500">
        <f>L7</f>
        <v/>
      </c>
      <c r="Q7" s="519">
        <f>M7</f>
        <v/>
      </c>
      <c r="R7" s="515">
        <f>$C$57</f>
        <v/>
      </c>
      <c r="S7" s="516">
        <f>R7-T7-U7</f>
        <v/>
      </c>
      <c r="T7" s="500">
        <f>P7</f>
        <v/>
      </c>
      <c r="U7" s="519">
        <f>Q7</f>
        <v/>
      </c>
      <c r="V7" s="92" t="n"/>
      <c r="W7" s="196">
        <f>H7-G7+1</f>
        <v/>
      </c>
      <c r="X7" s="92" t="n"/>
      <c r="Y7" s="206" t="n"/>
      <c r="Z7" s="206" t="n"/>
      <c r="AA7" s="206" t="n"/>
      <c r="AB7" s="94" t="n"/>
      <c r="AC7" s="206" t="n"/>
      <c r="AD7" s="206" t="n"/>
      <c r="AE7" s="206" t="n"/>
      <c r="AF7" s="206" t="n"/>
      <c r="AG7" s="94" t="n"/>
      <c r="AJ7" s="505" t="n"/>
      <c r="AK7" s="505" t="n"/>
      <c r="AL7" s="505" t="n"/>
      <c r="AM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$C$33</f>
        <v/>
      </c>
      <c r="O8" s="516">
        <f>N8-P8-Q8</f>
        <v/>
      </c>
      <c r="P8" s="500">
        <f>L8</f>
        <v/>
      </c>
      <c r="Q8" s="519">
        <f>M8</f>
        <v/>
      </c>
      <c r="R8" s="515">
        <f>$C$57</f>
        <v/>
      </c>
      <c r="S8" s="516">
        <f>R8-T8-U8</f>
        <v/>
      </c>
      <c r="T8" s="500">
        <f>P8</f>
        <v/>
      </c>
      <c r="U8" s="519">
        <f>Q8</f>
        <v/>
      </c>
      <c r="V8" s="92" t="n"/>
      <c r="W8" s="196">
        <f>H8-G8+1</f>
        <v/>
      </c>
      <c r="X8" s="92" t="n"/>
      <c r="Y8" s="206" t="n"/>
      <c r="Z8" s="206" t="n"/>
      <c r="AA8" s="206" t="n"/>
      <c r="AB8" s="94" t="n"/>
      <c r="AC8" s="206" t="n"/>
      <c r="AD8" s="206" t="n"/>
      <c r="AE8" s="206" t="n"/>
      <c r="AF8" s="206" t="n"/>
      <c r="AG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$C$33</f>
        <v/>
      </c>
      <c r="O9" s="516">
        <f>N9-P9-Q9</f>
        <v/>
      </c>
      <c r="P9" s="500">
        <f>L9</f>
        <v/>
      </c>
      <c r="Q9" s="519">
        <f>M9</f>
        <v/>
      </c>
      <c r="R9" s="515">
        <f>$C$57</f>
        <v/>
      </c>
      <c r="S9" s="516">
        <f>R9-T9-U9</f>
        <v/>
      </c>
      <c r="T9" s="500">
        <f>P9</f>
        <v/>
      </c>
      <c r="U9" s="519">
        <f>Q9</f>
        <v/>
      </c>
      <c r="V9" s="92" t="n"/>
      <c r="W9" s="196">
        <f>H9-G9+1</f>
        <v/>
      </c>
      <c r="X9" s="92" t="n"/>
      <c r="Y9" s="206" t="n"/>
      <c r="Z9" s="206" t="n"/>
      <c r="AA9" s="206" t="n"/>
      <c r="AB9" s="94" t="n"/>
      <c r="AC9" s="206" t="n"/>
      <c r="AD9" s="206" t="n"/>
      <c r="AE9" s="206" t="n"/>
      <c r="AF9" s="206" t="n"/>
      <c r="AG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$C$33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$C$57</f>
        <v/>
      </c>
      <c r="S10" s="516">
        <f>R10-T10-U10</f>
        <v/>
      </c>
      <c r="T10" s="500">
        <f>P10</f>
        <v/>
      </c>
      <c r="U10" s="519">
        <f>Q10</f>
        <v/>
      </c>
      <c r="V10" s="92" t="n"/>
      <c r="W10" s="196">
        <f>H10-G10+1</f>
        <v/>
      </c>
      <c r="X10" s="92" t="n"/>
      <c r="Y10" s="206" t="n"/>
      <c r="Z10" s="206" t="n"/>
      <c r="AA10" s="206" t="n"/>
      <c r="AB10" s="94" t="n"/>
      <c r="AC10" s="206" t="n"/>
      <c r="AD10" s="206" t="n"/>
      <c r="AE10" s="206" t="n"/>
      <c r="AF10" s="206" t="n"/>
      <c r="AG10" s="94" t="n"/>
      <c r="AJ10" s="206" t="inlineStr">
        <is>
          <t>* 분실료, 파손료는 비과세로 혜택가(v+)기준으로 계산</t>
        </is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$C$33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$C$57</f>
        <v/>
      </c>
      <c r="S11" s="516">
        <f>R11-T11-U11</f>
        <v/>
      </c>
      <c r="T11" s="500">
        <f>P11</f>
        <v/>
      </c>
      <c r="U11" s="519">
        <f>Q11</f>
        <v/>
      </c>
      <c r="V11" s="92" t="n"/>
      <c r="W11" s="196">
        <f>H11-G11+1</f>
        <v/>
      </c>
      <c r="X11" s="92" t="n"/>
      <c r="Y11" s="206" t="n"/>
      <c r="Z11" s="206" t="n"/>
      <c r="AA11" s="206" t="n"/>
      <c r="AB11" s="94" t="n"/>
      <c r="AC11" s="206" t="n"/>
      <c r="AD11" s="206" t="n"/>
      <c r="AE11" s="206" t="n"/>
      <c r="AF11" s="206" t="n"/>
      <c r="AG11" s="94" t="n"/>
      <c r="AJ11" s="9" t="inlineStr">
        <is>
          <t>분실료</t>
        </is>
      </c>
      <c r="AK11" s="9" t="inlineStr">
        <is>
          <t>파손료</t>
        </is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$C$33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$C$57</f>
        <v/>
      </c>
      <c r="S12" s="516">
        <f>R12-T12-U12</f>
        <v/>
      </c>
      <c r="T12" s="500">
        <f>P12</f>
        <v/>
      </c>
      <c r="U12" s="519">
        <f>Q12</f>
        <v/>
      </c>
      <c r="V12" s="92" t="n"/>
      <c r="W12" s="196">
        <f>H12-G12+1</f>
        <v/>
      </c>
      <c r="X12" s="92" t="n"/>
      <c r="Y12" s="206" t="n"/>
      <c r="Z12" s="206" t="n"/>
      <c r="AA12" s="206" t="n"/>
      <c r="AB12" s="94" t="n"/>
      <c r="AC12" s="206" t="n"/>
      <c r="AD12" s="206" t="n"/>
      <c r="AE12" s="206" t="n"/>
      <c r="AF12" s="206" t="n"/>
      <c r="AG12" s="94" t="n"/>
      <c r="AJ12" s="507">
        <f>ROUNDDOWN((C10*1.1)*(C8-SUM(W5:W24))/C8,-1)</f>
        <v/>
      </c>
      <c r="AK12" s="506">
        <f>ROUNDDOWN(AJ12*50%,-1)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$C$33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$C$57</f>
        <v/>
      </c>
      <c r="S13" s="516">
        <f>R13-T13-U13</f>
        <v/>
      </c>
      <c r="T13" s="500">
        <f>P13</f>
        <v/>
      </c>
      <c r="U13" s="519">
        <f>Q13</f>
        <v/>
      </c>
      <c r="V13" s="92" t="n"/>
      <c r="W13" s="196">
        <f>H13-G13+1</f>
        <v/>
      </c>
      <c r="X13" s="92" t="n"/>
      <c r="Y13" s="206" t="n"/>
      <c r="Z13" s="206" t="n"/>
      <c r="AA13" s="206" t="n"/>
      <c r="AB13" s="94" t="n"/>
      <c r="AC13" s="206" t="n"/>
      <c r="AD13" s="206" t="n"/>
      <c r="AE13" s="206" t="n"/>
      <c r="AF13" s="206" t="n"/>
      <c r="AG13" s="94" t="n"/>
      <c r="AJ13" s="517">
        <f>ROUNDDOWN((C10*1.1)*(H77-V24+1)/C8,-1)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$C$33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$C$57</f>
        <v/>
      </c>
      <c r="S14" s="516">
        <f>R14-T14-U14</f>
        <v/>
      </c>
      <c r="T14" s="500">
        <f>P14</f>
        <v/>
      </c>
      <c r="U14" s="519">
        <f>Q14</f>
        <v/>
      </c>
      <c r="V14" s="92" t="n"/>
      <c r="W14" s="196">
        <f>H14-G14+1</f>
        <v/>
      </c>
      <c r="X14" s="92" t="n"/>
      <c r="Y14" s="206" t="n"/>
      <c r="Z14" s="206" t="n"/>
      <c r="AA14" s="206" t="n"/>
      <c r="AB14" s="94" t="n"/>
      <c r="AC14" s="206" t="n"/>
      <c r="AD14" s="206" t="n"/>
      <c r="AE14" s="206" t="n"/>
      <c r="AF14" s="206" t="n"/>
      <c r="AG14" s="94" t="n"/>
    </row>
    <row r="15">
      <c r="B15" s="9" t="inlineStr">
        <is>
          <t>월구독료(v-)</t>
        </is>
      </c>
      <c r="C15" s="526" t="n">
        <v>163300</v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$C$33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$C$57</f>
        <v/>
      </c>
      <c r="S15" s="516">
        <f>R15-T15-U15</f>
        <v/>
      </c>
      <c r="T15" s="500">
        <f>P15</f>
        <v/>
      </c>
      <c r="U15" s="519">
        <f>Q15</f>
        <v/>
      </c>
      <c r="V15" s="92" t="n"/>
      <c r="W15" s="196">
        <f>H15-G15+1</f>
        <v/>
      </c>
      <c r="X15" s="92" t="n"/>
      <c r="Y15" s="206" t="n"/>
      <c r="Z15" s="206" t="n"/>
      <c r="AA15" s="206" t="n"/>
      <c r="AB15" s="94" t="n"/>
      <c r="AC15" s="206" t="n"/>
      <c r="AD15" s="206" t="n"/>
      <c r="AE15" s="206" t="n"/>
      <c r="AF15" s="206" t="n"/>
      <c r="AG15" s="94" t="n"/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$C$33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$C$57</f>
        <v/>
      </c>
      <c r="S16" s="516">
        <f>R16-T16-U16</f>
        <v/>
      </c>
      <c r="T16" s="500">
        <f>P16</f>
        <v/>
      </c>
      <c r="U16" s="519">
        <f>Q16</f>
        <v/>
      </c>
      <c r="V16" s="92" t="n"/>
      <c r="W16" s="196">
        <f>H16-G16+1</f>
        <v/>
      </c>
      <c r="X16" s="92" t="n"/>
      <c r="Y16" s="206" t="n"/>
      <c r="Z16" s="206" t="n"/>
      <c r="AA16" s="206" t="n"/>
      <c r="AB16" s="94" t="n"/>
      <c r="AC16" s="206" t="n"/>
      <c r="AD16" s="206" t="n"/>
      <c r="AE16" s="206" t="n"/>
      <c r="AF16" s="206" t="n"/>
      <c r="AG16" s="94" t="n"/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$C$33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$C$57</f>
        <v/>
      </c>
      <c r="S17" s="516">
        <f>R17-T17-U17</f>
        <v/>
      </c>
      <c r="T17" s="500">
        <f>P17</f>
        <v/>
      </c>
      <c r="U17" s="519">
        <f>Q17</f>
        <v/>
      </c>
      <c r="V17" s="92" t="n"/>
      <c r="W17" s="196">
        <f>H17-G17+1</f>
        <v/>
      </c>
      <c r="X17" s="92" t="n"/>
      <c r="Y17" s="206" t="n"/>
      <c r="Z17" s="206" t="n"/>
      <c r="AA17" s="206" t="n"/>
      <c r="AB17" s="94" t="n"/>
      <c r="AC17" s="206" t="n"/>
      <c r="AD17" s="206" t="n"/>
      <c r="AE17" s="206" t="n"/>
      <c r="AF17" s="206" t="n"/>
      <c r="AG17" s="94" t="n"/>
    </row>
    <row r="18" ht="17.45" customHeight="1" s="497">
      <c r="A18" s="176" t="n"/>
      <c r="B18" s="314" t="inlineStr">
        <is>
          <t>선납금 %</t>
        </is>
      </c>
      <c r="C18" s="349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$C$33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$C$57</f>
        <v/>
      </c>
      <c r="S18" s="516">
        <f>R18-T18-U18</f>
        <v/>
      </c>
      <c r="T18" s="500">
        <f>P18</f>
        <v/>
      </c>
      <c r="U18" s="519">
        <f>Q18</f>
        <v/>
      </c>
      <c r="V18" s="92" t="n"/>
      <c r="W18" s="196">
        <f>H18-G18+1</f>
        <v/>
      </c>
      <c r="X18" s="92" t="n"/>
      <c r="Y18" s="206" t="n"/>
      <c r="Z18" s="206" t="n"/>
      <c r="AA18" s="206" t="n"/>
      <c r="AB18" s="94" t="n"/>
      <c r="AC18" s="206" t="n"/>
      <c r="AD18" s="206" t="n"/>
      <c r="AE18" s="206" t="n"/>
      <c r="AF18" s="206" t="n"/>
      <c r="AG18" s="94" t="n"/>
    </row>
    <row r="19">
      <c r="A19" s="176" t="n"/>
      <c r="B19" s="9" t="inlineStr">
        <is>
          <t>(계산용) 선납금(V+)</t>
        </is>
      </c>
      <c r="C19" s="506">
        <f>C16*C18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$C$33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$C$57</f>
        <v/>
      </c>
      <c r="S19" s="516">
        <f>R19-T19-U19</f>
        <v/>
      </c>
      <c r="T19" s="500">
        <f>P19</f>
        <v/>
      </c>
      <c r="U19" s="519">
        <f>Q19</f>
        <v/>
      </c>
      <c r="V19" s="92" t="n"/>
      <c r="W19" s="196">
        <f>H19-G19+1</f>
        <v/>
      </c>
      <c r="X19" s="92" t="n"/>
      <c r="Y19" s="206" t="n"/>
      <c r="Z19" s="206" t="n"/>
      <c r="AA19" s="206" t="n"/>
      <c r="AB19" s="94" t="n"/>
      <c r="AC19" s="206" t="n"/>
      <c r="AD19" s="206" t="n"/>
      <c r="AE19" s="206" t="n"/>
      <c r="AF19" s="206" t="n"/>
      <c r="AG19" s="94" t="n"/>
    </row>
    <row r="20">
      <c r="A20" s="176" t="n"/>
      <c r="B20" s="9" t="inlineStr">
        <is>
          <t>(계산용) 선납금(V-)</t>
        </is>
      </c>
      <c r="C20" s="506">
        <f>+C19/1.1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$C$33</f>
        <v/>
      </c>
      <c r="O20" s="516">
        <f>N20-P20-Q20</f>
        <v/>
      </c>
      <c r="P20" s="500">
        <f>L20</f>
        <v/>
      </c>
      <c r="Q20" s="519">
        <f>M20</f>
        <v/>
      </c>
      <c r="R20" s="515">
        <f>$C$57</f>
        <v/>
      </c>
      <c r="S20" s="516">
        <f>R20-T20-U20</f>
        <v/>
      </c>
      <c r="T20" s="500">
        <f>P20</f>
        <v/>
      </c>
      <c r="U20" s="519">
        <f>Q20</f>
        <v/>
      </c>
      <c r="V20" s="92" t="n"/>
      <c r="W20" s="196">
        <f>H20-G20+1</f>
        <v/>
      </c>
      <c r="X20" s="92" t="n"/>
      <c r="Y20" s="206" t="n"/>
      <c r="Z20" s="206" t="n"/>
      <c r="AA20" s="206" t="n"/>
      <c r="AB20" s="94" t="n"/>
      <c r="AC20" s="206" t="n"/>
      <c r="AD20" s="206" t="n"/>
      <c r="AE20" s="206" t="n"/>
      <c r="AF20" s="206" t="n"/>
      <c r="AG20" s="94" t="n"/>
    </row>
    <row r="21">
      <c r="A21" s="176" t="n"/>
      <c r="B21" s="9" t="inlineStr">
        <is>
          <t>(계산용) 월 선납금(V-)</t>
        </is>
      </c>
      <c r="C21" s="506">
        <f>+ROUND(C20/C7,-2)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$C$33</f>
        <v/>
      </c>
      <c r="O21" s="516">
        <f>N21-P21-Q21</f>
        <v/>
      </c>
      <c r="P21" s="500">
        <f>L21</f>
        <v/>
      </c>
      <c r="Q21" s="519">
        <f>M21</f>
        <v/>
      </c>
      <c r="R21" s="515">
        <f>$C$57</f>
        <v/>
      </c>
      <c r="S21" s="516">
        <f>R21-T21-U21</f>
        <v/>
      </c>
      <c r="T21" s="500">
        <f>P21</f>
        <v/>
      </c>
      <c r="U21" s="519">
        <f>Q21</f>
        <v/>
      </c>
      <c r="V21" s="92" t="n"/>
      <c r="W21" s="196">
        <f>H21-G21+1</f>
        <v/>
      </c>
      <c r="X21" s="92" t="n"/>
      <c r="Y21" s="206" t="n"/>
      <c r="Z21" s="206" t="n"/>
      <c r="AA21" s="206" t="n"/>
      <c r="AB21" s="94" t="n"/>
      <c r="AC21" s="206" t="n"/>
      <c r="AD21" s="206" t="n"/>
      <c r="AE21" s="206" t="n"/>
      <c r="AF21" s="206" t="n"/>
      <c r="AG21" s="94" t="n"/>
    </row>
    <row r="22">
      <c r="A22" s="176" t="n"/>
      <c r="B22" s="9" t="inlineStr">
        <is>
          <t>(최종) 선납금 (V-)</t>
        </is>
      </c>
      <c r="C22" s="506">
        <f>+C21*C7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$C$33</f>
        <v/>
      </c>
      <c r="O22" s="516">
        <f>N22-P22-Q22</f>
        <v/>
      </c>
      <c r="P22" s="500">
        <f>L22</f>
        <v/>
      </c>
      <c r="Q22" s="519">
        <f>M22</f>
        <v/>
      </c>
      <c r="R22" s="515">
        <f>$C$57</f>
        <v/>
      </c>
      <c r="S22" s="516">
        <f>R22-T22-U22</f>
        <v/>
      </c>
      <c r="T22" s="500">
        <f>P22</f>
        <v/>
      </c>
      <c r="U22" s="519">
        <f>Q22</f>
        <v/>
      </c>
      <c r="V22" s="92" t="n"/>
      <c r="W22" s="196">
        <f>H22-G22+1</f>
        <v/>
      </c>
      <c r="X22" s="629" t="n"/>
      <c r="Y22" s="206" t="n"/>
      <c r="Z22" s="206" t="n"/>
      <c r="AA22" s="206" t="n"/>
      <c r="AB22" s="94" t="n"/>
      <c r="AC22" s="206" t="n"/>
      <c r="AD22" s="206" t="n"/>
      <c r="AE22" s="206" t="n"/>
      <c r="AF22" s="206" t="n"/>
      <c r="AG22" s="94" t="n"/>
    </row>
    <row r="23">
      <c r="A23" s="176" t="n"/>
      <c r="B23" s="9" t="inlineStr">
        <is>
          <t>(최종) 월 선납금 (V-)</t>
        </is>
      </c>
      <c r="C23" s="506">
        <f>+C22/C7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$C$33</f>
        <v/>
      </c>
      <c r="O23" s="516">
        <f>N23-P23-Q23</f>
        <v/>
      </c>
      <c r="P23" s="500">
        <f>L23</f>
        <v/>
      </c>
      <c r="Q23" s="519">
        <f>M23</f>
        <v/>
      </c>
      <c r="R23" s="515">
        <f>$C$57</f>
        <v/>
      </c>
      <c r="S23" s="516">
        <f>R23-T23-U23</f>
        <v/>
      </c>
      <c r="T23" s="500">
        <f>P23</f>
        <v/>
      </c>
      <c r="U23" s="519">
        <f>Q23</f>
        <v/>
      </c>
      <c r="V23" s="92" t="n"/>
      <c r="W23" s="196">
        <f>H23-G23+1</f>
        <v/>
      </c>
      <c r="X23" s="92" t="inlineStr">
        <is>
          <t>* 위약금은 비과세로 총구독료(v+)기준으로 계산</t>
        </is>
      </c>
      <c r="Y23" s="206" t="n"/>
      <c r="Z23" s="206" t="n"/>
      <c r="AA23" s="206" t="n"/>
      <c r="AB23" s="94" t="n"/>
      <c r="AC23" s="206" t="n"/>
      <c r="AD23" s="206" t="n"/>
      <c r="AE23" s="206" t="n"/>
      <c r="AF23" s="206" t="n"/>
      <c r="AG23" s="94" t="n"/>
    </row>
    <row r="24">
      <c r="B24" s="9" t="inlineStr">
        <is>
          <t>(최종) 선납금 반영 월 구독료 (V+)</t>
        </is>
      </c>
      <c r="C24" s="506">
        <f>+(C15-C23)*1.1</f>
        <v/>
      </c>
      <c r="D24" s="505">
        <f>C22*1.1=C26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$C$33</f>
        <v/>
      </c>
      <c r="O24" s="516">
        <f>N24-P24-Q24</f>
        <v/>
      </c>
      <c r="P24" s="500">
        <f>L24</f>
        <v/>
      </c>
      <c r="Q24" s="519">
        <f>M24</f>
        <v/>
      </c>
      <c r="R24" s="515">
        <f>$C$57</f>
        <v/>
      </c>
      <c r="S24" s="516">
        <f>R24-T24-U24</f>
        <v/>
      </c>
      <c r="T24" s="500">
        <f>P24</f>
        <v/>
      </c>
      <c r="U24" s="519">
        <f>Q24</f>
        <v/>
      </c>
      <c r="V24" s="99" t="n">
        <v>46494</v>
      </c>
      <c r="W24" s="415">
        <f>V24-G24</f>
        <v/>
      </c>
      <c r="X24" s="636">
        <f>ROUNDDOWN(((C16)*(C8-SUM(W5:W24))/C8)*20%,-1)</f>
        <v/>
      </c>
      <c r="Y24" s="632">
        <f>ROUNDDOWN(R24*W24/DAY(H24),-2)</f>
        <v/>
      </c>
      <c r="Z24" s="632">
        <f>ROUNDDOWN((C31)*SUM(W5:W24)/C8,-2)+ROUNDDOWN((C51)*SUM(W5:W24)/C8,-2)+ROUNDDOWN((C41)*SUM(W5:W24)/C8,-2)</f>
        <v/>
      </c>
      <c r="AA24" s="637">
        <f>-ROUNDUP((C22*(C8-SUM(W5:W24))/C8),-2)</f>
        <v/>
      </c>
      <c r="AB24" s="638">
        <f>ROUNDDOWN(100000/1.1*SUM(W5:W24)/C8,-2)</f>
        <v/>
      </c>
      <c r="AC24" s="639">
        <f>X24</f>
        <v/>
      </c>
      <c r="AD24" s="632">
        <f>Y24*1.1</f>
        <v/>
      </c>
      <c r="AE24" s="632">
        <f>Z24*1.1</f>
        <v/>
      </c>
      <c r="AF24" s="637">
        <f>AA24*1.1</f>
        <v/>
      </c>
      <c r="AG24" s="638">
        <f>AB24*1.1</f>
        <v/>
      </c>
      <c r="AH24" s="206" t="inlineStr">
        <is>
          <t>* 위약금, 할인회수, 선납잔액 환불, 등록비 청구 기준: 일수비율</t>
        </is>
      </c>
    </row>
    <row r="25">
      <c r="B25" s="9" t="inlineStr">
        <is>
          <t>(최종) 선납금 반영 총 구독료 (V+)</t>
        </is>
      </c>
      <c r="C25" s="506">
        <f>+C24*C7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$C$33</f>
        <v/>
      </c>
      <c r="O25" s="516">
        <f>N25-P25-Q25</f>
        <v/>
      </c>
      <c r="P25" s="500">
        <f>L25</f>
        <v/>
      </c>
      <c r="Q25" s="519">
        <f>M25</f>
        <v/>
      </c>
      <c r="R25" s="515">
        <f>$C$57</f>
        <v/>
      </c>
      <c r="S25" s="516">
        <f>R25-T25-U25</f>
        <v/>
      </c>
      <c r="T25" s="500">
        <f>P25</f>
        <v/>
      </c>
      <c r="U25" s="519">
        <f>Q25</f>
        <v/>
      </c>
      <c r="V25" s="92" t="n"/>
      <c r="W25" s="196" t="inlineStr">
        <is>
          <t>* 사용일 기준: 제품판정일 전날까지 사용</t>
        </is>
      </c>
      <c r="X25" s="92" t="n"/>
      <c r="Y25" s="539" t="n"/>
      <c r="Z25" s="363" t="inlineStr">
        <is>
          <t>* 할인 개별 일할/단수조정 적용</t>
        </is>
      </c>
      <c r="AA25" s="206" t="n"/>
      <c r="AB25" s="94" t="n"/>
      <c r="AC25" s="206" t="inlineStr">
        <is>
          <t>* 비과세</t>
        </is>
      </c>
      <c r="AD25" s="539" t="n"/>
      <c r="AE25" s="206" t="n"/>
      <c r="AF25" s="206" t="n"/>
      <c r="AG25" s="94" t="n"/>
    </row>
    <row r="26" ht="17.25" customHeight="1" s="497" thickBot="1">
      <c r="B26" s="9" t="inlineStr">
        <is>
          <t>(최종) 선납금 (V+)</t>
        </is>
      </c>
      <c r="C26" s="506">
        <f>+C16-C25</f>
        <v/>
      </c>
      <c r="D26" s="348" t="inlineStr">
        <is>
          <t>* 정책별 할인율</t>
        </is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$C$33</f>
        <v/>
      </c>
      <c r="O26" s="516">
        <f>N26-P26-Q26</f>
        <v/>
      </c>
      <c r="P26" s="500">
        <f>L26</f>
        <v/>
      </c>
      <c r="Q26" s="519">
        <f>M26</f>
        <v/>
      </c>
      <c r="R26" s="515">
        <f>$C$57</f>
        <v/>
      </c>
      <c r="S26" s="516">
        <f>R26-T26-U26</f>
        <v/>
      </c>
      <c r="T26" s="500">
        <f>P26</f>
        <v/>
      </c>
      <c r="U26" s="519">
        <f>Q26</f>
        <v/>
      </c>
      <c r="V26" s="92" t="n"/>
      <c r="W26" s="196" t="n"/>
      <c r="X26" s="92" t="n"/>
      <c r="Y26" s="206" t="n"/>
      <c r="Z26" s="206" t="n"/>
      <c r="AA26" s="206" t="n"/>
      <c r="AB26" s="94" t="n"/>
      <c r="AC26" s="206" t="n"/>
      <c r="AD26" s="206" t="n"/>
      <c r="AE26" s="206" t="n"/>
      <c r="AF26" s="206" t="n"/>
      <c r="AG26" s="94" t="n"/>
    </row>
    <row r="27">
      <c r="A27" s="176" t="n"/>
      <c r="B27" s="296" t="inlineStr">
        <is>
          <t>(계산용) 선납 할인금 (V+)</t>
        </is>
      </c>
      <c r="C27" s="528">
        <f>C16*D27</f>
        <v/>
      </c>
      <c r="D27" s="529" t="n">
        <v>0.04</v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$C$33</f>
        <v/>
      </c>
      <c r="O27" s="516">
        <f>N27-P27-Q27</f>
        <v/>
      </c>
      <c r="P27" s="500">
        <f>L27</f>
        <v/>
      </c>
      <c r="Q27" s="519">
        <f>M27</f>
        <v/>
      </c>
      <c r="R27" s="515">
        <f>$C$57</f>
        <v/>
      </c>
      <c r="S27" s="516">
        <f>R27-T27-U27</f>
        <v/>
      </c>
      <c r="T27" s="500">
        <f>P27</f>
        <v/>
      </c>
      <c r="U27" s="519">
        <f>Q27</f>
        <v/>
      </c>
      <c r="V27" s="92" t="n"/>
      <c r="W27" s="196" t="n"/>
      <c r="X27" s="92" t="n"/>
      <c r="Y27" s="206" t="n"/>
      <c r="Z27" s="206" t="n"/>
      <c r="AA27" s="206" t="n"/>
      <c r="AB27" s="94" t="n"/>
      <c r="AC27" s="206" t="n"/>
      <c r="AD27" s="206" t="n"/>
      <c r="AE27" s="206" t="n"/>
      <c r="AF27" s="206" t="n"/>
      <c r="AG27" s="94" t="n"/>
    </row>
    <row r="28">
      <c r="B28" s="298" t="inlineStr">
        <is>
          <t>(계산용) 선납 할인금 (V-)</t>
        </is>
      </c>
      <c r="C28" s="530">
        <f>+C27/1.1</f>
        <v/>
      </c>
      <c r="D28" s="531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$C$33</f>
        <v/>
      </c>
      <c r="O28" s="516">
        <f>N28-P28-Q28</f>
        <v/>
      </c>
      <c r="P28" s="500">
        <f>L28</f>
        <v/>
      </c>
      <c r="Q28" s="519">
        <f>M28</f>
        <v/>
      </c>
      <c r="R28" s="515">
        <f>$C$57</f>
        <v/>
      </c>
      <c r="S28" s="516">
        <f>R28-T28-U28</f>
        <v/>
      </c>
      <c r="T28" s="500">
        <f>P28</f>
        <v/>
      </c>
      <c r="U28" s="519">
        <f>Q28</f>
        <v/>
      </c>
      <c r="V28" s="92" t="n"/>
      <c r="W28" s="196" t="n"/>
      <c r="X28" s="92" t="n"/>
      <c r="Y28" s="206" t="n"/>
      <c r="Z28" s="206" t="n"/>
      <c r="AA28" s="206" t="n"/>
      <c r="AB28" s="94" t="n"/>
      <c r="AC28" s="206" t="n"/>
      <c r="AD28" s="206" t="n"/>
      <c r="AE28" s="206" t="n"/>
      <c r="AF28" s="206" t="n"/>
      <c r="AG28" s="94" t="n"/>
    </row>
    <row r="29">
      <c r="B29" s="298" t="inlineStr">
        <is>
          <t>(계산용) 선납 월할인금 (V-)</t>
        </is>
      </c>
      <c r="C29" s="532">
        <f>+ROUNDUP(C28/C7,-2)</f>
        <v/>
      </c>
      <c r="D29" s="531" t="n"/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$C$33</f>
        <v/>
      </c>
      <c r="O29" s="516">
        <f>N29-P29-Q29</f>
        <v/>
      </c>
      <c r="P29" s="500">
        <f>L29</f>
        <v/>
      </c>
      <c r="Q29" s="519">
        <f>M29</f>
        <v/>
      </c>
      <c r="R29" s="515">
        <f>$C$57</f>
        <v/>
      </c>
      <c r="S29" s="516">
        <f>R29-T29-U29</f>
        <v/>
      </c>
      <c r="T29" s="500">
        <f>P29</f>
        <v/>
      </c>
      <c r="U29" s="519">
        <f>Q29</f>
        <v/>
      </c>
      <c r="V29" s="92" t="n"/>
      <c r="W29" s="196" t="n"/>
      <c r="X29" s="92" t="n"/>
      <c r="Y29" s="206" t="n"/>
      <c r="Z29" s="206" t="n"/>
      <c r="AA29" s="206" t="n"/>
      <c r="AB29" s="94" t="n"/>
      <c r="AC29" s="206" t="n"/>
      <c r="AD29" s="206" t="n"/>
      <c r="AE29" s="206" t="n"/>
      <c r="AF29" s="206" t="n"/>
      <c r="AG29" s="94" t="n"/>
    </row>
    <row r="30" ht="17.25" customHeight="1" s="497" thickBot="1">
      <c r="B30" s="301" t="inlineStr">
        <is>
          <t>(계산용) 선납 월할인금 (V+)</t>
        </is>
      </c>
      <c r="C30" s="533">
        <f>+C29*1.1</f>
        <v/>
      </c>
      <c r="D30" s="534" t="n"/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$C$33</f>
        <v/>
      </c>
      <c r="O30" s="516">
        <f>N30-P30-Q30</f>
        <v/>
      </c>
      <c r="P30" s="500">
        <f>L30</f>
        <v/>
      </c>
      <c r="Q30" s="519">
        <f>M30</f>
        <v/>
      </c>
      <c r="R30" s="515">
        <f>$C$57</f>
        <v/>
      </c>
      <c r="S30" s="516">
        <f>R30-T30-U30</f>
        <v/>
      </c>
      <c r="T30" s="500">
        <f>P30</f>
        <v/>
      </c>
      <c r="U30" s="519">
        <f>Q30</f>
        <v/>
      </c>
      <c r="V30" s="92" t="n"/>
      <c r="W30" s="196" t="n"/>
      <c r="X30" s="92" t="n"/>
      <c r="Y30" s="206" t="n"/>
      <c r="Z30" s="206" t="n"/>
      <c r="AA30" s="206" t="n"/>
      <c r="AB30" s="94" t="n"/>
      <c r="AC30" s="206" t="n"/>
      <c r="AD30" s="206" t="n"/>
      <c r="AE30" s="206" t="n"/>
      <c r="AF30" s="206" t="n"/>
      <c r="AG30" s="94" t="n"/>
    </row>
    <row r="31">
      <c r="B31" s="265" t="inlineStr">
        <is>
          <t>(최종) 선납 할인금 (V-)</t>
        </is>
      </c>
      <c r="C31" s="506">
        <f>+C29*C7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$C$33</f>
        <v/>
      </c>
      <c r="O31" s="516">
        <f>N31-P31-Q31</f>
        <v/>
      </c>
      <c r="P31" s="500">
        <f>L31</f>
        <v/>
      </c>
      <c r="Q31" s="519">
        <f>M31</f>
        <v/>
      </c>
      <c r="R31" s="515">
        <f>$C$57</f>
        <v/>
      </c>
      <c r="S31" s="516">
        <f>R31-T31-U31</f>
        <v/>
      </c>
      <c r="T31" s="500">
        <f>P31</f>
        <v/>
      </c>
      <c r="U31" s="519">
        <f>Q31</f>
        <v/>
      </c>
      <c r="V31" s="92" t="n"/>
      <c r="W31" s="196" t="n"/>
      <c r="X31" s="92" t="n"/>
      <c r="Y31" s="206" t="n"/>
      <c r="Z31" s="206" t="n"/>
      <c r="AA31" s="206" t="n"/>
      <c r="AB31" s="94" t="n"/>
      <c r="AC31" s="206" t="n"/>
      <c r="AD31" s="206" t="n"/>
      <c r="AE31" s="206" t="n"/>
      <c r="AF31" s="206" t="n"/>
      <c r="AG31" s="94" t="n"/>
    </row>
    <row r="32" ht="17.25" customHeight="1" s="497" thickBot="1">
      <c r="B32" s="9" t="inlineStr">
        <is>
          <t>(최종) 선납 할인금 (V+)</t>
        </is>
      </c>
      <c r="C32" s="506">
        <f>+C30*C7</f>
        <v/>
      </c>
      <c r="D32" s="535">
        <f>C31*1.1=C32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$C$33</f>
        <v/>
      </c>
      <c r="O32" s="516">
        <f>N32-P32-Q32</f>
        <v/>
      </c>
      <c r="P32" s="500">
        <f>L32</f>
        <v/>
      </c>
      <c r="Q32" s="519">
        <f>M32</f>
        <v/>
      </c>
      <c r="R32" s="515">
        <f>$C$57</f>
        <v/>
      </c>
      <c r="S32" s="516">
        <f>R32-T32-U32</f>
        <v/>
      </c>
      <c r="T32" s="500">
        <f>P32</f>
        <v/>
      </c>
      <c r="U32" s="519">
        <f>Q32</f>
        <v/>
      </c>
      <c r="V32" s="92" t="n"/>
      <c r="W32" s="196" t="n"/>
      <c r="X32" s="92" t="n"/>
      <c r="Y32" s="206" t="n"/>
      <c r="Z32" s="206" t="n"/>
      <c r="AA32" s="206" t="n"/>
      <c r="AB32" s="94" t="n"/>
      <c r="AC32" s="206" t="n"/>
      <c r="AD32" s="206" t="n"/>
      <c r="AE32" s="206" t="n"/>
      <c r="AF32" s="206" t="n"/>
      <c r="AG32" s="94" t="n"/>
    </row>
    <row r="33">
      <c r="B33" s="293" t="inlineStr">
        <is>
          <t>(최종) 선납금+선납 할인 반영 월 구독료 (V-)</t>
        </is>
      </c>
      <c r="C33" s="536">
        <f>+(C14-C31-C22)/C7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$C$33</f>
        <v/>
      </c>
      <c r="O33" s="516">
        <f>N33-P33-Q33</f>
        <v/>
      </c>
      <c r="P33" s="500">
        <f>L33</f>
        <v/>
      </c>
      <c r="Q33" s="519">
        <f>M33</f>
        <v/>
      </c>
      <c r="R33" s="515">
        <f>$C$57</f>
        <v/>
      </c>
      <c r="S33" s="516">
        <f>R33-T33-U33</f>
        <v/>
      </c>
      <c r="T33" s="500">
        <f>P33</f>
        <v/>
      </c>
      <c r="U33" s="519">
        <f>Q33</f>
        <v/>
      </c>
      <c r="V33" s="92" t="n"/>
      <c r="W33" s="196" t="n"/>
      <c r="X33" s="92" t="n"/>
      <c r="Y33" s="206" t="n"/>
      <c r="Z33" s="206" t="n"/>
      <c r="AA33" s="206" t="n"/>
      <c r="AB33" s="94" t="n"/>
      <c r="AC33" s="206" t="n"/>
      <c r="AD33" s="206" t="n"/>
      <c r="AE33" s="206" t="n"/>
      <c r="AF33" s="206" t="n"/>
      <c r="AG33" s="94" t="n"/>
    </row>
    <row r="34" ht="17.25" customHeight="1" s="497" thickBot="1">
      <c r="B34" s="294" t="inlineStr">
        <is>
          <t>(최종) 선납금+선납 할인 반영 총 구독료 (V-)</t>
        </is>
      </c>
      <c r="C34" s="537">
        <f>C33*C7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$C$33</f>
        <v/>
      </c>
      <c r="O34" s="516">
        <f>N34-P34-Q34</f>
        <v/>
      </c>
      <c r="P34" s="500">
        <f>L34</f>
        <v/>
      </c>
      <c r="Q34" s="519">
        <f>M34</f>
        <v/>
      </c>
      <c r="R34" s="515">
        <f>$C$57</f>
        <v/>
      </c>
      <c r="S34" s="516">
        <f>R34-T34-U34</f>
        <v/>
      </c>
      <c r="T34" s="500">
        <f>P34</f>
        <v/>
      </c>
      <c r="U34" s="519">
        <f>Q34</f>
        <v/>
      </c>
      <c r="V34" s="92" t="n"/>
      <c r="W34" s="196" t="n"/>
      <c r="X34" s="92" t="n"/>
      <c r="Y34" s="206" t="n"/>
      <c r="Z34" s="206" t="n"/>
      <c r="AA34" s="206" t="n"/>
      <c r="AB34" s="94" t="n"/>
      <c r="AC34" s="206" t="n"/>
      <c r="AD34" s="206" t="n"/>
      <c r="AE34" s="206" t="n"/>
      <c r="AF34" s="206" t="n"/>
      <c r="AG34" s="94" t="n"/>
    </row>
    <row r="35">
      <c r="B35" s="295" t="inlineStr">
        <is>
          <t>(최종) 선납금+선납 할인 반영 월 구독료 (V+)</t>
        </is>
      </c>
      <c r="C35" s="538">
        <f>+(C16-C22*1.1-C32)/C7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$C$33</f>
        <v/>
      </c>
      <c r="O35" s="516">
        <f>N35-P35-Q35</f>
        <v/>
      </c>
      <c r="P35" s="500">
        <f>L35</f>
        <v/>
      </c>
      <c r="Q35" s="519">
        <f>M35</f>
        <v/>
      </c>
      <c r="R35" s="515">
        <f>$C$57</f>
        <v/>
      </c>
      <c r="S35" s="516">
        <f>R35-T35-U35</f>
        <v/>
      </c>
      <c r="T35" s="500">
        <f>P35</f>
        <v/>
      </c>
      <c r="U35" s="519">
        <f>Q35</f>
        <v/>
      </c>
      <c r="V35" s="92" t="n"/>
      <c r="W35" s="196" t="n"/>
      <c r="X35" s="92" t="n"/>
      <c r="Y35" s="206" t="n"/>
      <c r="Z35" s="206" t="n"/>
      <c r="AA35" s="206" t="n"/>
      <c r="AB35" s="94" t="n"/>
      <c r="AC35" s="206" t="n"/>
      <c r="AD35" s="206" t="n"/>
      <c r="AE35" s="206" t="n"/>
      <c r="AF35" s="206" t="n"/>
      <c r="AG35" s="94" t="n"/>
    </row>
    <row r="36" ht="17.25" customHeight="1" s="497" thickBot="1">
      <c r="B36" s="294" t="inlineStr">
        <is>
          <t>(최종) 선납금+선납 할인 반영 총 구독료 (V+)</t>
        </is>
      </c>
      <c r="C36" s="537">
        <f>C35*C7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$C$33</f>
        <v/>
      </c>
      <c r="O36" s="516">
        <f>N36-P36-Q36</f>
        <v/>
      </c>
      <c r="P36" s="500">
        <f>L36</f>
        <v/>
      </c>
      <c r="Q36" s="519">
        <f>M36</f>
        <v/>
      </c>
      <c r="R36" s="515">
        <f>$C$57</f>
        <v/>
      </c>
      <c r="S36" s="516">
        <f>R36-T36-U36</f>
        <v/>
      </c>
      <c r="T36" s="500">
        <f>P36</f>
        <v/>
      </c>
      <c r="U36" s="519">
        <f>Q36</f>
        <v/>
      </c>
      <c r="V36" s="92" t="n"/>
      <c r="W36" s="196" t="n"/>
      <c r="X36" s="92" t="n"/>
      <c r="Y36" s="206" t="n"/>
      <c r="Z36" s="206" t="n"/>
      <c r="AA36" s="206" t="n"/>
      <c r="AB36" s="94" t="n"/>
      <c r="AC36" s="206" t="n"/>
      <c r="AD36" s="206" t="n"/>
      <c r="AE36" s="206" t="n"/>
      <c r="AF36" s="206" t="n"/>
      <c r="AG36" s="94" t="n"/>
    </row>
    <row r="37">
      <c r="B37" s="296" t="inlineStr">
        <is>
          <t>(계산용) 단품 할인금 (V+)</t>
        </is>
      </c>
      <c r="C37" s="528">
        <f>C16*D37</f>
        <v/>
      </c>
      <c r="D37" s="540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$C$33</f>
        <v/>
      </c>
      <c r="O37" s="516">
        <f>N37-P37-Q37</f>
        <v/>
      </c>
      <c r="P37" s="500">
        <f>L37</f>
        <v/>
      </c>
      <c r="Q37" s="519">
        <f>M37</f>
        <v/>
      </c>
      <c r="R37" s="515">
        <f>$C$57</f>
        <v/>
      </c>
      <c r="S37" s="516">
        <f>R37-T37-U37</f>
        <v/>
      </c>
      <c r="T37" s="500">
        <f>P37</f>
        <v/>
      </c>
      <c r="U37" s="519">
        <f>Q37</f>
        <v/>
      </c>
      <c r="V37" s="92" t="n"/>
      <c r="W37" s="196" t="n"/>
      <c r="X37" s="92" t="n"/>
      <c r="Y37" s="206" t="n"/>
      <c r="Z37" s="206" t="n"/>
      <c r="AA37" s="206" t="n"/>
      <c r="AB37" s="94" t="n"/>
      <c r="AC37" s="206" t="n"/>
      <c r="AD37" s="206" t="n"/>
      <c r="AE37" s="206" t="n"/>
      <c r="AF37" s="206" t="n"/>
      <c r="AG37" s="94" t="n"/>
    </row>
    <row r="38">
      <c r="B38" s="298" t="inlineStr">
        <is>
          <t>(계산용) 단품 할인금 (V-)</t>
        </is>
      </c>
      <c r="C38" s="530">
        <f>+C37/1.1</f>
        <v/>
      </c>
      <c r="D38" s="531" t="n"/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$C$33</f>
        <v/>
      </c>
      <c r="O38" s="516">
        <f>N38-P38-Q38</f>
        <v/>
      </c>
      <c r="P38" s="500">
        <f>L38</f>
        <v/>
      </c>
      <c r="Q38" s="519">
        <f>M38</f>
        <v/>
      </c>
      <c r="R38" s="515">
        <f>$C$57</f>
        <v/>
      </c>
      <c r="S38" s="516">
        <f>R38-T38-U38</f>
        <v/>
      </c>
      <c r="T38" s="500">
        <f>P38</f>
        <v/>
      </c>
      <c r="U38" s="519">
        <f>Q38</f>
        <v/>
      </c>
      <c r="V38" s="92" t="n"/>
      <c r="W38" s="196" t="n"/>
      <c r="X38" s="92" t="n"/>
      <c r="Y38" s="206" t="n"/>
      <c r="Z38" s="206" t="n"/>
      <c r="AA38" s="206" t="n"/>
      <c r="AB38" s="94" t="n"/>
      <c r="AC38" s="206" t="n"/>
      <c r="AD38" s="206" t="n"/>
      <c r="AE38" s="206" t="n"/>
      <c r="AF38" s="206" t="n"/>
      <c r="AG38" s="94" t="n"/>
    </row>
    <row r="39">
      <c r="B39" s="298" t="inlineStr">
        <is>
          <t>(계산용) 단품 월할인금 (V-)</t>
        </is>
      </c>
      <c r="C39" s="532">
        <f>+ROUNDUP(C38/C7,-2)</f>
        <v/>
      </c>
      <c r="D39" s="531" t="n"/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$C$33</f>
        <v/>
      </c>
      <c r="O39" s="516">
        <f>N39-P39-Q39</f>
        <v/>
      </c>
      <c r="P39" s="500">
        <f>L39</f>
        <v/>
      </c>
      <c r="Q39" s="519">
        <f>M39</f>
        <v/>
      </c>
      <c r="R39" s="515">
        <f>$C$57</f>
        <v/>
      </c>
      <c r="S39" s="516">
        <f>R39-T39-U39</f>
        <v/>
      </c>
      <c r="T39" s="500">
        <f>P39</f>
        <v/>
      </c>
      <c r="U39" s="519">
        <f>Q39</f>
        <v/>
      </c>
      <c r="V39" s="92" t="n"/>
      <c r="W39" s="196" t="n"/>
      <c r="X39" s="92" t="n"/>
      <c r="Y39" s="206" t="n"/>
      <c r="Z39" s="206" t="n"/>
      <c r="AA39" s="206" t="n"/>
      <c r="AB39" s="94" t="n"/>
      <c r="AC39" s="206" t="n"/>
      <c r="AD39" s="206" t="n"/>
      <c r="AE39" s="206" t="n"/>
      <c r="AF39" s="206" t="n"/>
      <c r="AG39" s="94" t="n"/>
    </row>
    <row r="40" ht="17.25" customHeight="1" s="497" thickBot="1">
      <c r="B40" s="301" t="inlineStr">
        <is>
          <t>(계산용) 단품 월할인금 (V+)</t>
        </is>
      </c>
      <c r="C40" s="533">
        <f>+C39*1.1</f>
        <v/>
      </c>
      <c r="D40" s="541" t="n"/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$C$33</f>
        <v/>
      </c>
      <c r="O40" s="516">
        <f>N40-P40-Q40</f>
        <v/>
      </c>
      <c r="P40" s="500">
        <f>L40</f>
        <v/>
      </c>
      <c r="Q40" s="519">
        <f>M40</f>
        <v/>
      </c>
      <c r="R40" s="515">
        <f>$C$57</f>
        <v/>
      </c>
      <c r="S40" s="516">
        <f>R40-T40-U40</f>
        <v/>
      </c>
      <c r="T40" s="500">
        <f>P40</f>
        <v/>
      </c>
      <c r="U40" s="519">
        <f>Q40</f>
        <v/>
      </c>
      <c r="V40" s="92" t="n"/>
      <c r="W40" s="196" t="n"/>
      <c r="X40" s="92" t="n"/>
      <c r="Y40" s="206" t="n"/>
      <c r="Z40" s="206" t="n"/>
      <c r="AA40" s="206" t="n"/>
      <c r="AB40" s="94" t="n"/>
      <c r="AC40" s="206" t="n"/>
      <c r="AD40" s="206" t="n"/>
      <c r="AE40" s="206" t="n"/>
      <c r="AF40" s="206" t="n"/>
      <c r="AG40" s="94" t="n"/>
    </row>
    <row r="41">
      <c r="B41" s="265" t="inlineStr">
        <is>
          <t>(최종) 단품 할인금 (V-)</t>
        </is>
      </c>
      <c r="C41" s="506">
        <f>+C39*C7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$C$33</f>
        <v/>
      </c>
      <c r="O41" s="516">
        <f>N41-P41-Q41</f>
        <v/>
      </c>
      <c r="P41" s="500">
        <f>L41</f>
        <v/>
      </c>
      <c r="Q41" s="519">
        <f>M41</f>
        <v/>
      </c>
      <c r="R41" s="515">
        <f>$C$57</f>
        <v/>
      </c>
      <c r="S41" s="516">
        <f>R41-T41-U41</f>
        <v/>
      </c>
      <c r="T41" s="500">
        <f>P41</f>
        <v/>
      </c>
      <c r="U41" s="519">
        <f>Q41</f>
        <v/>
      </c>
      <c r="V41" s="92" t="n"/>
      <c r="W41" s="196" t="n"/>
      <c r="X41" s="92" t="n"/>
      <c r="Y41" s="206" t="n"/>
      <c r="Z41" s="206" t="n"/>
      <c r="AA41" s="206" t="n"/>
      <c r="AB41" s="94" t="n"/>
      <c r="AC41" s="206" t="n"/>
      <c r="AD41" s="206" t="n"/>
      <c r="AE41" s="206" t="n"/>
      <c r="AF41" s="206" t="n"/>
      <c r="AG41" s="94" t="n"/>
    </row>
    <row r="42" ht="17.25" customHeight="1" s="497" thickBot="1">
      <c r="B42" s="9" t="inlineStr">
        <is>
          <t>(최종) 단품 할인금 (V+)</t>
        </is>
      </c>
      <c r="C42" s="506">
        <f>+C40*C7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$C$33</f>
        <v/>
      </c>
      <c r="O42" s="516">
        <f>N42-P42-Q42</f>
        <v/>
      </c>
      <c r="P42" s="500">
        <f>L42</f>
        <v/>
      </c>
      <c r="Q42" s="519">
        <f>M42</f>
        <v/>
      </c>
      <c r="R42" s="515">
        <f>$C$57</f>
        <v/>
      </c>
      <c r="S42" s="516">
        <f>R42-T42-U42</f>
        <v/>
      </c>
      <c r="T42" s="500">
        <f>P42</f>
        <v/>
      </c>
      <c r="U42" s="519">
        <f>Q42</f>
        <v/>
      </c>
      <c r="V42" s="92" t="n"/>
      <c r="W42" s="196" t="n"/>
      <c r="X42" s="92" t="n"/>
      <c r="Y42" s="206" t="n"/>
      <c r="Z42" s="206" t="n"/>
      <c r="AA42" s="206" t="n"/>
      <c r="AB42" s="94" t="n"/>
      <c r="AC42" s="206" t="n"/>
      <c r="AD42" s="206" t="n"/>
      <c r="AE42" s="206" t="n"/>
      <c r="AF42" s="206" t="n"/>
      <c r="AG42" s="94" t="n"/>
    </row>
    <row r="43">
      <c r="B43" s="293" t="inlineStr">
        <is>
          <t>(최종) 단품 할인 반영 월 구독료 (V-)</t>
        </is>
      </c>
      <c r="C43" s="536">
        <f>+(C14-C41)/C7</f>
        <v/>
      </c>
      <c r="D43" s="343">
        <f>+C15-C39=C43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$C$33</f>
        <v/>
      </c>
      <c r="O43" s="516">
        <f>N43-P43-Q43</f>
        <v/>
      </c>
      <c r="P43" s="500">
        <f>L43</f>
        <v/>
      </c>
      <c r="Q43" s="519">
        <f>M43</f>
        <v/>
      </c>
      <c r="R43" s="515">
        <f>$C$57</f>
        <v/>
      </c>
      <c r="S43" s="516">
        <f>R43-T43-U43</f>
        <v/>
      </c>
      <c r="T43" s="500">
        <f>P43</f>
        <v/>
      </c>
      <c r="U43" s="519">
        <f>Q43</f>
        <v/>
      </c>
      <c r="V43" s="92" t="n"/>
      <c r="W43" s="196" t="n"/>
      <c r="X43" s="92" t="n"/>
      <c r="Y43" s="206" t="n"/>
      <c r="Z43" s="206" t="n"/>
      <c r="AA43" s="206" t="n"/>
      <c r="AB43" s="94" t="n"/>
      <c r="AC43" s="206" t="n"/>
      <c r="AD43" s="206" t="n"/>
      <c r="AE43" s="206" t="n"/>
      <c r="AF43" s="206" t="n"/>
      <c r="AG43" s="94" t="n"/>
    </row>
    <row r="44" ht="17.25" customHeight="1" s="497" thickBot="1">
      <c r="B44" s="294" t="inlineStr">
        <is>
          <t>(최종) 단품 할인 반영 총 구독료 (V-)</t>
        </is>
      </c>
      <c r="C44" s="537">
        <f>C43*C7</f>
        <v/>
      </c>
      <c r="D44" s="343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$C$33</f>
        <v/>
      </c>
      <c r="O44" s="516">
        <f>N44-P44-Q44</f>
        <v/>
      </c>
      <c r="P44" s="500">
        <f>L44</f>
        <v/>
      </c>
      <c r="Q44" s="519">
        <f>M44</f>
        <v/>
      </c>
      <c r="R44" s="515">
        <f>$C$57</f>
        <v/>
      </c>
      <c r="S44" s="516">
        <f>R44-T44-U44</f>
        <v/>
      </c>
      <c r="T44" s="500">
        <f>P44</f>
        <v/>
      </c>
      <c r="U44" s="519">
        <f>Q44</f>
        <v/>
      </c>
      <c r="V44" s="92" t="n"/>
      <c r="W44" s="196" t="n"/>
      <c r="X44" s="92" t="n"/>
      <c r="Y44" s="206" t="n"/>
      <c r="Z44" s="206" t="n"/>
      <c r="AA44" s="206" t="n"/>
      <c r="AB44" s="94" t="n"/>
      <c r="AC44" s="206" t="n"/>
      <c r="AD44" s="206" t="n"/>
      <c r="AE44" s="206" t="n"/>
      <c r="AF44" s="206" t="n"/>
      <c r="AG44" s="94" t="n"/>
    </row>
    <row r="45">
      <c r="B45" s="295" t="inlineStr">
        <is>
          <t>(최종) 단품 할인 반영 월 구독료 (V+)</t>
        </is>
      </c>
      <c r="C45" s="538">
        <f>+C43*1.1</f>
        <v/>
      </c>
      <c r="D45" s="343">
        <f>+C15*1.1-C40=C45</f>
        <v/>
      </c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$C$33</f>
        <v/>
      </c>
      <c r="O45" s="516">
        <f>N45-P45-Q45</f>
        <v/>
      </c>
      <c r="P45" s="500">
        <f>L45</f>
        <v/>
      </c>
      <c r="Q45" s="519">
        <f>M45</f>
        <v/>
      </c>
      <c r="R45" s="515">
        <f>$C$57</f>
        <v/>
      </c>
      <c r="S45" s="516">
        <f>R45-T45-U45</f>
        <v/>
      </c>
      <c r="T45" s="500">
        <f>P45</f>
        <v/>
      </c>
      <c r="U45" s="519">
        <f>Q45</f>
        <v/>
      </c>
      <c r="V45" s="92" t="n"/>
      <c r="W45" s="196" t="n"/>
      <c r="X45" s="92" t="n"/>
      <c r="Y45" s="206" t="n"/>
      <c r="Z45" s="206" t="n"/>
      <c r="AA45" s="206" t="n"/>
      <c r="AB45" s="94" t="n"/>
      <c r="AC45" s="206" t="n"/>
      <c r="AD45" s="206" t="n"/>
      <c r="AE45" s="206" t="n"/>
      <c r="AF45" s="206" t="n"/>
      <c r="AG45" s="94" t="n"/>
    </row>
    <row r="46" ht="17.25" customHeight="1" s="497" thickBot="1">
      <c r="B46" s="294" t="inlineStr">
        <is>
          <t>(최종) 단품 할인 반영 총 구독료 (V+)</t>
        </is>
      </c>
      <c r="C46" s="537">
        <f>+C45*C7</f>
        <v/>
      </c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$C$33</f>
        <v/>
      </c>
      <c r="O46" s="516">
        <f>N46-P46-Q46</f>
        <v/>
      </c>
      <c r="P46" s="500">
        <f>L46</f>
        <v/>
      </c>
      <c r="Q46" s="519">
        <f>M46</f>
        <v/>
      </c>
      <c r="R46" s="515">
        <f>$C$57</f>
        <v/>
      </c>
      <c r="S46" s="516">
        <f>R46-T46-U46</f>
        <v/>
      </c>
      <c r="T46" s="500">
        <f>P46</f>
        <v/>
      </c>
      <c r="U46" s="519">
        <f>Q46</f>
        <v/>
      </c>
      <c r="V46" s="92" t="n"/>
      <c r="W46" s="196" t="n"/>
      <c r="X46" s="92" t="n"/>
      <c r="Y46" s="206" t="n"/>
      <c r="Z46" s="206" t="n"/>
      <c r="AA46" s="206" t="n"/>
      <c r="AB46" s="94" t="n"/>
      <c r="AC46" s="206" t="n"/>
      <c r="AD46" s="206" t="n"/>
      <c r="AE46" s="206" t="n"/>
      <c r="AF46" s="206" t="n"/>
      <c r="AG46" s="94" t="n"/>
    </row>
    <row r="47">
      <c r="B47" s="296" t="inlineStr">
        <is>
          <t>(계산용) 결합 할인금 (V+)</t>
        </is>
      </c>
      <c r="C47" s="528">
        <f>C16*D47</f>
        <v/>
      </c>
      <c r="D47" s="540" t="n">
        <v>0.05</v>
      </c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$C$33</f>
        <v/>
      </c>
      <c r="O47" s="516">
        <f>N47-P47-Q47</f>
        <v/>
      </c>
      <c r="P47" s="500">
        <f>L47</f>
        <v/>
      </c>
      <c r="Q47" s="519">
        <f>M47</f>
        <v/>
      </c>
      <c r="R47" s="515">
        <f>$C$57</f>
        <v/>
      </c>
      <c r="S47" s="516">
        <f>R47-T47-U47</f>
        <v/>
      </c>
      <c r="T47" s="500">
        <f>P47</f>
        <v/>
      </c>
      <c r="U47" s="519">
        <f>Q47</f>
        <v/>
      </c>
      <c r="V47" s="92" t="n"/>
      <c r="W47" s="196" t="n"/>
      <c r="X47" s="92" t="n"/>
      <c r="Y47" s="206" t="n"/>
      <c r="Z47" s="206" t="n"/>
      <c r="AA47" s="206" t="n"/>
      <c r="AB47" s="94" t="n"/>
      <c r="AC47" s="206" t="n"/>
      <c r="AD47" s="206" t="n"/>
      <c r="AE47" s="206" t="n"/>
      <c r="AF47" s="206" t="n"/>
      <c r="AG47" s="94" t="n"/>
    </row>
    <row r="48">
      <c r="B48" s="298" t="inlineStr">
        <is>
          <t>(계산용) 결합 할인금 (V-)</t>
        </is>
      </c>
      <c r="C48" s="530">
        <f>+C47/1.1</f>
        <v/>
      </c>
      <c r="D48" s="531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$C$33</f>
        <v/>
      </c>
      <c r="O48" s="516">
        <f>N48-P48-Q48</f>
        <v/>
      </c>
      <c r="P48" s="500">
        <f>L48</f>
        <v/>
      </c>
      <c r="Q48" s="519">
        <f>M48</f>
        <v/>
      </c>
      <c r="R48" s="515">
        <f>$C$57</f>
        <v/>
      </c>
      <c r="S48" s="516">
        <f>R48-T48-U48</f>
        <v/>
      </c>
      <c r="T48" s="500">
        <f>P48</f>
        <v/>
      </c>
      <c r="U48" s="519">
        <f>Q48</f>
        <v/>
      </c>
      <c r="V48" s="92" t="n"/>
      <c r="W48" s="196" t="n"/>
      <c r="X48" s="92" t="n"/>
      <c r="Y48" s="206" t="n"/>
      <c r="Z48" s="206" t="n"/>
      <c r="AA48" s="206" t="n"/>
      <c r="AB48" s="94" t="n"/>
      <c r="AC48" s="206" t="n"/>
      <c r="AD48" s="206" t="n"/>
      <c r="AE48" s="206" t="n"/>
      <c r="AF48" s="206" t="n"/>
      <c r="AG48" s="94" t="n"/>
    </row>
    <row r="49">
      <c r="B49" s="298" t="inlineStr">
        <is>
          <t>(계산용) 결합 월할인금 (V-)</t>
        </is>
      </c>
      <c r="C49" s="532">
        <f>+ROUNDUP(C48/C7,-2)</f>
        <v/>
      </c>
      <c r="D49" s="531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$C$33</f>
        <v/>
      </c>
      <c r="O49" s="516">
        <f>N49-P49-Q49</f>
        <v/>
      </c>
      <c r="P49" s="500">
        <f>L49</f>
        <v/>
      </c>
      <c r="Q49" s="519">
        <f>M49</f>
        <v/>
      </c>
      <c r="R49" s="515">
        <f>$C$57</f>
        <v/>
      </c>
      <c r="S49" s="516">
        <f>R49-T49-U49</f>
        <v/>
      </c>
      <c r="T49" s="500">
        <f>P49</f>
        <v/>
      </c>
      <c r="U49" s="519">
        <f>Q49</f>
        <v/>
      </c>
      <c r="V49" s="92" t="n"/>
      <c r="W49" s="196" t="n"/>
      <c r="X49" s="92" t="n"/>
      <c r="Y49" s="206" t="n"/>
      <c r="Z49" s="206" t="n"/>
      <c r="AA49" s="206" t="n"/>
      <c r="AB49" s="94" t="n"/>
      <c r="AC49" s="206" t="n"/>
      <c r="AD49" s="206" t="n"/>
      <c r="AE49" s="206" t="n"/>
      <c r="AF49" s="206" t="n"/>
      <c r="AG49" s="94" t="n"/>
    </row>
    <row r="50" ht="17.25" customHeight="1" s="497" thickBot="1">
      <c r="B50" s="301" t="inlineStr">
        <is>
          <t>(계산용) 결합 월할인금 (V+)</t>
        </is>
      </c>
      <c r="C50" s="533">
        <f>+C49*1.1</f>
        <v/>
      </c>
      <c r="D50" s="541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$C$33</f>
        <v/>
      </c>
      <c r="O50" s="516">
        <f>N50-P50-Q50</f>
        <v/>
      </c>
      <c r="P50" s="500">
        <f>L50</f>
        <v/>
      </c>
      <c r="Q50" s="519">
        <f>M50</f>
        <v/>
      </c>
      <c r="R50" s="515">
        <f>$C$57</f>
        <v/>
      </c>
      <c r="S50" s="516">
        <f>R50-T50-U50</f>
        <v/>
      </c>
      <c r="T50" s="500">
        <f>P50</f>
        <v/>
      </c>
      <c r="U50" s="519">
        <f>Q50</f>
        <v/>
      </c>
      <c r="V50" s="92" t="n"/>
      <c r="W50" s="196" t="n"/>
      <c r="X50" s="92" t="n"/>
      <c r="Y50" s="206" t="n"/>
      <c r="Z50" s="206" t="n"/>
      <c r="AA50" s="206" t="n"/>
      <c r="AB50" s="94" t="n"/>
      <c r="AC50" s="206" t="n"/>
      <c r="AD50" s="206" t="n"/>
      <c r="AE50" s="206" t="n"/>
      <c r="AF50" s="206" t="n"/>
      <c r="AG50" s="94" t="n"/>
    </row>
    <row r="51">
      <c r="B51" s="265" t="inlineStr">
        <is>
          <t>(최종) 결합 할인금 (V-)</t>
        </is>
      </c>
      <c r="C51" s="506">
        <f>+C49*C7</f>
        <v/>
      </c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$C$33</f>
        <v/>
      </c>
      <c r="O51" s="516">
        <f>N51-P51-Q51</f>
        <v/>
      </c>
      <c r="P51" s="500">
        <f>L51</f>
        <v/>
      </c>
      <c r="Q51" s="519">
        <f>M51</f>
        <v/>
      </c>
      <c r="R51" s="515">
        <f>$C$57</f>
        <v/>
      </c>
      <c r="S51" s="516">
        <f>R51-T51-U51</f>
        <v/>
      </c>
      <c r="T51" s="500">
        <f>P51</f>
        <v/>
      </c>
      <c r="U51" s="519">
        <f>Q51</f>
        <v/>
      </c>
      <c r="V51" s="92" t="n"/>
      <c r="W51" s="196" t="n"/>
      <c r="X51" s="92" t="n"/>
      <c r="Y51" s="206" t="n"/>
      <c r="Z51" s="206" t="n"/>
      <c r="AA51" s="206" t="n"/>
      <c r="AB51" s="94" t="n"/>
      <c r="AC51" s="206" t="n"/>
      <c r="AD51" s="206" t="n"/>
      <c r="AE51" s="206" t="n"/>
      <c r="AF51" s="206" t="n"/>
      <c r="AG51" s="94" t="n"/>
    </row>
    <row r="52" ht="17.25" customHeight="1" s="497" thickBot="1">
      <c r="B52" s="9" t="inlineStr">
        <is>
          <t>(최종) 결합 할인금 (V+)</t>
        </is>
      </c>
      <c r="C52" s="506">
        <f>+C50*C7</f>
        <v/>
      </c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$C$33</f>
        <v/>
      </c>
      <c r="O52" s="516">
        <f>N52-P52-Q52</f>
        <v/>
      </c>
      <c r="P52" s="500">
        <f>L52</f>
        <v/>
      </c>
      <c r="Q52" s="519">
        <f>M52</f>
        <v/>
      </c>
      <c r="R52" s="515">
        <f>$C$57</f>
        <v/>
      </c>
      <c r="S52" s="516">
        <f>R52-T52-U52</f>
        <v/>
      </c>
      <c r="T52" s="500">
        <f>P52</f>
        <v/>
      </c>
      <c r="U52" s="519">
        <f>Q52</f>
        <v/>
      </c>
      <c r="V52" s="92" t="n"/>
      <c r="W52" s="196" t="n"/>
      <c r="X52" s="92" t="n"/>
      <c r="Y52" s="206" t="n"/>
      <c r="Z52" s="206" t="n"/>
      <c r="AA52" s="206" t="n"/>
      <c r="AB52" s="94" t="n"/>
      <c r="AC52" s="206" t="n"/>
      <c r="AD52" s="206" t="n"/>
      <c r="AE52" s="206" t="n"/>
      <c r="AF52" s="206" t="n"/>
      <c r="AG52" s="94" t="n"/>
    </row>
    <row r="53">
      <c r="B53" s="293" t="inlineStr">
        <is>
          <t>(최종) 결합 할인 반영 월 구독료 (V-)</t>
        </is>
      </c>
      <c r="C53" s="536">
        <f>+(C14-C51)/C7</f>
        <v/>
      </c>
      <c r="D53" s="343">
        <f>+C15-C49=C53</f>
        <v/>
      </c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$C$33</f>
        <v/>
      </c>
      <c r="O53" s="516">
        <f>N53-P53-Q53</f>
        <v/>
      </c>
      <c r="P53" s="500">
        <f>L53</f>
        <v/>
      </c>
      <c r="Q53" s="519">
        <f>M53</f>
        <v/>
      </c>
      <c r="R53" s="515">
        <f>$C$57</f>
        <v/>
      </c>
      <c r="S53" s="516">
        <f>R53-T53-U53</f>
        <v/>
      </c>
      <c r="T53" s="500">
        <f>P53</f>
        <v/>
      </c>
      <c r="U53" s="519">
        <f>Q53</f>
        <v/>
      </c>
      <c r="V53" s="92" t="n"/>
      <c r="W53" s="196" t="n"/>
      <c r="X53" s="92" t="n"/>
      <c r="Y53" s="206" t="n"/>
      <c r="Z53" s="206" t="n"/>
      <c r="AA53" s="206" t="n"/>
      <c r="AB53" s="94" t="n"/>
      <c r="AC53" s="206" t="n"/>
      <c r="AD53" s="206" t="n"/>
      <c r="AE53" s="206" t="n"/>
      <c r="AF53" s="206" t="n"/>
      <c r="AG53" s="94" t="n"/>
    </row>
    <row r="54" ht="17.25" customHeight="1" s="497" thickBot="1">
      <c r="B54" s="294" t="inlineStr">
        <is>
          <t>(최종) 결합 할인 반영 총 구독료 (V-)</t>
        </is>
      </c>
      <c r="C54" s="537">
        <f>C53*C7</f>
        <v/>
      </c>
      <c r="D54" s="343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$C$33</f>
        <v/>
      </c>
      <c r="O54" s="516">
        <f>N54-P54-Q54</f>
        <v/>
      </c>
      <c r="P54" s="500">
        <f>L54</f>
        <v/>
      </c>
      <c r="Q54" s="519">
        <f>M54</f>
        <v/>
      </c>
      <c r="R54" s="515">
        <f>$C$57</f>
        <v/>
      </c>
      <c r="S54" s="516">
        <f>R54-T54-U54</f>
        <v/>
      </c>
      <c r="T54" s="500">
        <f>P54</f>
        <v/>
      </c>
      <c r="U54" s="519">
        <f>Q54</f>
        <v/>
      </c>
      <c r="V54" s="92" t="n"/>
      <c r="W54" s="196" t="n"/>
      <c r="X54" s="92" t="n"/>
      <c r="Y54" s="206" t="n"/>
      <c r="Z54" s="206" t="n"/>
      <c r="AA54" s="206" t="n"/>
      <c r="AB54" s="94" t="n"/>
      <c r="AC54" s="206" t="n"/>
      <c r="AD54" s="206" t="n"/>
      <c r="AE54" s="206" t="n"/>
      <c r="AF54" s="206" t="n"/>
      <c r="AG54" s="94" t="n"/>
    </row>
    <row r="55">
      <c r="B55" s="295" t="inlineStr">
        <is>
          <t>(최종) 결합 할인 반영 월 구독료 (V+)</t>
        </is>
      </c>
      <c r="C55" s="538">
        <f>+C53*1.1</f>
        <v/>
      </c>
      <c r="D55" s="343">
        <f>+C15*1.1-C50=C55</f>
        <v/>
      </c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$C$33</f>
        <v/>
      </c>
      <c r="O55" s="516">
        <f>N55-P55-Q55</f>
        <v/>
      </c>
      <c r="P55" s="500">
        <f>L55</f>
        <v/>
      </c>
      <c r="Q55" s="519">
        <f>M55</f>
        <v/>
      </c>
      <c r="R55" s="515">
        <f>$C$57</f>
        <v/>
      </c>
      <c r="S55" s="516">
        <f>R55-T55-U55</f>
        <v/>
      </c>
      <c r="T55" s="500">
        <f>P55</f>
        <v/>
      </c>
      <c r="U55" s="519">
        <f>Q55</f>
        <v/>
      </c>
      <c r="V55" s="92" t="n"/>
      <c r="W55" s="196" t="n"/>
      <c r="X55" s="92" t="n"/>
      <c r="Y55" s="206" t="n"/>
      <c r="Z55" s="206" t="n"/>
      <c r="AA55" s="206" t="n"/>
      <c r="AB55" s="94" t="n"/>
      <c r="AC55" s="206" t="n"/>
      <c r="AD55" s="206" t="n"/>
      <c r="AE55" s="206" t="n"/>
      <c r="AF55" s="206" t="n"/>
      <c r="AG55" s="94" t="n"/>
    </row>
    <row r="56" ht="17.25" customHeight="1" s="497" thickBot="1">
      <c r="B56" s="294" t="inlineStr">
        <is>
          <t>(최종) 결합 할인 반영 총 구독료 (V+)</t>
        </is>
      </c>
      <c r="C56" s="537">
        <f>+C55*C7</f>
        <v/>
      </c>
      <c r="D56" s="343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$C$33</f>
        <v/>
      </c>
      <c r="O56" s="516">
        <f>N56-P56-Q56</f>
        <v/>
      </c>
      <c r="P56" s="500">
        <f>L56</f>
        <v/>
      </c>
      <c r="Q56" s="519">
        <f>M56</f>
        <v/>
      </c>
      <c r="R56" s="515">
        <f>$C$57</f>
        <v/>
      </c>
      <c r="S56" s="516">
        <f>R56-T56-U56</f>
        <v/>
      </c>
      <c r="T56" s="500">
        <f>P56</f>
        <v/>
      </c>
      <c r="U56" s="519">
        <f>Q56</f>
        <v/>
      </c>
      <c r="V56" s="92" t="n"/>
      <c r="W56" s="196" t="n"/>
      <c r="X56" s="92" t="n"/>
      <c r="Y56" s="206" t="n"/>
      <c r="Z56" s="206" t="n"/>
      <c r="AA56" s="206" t="n"/>
      <c r="AB56" s="94" t="n"/>
      <c r="AC56" s="206" t="n"/>
      <c r="AD56" s="206" t="n"/>
      <c r="AE56" s="206" t="n"/>
      <c r="AF56" s="206" t="n"/>
      <c r="AG56" s="94" t="n"/>
    </row>
    <row r="57">
      <c r="B57" s="320" t="inlineStr">
        <is>
          <t>(최종) 선납+단품+결합 할인 반영 월 구독료 (V-)</t>
        </is>
      </c>
      <c r="C57" s="542">
        <f>+(C14-C26/1.1-C41-C31-C51)/C7</f>
        <v/>
      </c>
      <c r="D57" s="543">
        <f>+C15-C39-C29-C26/1.1/C7-C49=C57</f>
        <v/>
      </c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$C$33</f>
        <v/>
      </c>
      <c r="O57" s="516">
        <f>N57-P57-Q57</f>
        <v/>
      </c>
      <c r="P57" s="500">
        <f>L57</f>
        <v/>
      </c>
      <c r="Q57" s="519">
        <f>M57</f>
        <v/>
      </c>
      <c r="R57" s="515">
        <f>$C$57</f>
        <v/>
      </c>
      <c r="S57" s="516">
        <f>R57-T57-U57</f>
        <v/>
      </c>
      <c r="T57" s="500">
        <f>P57</f>
        <v/>
      </c>
      <c r="U57" s="519">
        <f>Q57</f>
        <v/>
      </c>
      <c r="V57" s="92" t="n"/>
      <c r="W57" s="196" t="n"/>
      <c r="X57" s="92" t="n"/>
      <c r="Y57" s="206" t="n"/>
      <c r="Z57" s="206" t="n"/>
      <c r="AA57" s="206" t="n"/>
      <c r="AB57" s="94" t="n"/>
      <c r="AC57" s="206" t="n"/>
      <c r="AD57" s="206" t="n"/>
      <c r="AE57" s="206" t="n"/>
      <c r="AF57" s="206" t="n"/>
      <c r="AG57" s="94" t="n"/>
    </row>
    <row r="58" ht="17.25" customHeight="1" s="497" thickBot="1">
      <c r="B58" s="322" t="inlineStr">
        <is>
          <t>(최종) 선납+단품+결합 할인 반영 총 구독료 (V-)</t>
        </is>
      </c>
      <c r="C58" s="544">
        <f>+C57*C7</f>
        <v/>
      </c>
      <c r="D58" s="343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$C$33</f>
        <v/>
      </c>
      <c r="O58" s="516">
        <f>N58-P58-Q58</f>
        <v/>
      </c>
      <c r="P58" s="500">
        <f>L58</f>
        <v/>
      </c>
      <c r="Q58" s="519">
        <f>M58</f>
        <v/>
      </c>
      <c r="R58" s="515">
        <f>$C$57</f>
        <v/>
      </c>
      <c r="S58" s="516">
        <f>R58-T58-U58</f>
        <v/>
      </c>
      <c r="T58" s="500">
        <f>P58</f>
        <v/>
      </c>
      <c r="U58" s="519">
        <f>Q58</f>
        <v/>
      </c>
      <c r="V58" s="92" t="n"/>
      <c r="W58" s="196" t="n"/>
      <c r="X58" s="92" t="n"/>
      <c r="Y58" s="206" t="n"/>
      <c r="Z58" s="206" t="n"/>
      <c r="AA58" s="206" t="n"/>
      <c r="AB58" s="94" t="n"/>
      <c r="AC58" s="206" t="n"/>
      <c r="AD58" s="206" t="n"/>
      <c r="AE58" s="206" t="n"/>
      <c r="AF58" s="206" t="n"/>
      <c r="AG58" s="94" t="n"/>
    </row>
    <row r="59">
      <c r="B59" s="324" t="inlineStr">
        <is>
          <t>(최종) 선납+단품+결합 할인 반영 월 구독료 (V+)</t>
        </is>
      </c>
      <c r="C59" s="545">
        <f>+C57*1.1</f>
        <v/>
      </c>
      <c r="D59" s="343">
        <f>+C15*1.1-C30-C40-C26/C7-C50=C59</f>
        <v/>
      </c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$C$33</f>
        <v/>
      </c>
      <c r="O59" s="516">
        <f>N59-P59-Q59</f>
        <v/>
      </c>
      <c r="P59" s="500">
        <f>L59</f>
        <v/>
      </c>
      <c r="Q59" s="519">
        <f>M59</f>
        <v/>
      </c>
      <c r="R59" s="515">
        <f>$C$57</f>
        <v/>
      </c>
      <c r="S59" s="516">
        <f>R59-T59-U59</f>
        <v/>
      </c>
      <c r="T59" s="500">
        <f>P59</f>
        <v/>
      </c>
      <c r="U59" s="519">
        <f>Q59</f>
        <v/>
      </c>
      <c r="V59" s="92" t="n"/>
      <c r="W59" s="196" t="n"/>
      <c r="X59" s="92" t="n"/>
      <c r="Y59" s="206" t="n"/>
      <c r="Z59" s="206" t="n"/>
      <c r="AA59" s="206" t="n"/>
      <c r="AB59" s="94" t="n"/>
      <c r="AC59" s="206" t="n"/>
      <c r="AD59" s="206" t="n"/>
      <c r="AE59" s="206" t="n"/>
      <c r="AF59" s="206" t="n"/>
      <c r="AG59" s="94" t="n"/>
    </row>
    <row r="60" ht="17.25" customHeight="1" s="497" thickBot="1">
      <c r="B60" s="322" t="inlineStr">
        <is>
          <t>(최종) 선납+단품+결합 할인 반영 총 구독료 (V+)</t>
        </is>
      </c>
      <c r="C60" s="544">
        <f>+C59*C7</f>
        <v/>
      </c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$C$33</f>
        <v/>
      </c>
      <c r="O60" s="516">
        <f>N60-P60-Q60</f>
        <v/>
      </c>
      <c r="P60" s="500">
        <f>L60</f>
        <v/>
      </c>
      <c r="Q60" s="519">
        <f>M60</f>
        <v/>
      </c>
      <c r="R60" s="515">
        <f>$C$57</f>
        <v/>
      </c>
      <c r="S60" s="516">
        <f>R60-T60-U60</f>
        <v/>
      </c>
      <c r="T60" s="500">
        <f>P60</f>
        <v/>
      </c>
      <c r="U60" s="519">
        <f>Q60</f>
        <v/>
      </c>
      <c r="V60" s="92" t="n"/>
      <c r="W60" s="196" t="n"/>
      <c r="X60" s="92" t="n"/>
      <c r="Y60" s="206" t="n"/>
      <c r="Z60" s="206" t="n"/>
      <c r="AA60" s="206" t="n"/>
      <c r="AB60" s="94" t="n"/>
      <c r="AC60" s="206" t="n"/>
      <c r="AD60" s="206" t="n"/>
      <c r="AE60" s="206" t="n"/>
      <c r="AF60" s="206" t="n"/>
      <c r="AG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$C$33</f>
        <v/>
      </c>
      <c r="O61" s="516">
        <f>N61-P61-Q61</f>
        <v/>
      </c>
      <c r="P61" s="500">
        <f>L61</f>
        <v/>
      </c>
      <c r="Q61" s="519">
        <f>M61</f>
        <v/>
      </c>
      <c r="R61" s="515">
        <f>$C$57</f>
        <v/>
      </c>
      <c r="S61" s="516">
        <f>R61-T61-U61</f>
        <v/>
      </c>
      <c r="T61" s="500">
        <f>P61</f>
        <v/>
      </c>
      <c r="U61" s="519">
        <f>Q61</f>
        <v/>
      </c>
      <c r="V61" s="92" t="n"/>
      <c r="W61" s="196" t="n"/>
      <c r="X61" s="92" t="n"/>
      <c r="Y61" s="206" t="n"/>
      <c r="Z61" s="206" t="n"/>
      <c r="AA61" s="206" t="n"/>
      <c r="AB61" s="94" t="n"/>
      <c r="AC61" s="206" t="n"/>
      <c r="AD61" s="206" t="n"/>
      <c r="AE61" s="206" t="n"/>
      <c r="AF61" s="206" t="n"/>
      <c r="AG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$C$33</f>
        <v/>
      </c>
      <c r="O62" s="516">
        <f>N62-P62-Q62</f>
        <v/>
      </c>
      <c r="P62" s="500">
        <f>L62</f>
        <v/>
      </c>
      <c r="Q62" s="519">
        <f>M62</f>
        <v/>
      </c>
      <c r="R62" s="515">
        <f>$C$57</f>
        <v/>
      </c>
      <c r="S62" s="516">
        <f>R62-T62-U62</f>
        <v/>
      </c>
      <c r="T62" s="500">
        <f>P62</f>
        <v/>
      </c>
      <c r="U62" s="519">
        <f>Q62</f>
        <v/>
      </c>
      <c r="V62" s="92" t="n"/>
      <c r="W62" s="196" t="n"/>
      <c r="X62" s="92" t="n"/>
      <c r="Y62" s="206" t="n"/>
      <c r="Z62" s="206" t="n"/>
      <c r="AA62" s="206" t="n"/>
      <c r="AB62" s="94" t="n"/>
      <c r="AC62" s="206" t="n"/>
      <c r="AD62" s="206" t="n"/>
      <c r="AE62" s="206" t="n"/>
      <c r="AF62" s="206" t="n"/>
      <c r="AG62" s="94" t="n"/>
    </row>
    <row r="63">
      <c r="C63" s="505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$C$33</f>
        <v/>
      </c>
      <c r="O63" s="516">
        <f>N63-P63-Q63</f>
        <v/>
      </c>
      <c r="P63" s="500">
        <f>L63</f>
        <v/>
      </c>
      <c r="Q63" s="519">
        <f>M63</f>
        <v/>
      </c>
      <c r="R63" s="515">
        <f>$C$57</f>
        <v/>
      </c>
      <c r="S63" s="516">
        <f>R63-T63-U63</f>
        <v/>
      </c>
      <c r="T63" s="500">
        <f>P63</f>
        <v/>
      </c>
      <c r="U63" s="519">
        <f>Q63</f>
        <v/>
      </c>
      <c r="V63" s="92" t="n"/>
      <c r="W63" s="196" t="n"/>
      <c r="X63" s="92" t="n"/>
      <c r="Y63" s="206" t="n"/>
      <c r="Z63" s="206" t="n"/>
      <c r="AA63" s="206" t="n"/>
      <c r="AB63" s="94" t="n"/>
      <c r="AC63" s="206" t="n"/>
      <c r="AD63" s="206" t="n"/>
      <c r="AE63" s="206" t="n"/>
      <c r="AF63" s="206" t="n"/>
      <c r="AG63" s="94" t="n"/>
    </row>
    <row r="64">
      <c r="B64" s="9" t="inlineStr">
        <is>
          <t>선납+단품+결합 할인 반영 순수 구독료 (V-)</t>
        </is>
      </c>
      <c r="C64" s="506">
        <f>C58-C11-C12</f>
        <v/>
      </c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$C$33</f>
        <v/>
      </c>
      <c r="O64" s="516">
        <f>N64-P64-Q64</f>
        <v/>
      </c>
      <c r="P64" s="500">
        <f>L64</f>
        <v/>
      </c>
      <c r="Q64" s="519">
        <f>M64</f>
        <v/>
      </c>
      <c r="R64" s="515">
        <f>$C$57</f>
        <v/>
      </c>
      <c r="S64" s="516">
        <f>R64-T64-U64</f>
        <v/>
      </c>
      <c r="T64" s="500">
        <f>P64</f>
        <v/>
      </c>
      <c r="U64" s="519">
        <f>Q64</f>
        <v/>
      </c>
      <c r="V64" s="92" t="n"/>
      <c r="W64" s="196" t="n"/>
      <c r="X64" s="92" t="n"/>
      <c r="Y64" s="206" t="n"/>
      <c r="Z64" s="206" t="n"/>
      <c r="AA64" s="206" t="n"/>
      <c r="AB64" s="94" t="n"/>
      <c r="AC64" s="206" t="n"/>
      <c r="AD64" s="206" t="n"/>
      <c r="AE64" s="206" t="n"/>
      <c r="AF64" s="206" t="n"/>
      <c r="AG64" s="94" t="n"/>
    </row>
    <row r="65">
      <c r="B65" s="9" t="inlineStr">
        <is>
          <t>선납+단품+결합 할인 반영 순수 구독료 월할 (V-)</t>
        </is>
      </c>
      <c r="C65" s="506">
        <f>C64/C7</f>
        <v/>
      </c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$C$33</f>
        <v/>
      </c>
      <c r="O65" s="516">
        <f>N65-P65-Q65</f>
        <v/>
      </c>
      <c r="P65" s="500">
        <f>L65</f>
        <v/>
      </c>
      <c r="Q65" s="519">
        <f>M65</f>
        <v/>
      </c>
      <c r="R65" s="515">
        <f>$C$57</f>
        <v/>
      </c>
      <c r="S65" s="516">
        <f>R65-T65-U65</f>
        <v/>
      </c>
      <c r="T65" s="500">
        <f>P65</f>
        <v/>
      </c>
      <c r="U65" s="519">
        <f>Q65</f>
        <v/>
      </c>
      <c r="V65" s="92" t="n"/>
      <c r="W65" s="196" t="n"/>
      <c r="X65" s="92" t="n"/>
      <c r="Y65" s="206" t="n"/>
      <c r="Z65" s="206" t="n"/>
      <c r="AA65" s="206" t="n"/>
      <c r="AB65" s="94" t="n"/>
      <c r="AC65" s="206" t="n"/>
      <c r="AD65" s="206" t="n"/>
      <c r="AE65" s="206" t="n"/>
      <c r="AF65" s="206" t="n"/>
      <c r="AG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$C$33</f>
        <v/>
      </c>
      <c r="O66" s="516">
        <f>N66-P66-Q66</f>
        <v/>
      </c>
      <c r="P66" s="500">
        <f>L66</f>
        <v/>
      </c>
      <c r="Q66" s="519">
        <f>M66</f>
        <v/>
      </c>
      <c r="R66" s="515">
        <f>$C$57</f>
        <v/>
      </c>
      <c r="S66" s="516">
        <f>R66-T66-U66</f>
        <v/>
      </c>
      <c r="T66" s="500">
        <f>P66</f>
        <v/>
      </c>
      <c r="U66" s="519">
        <f>Q66</f>
        <v/>
      </c>
      <c r="V66" s="92" t="n"/>
      <c r="W66" s="196" t="n"/>
      <c r="X66" s="92" t="n"/>
      <c r="Y66" s="206" t="n"/>
      <c r="Z66" s="206" t="n"/>
      <c r="AA66" s="206" t="n"/>
      <c r="AB66" s="94" t="n"/>
      <c r="AC66" s="206" t="n"/>
      <c r="AD66" s="206" t="n"/>
      <c r="AE66" s="206" t="n"/>
      <c r="AF66" s="206" t="n"/>
      <c r="AG66" s="94" t="n"/>
    </row>
    <row r="67">
      <c r="C67" s="505">
        <f>(C15*1.1)*5%/1.1</f>
        <v/>
      </c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$C$33</f>
        <v/>
      </c>
      <c r="O67" s="516">
        <f>N67-P67-Q67</f>
        <v/>
      </c>
      <c r="P67" s="500">
        <f>L67</f>
        <v/>
      </c>
      <c r="Q67" s="519">
        <f>M67</f>
        <v/>
      </c>
      <c r="R67" s="515">
        <f>$C$57</f>
        <v/>
      </c>
      <c r="S67" s="516">
        <f>R67-T67-U67</f>
        <v/>
      </c>
      <c r="T67" s="500">
        <f>P67</f>
        <v/>
      </c>
      <c r="U67" s="519">
        <f>Q67</f>
        <v/>
      </c>
      <c r="V67" s="92" t="n"/>
      <c r="W67" s="196" t="n"/>
      <c r="X67" s="92" t="n"/>
      <c r="Y67" s="206" t="n"/>
      <c r="Z67" s="206" t="n"/>
      <c r="AA67" s="206" t="n"/>
      <c r="AB67" s="94" t="n"/>
      <c r="AC67" s="206" t="n"/>
      <c r="AD67" s="206" t="n"/>
      <c r="AE67" s="206" t="n"/>
      <c r="AF67" s="206" t="n"/>
      <c r="AG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$C$33</f>
        <v/>
      </c>
      <c r="O68" s="516">
        <f>N68-P68-Q68</f>
        <v/>
      </c>
      <c r="P68" s="500">
        <f>L68</f>
        <v/>
      </c>
      <c r="Q68" s="519">
        <f>M68</f>
        <v/>
      </c>
      <c r="R68" s="515">
        <f>$C$57</f>
        <v/>
      </c>
      <c r="S68" s="516">
        <f>R68-T68-U68</f>
        <v/>
      </c>
      <c r="T68" s="500">
        <f>P68</f>
        <v/>
      </c>
      <c r="U68" s="519">
        <f>Q68</f>
        <v/>
      </c>
      <c r="V68" s="92" t="n"/>
      <c r="W68" s="196" t="n"/>
      <c r="X68" s="92" t="n"/>
      <c r="Y68" s="206" t="n"/>
      <c r="Z68" s="206" t="n"/>
      <c r="AA68" s="206" t="n"/>
      <c r="AB68" s="94" t="n"/>
      <c r="AC68" s="206" t="n"/>
      <c r="AD68" s="206" t="n"/>
      <c r="AE68" s="206" t="n"/>
      <c r="AF68" s="206" t="n"/>
      <c r="AG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$C$33</f>
        <v/>
      </c>
      <c r="O69" s="516">
        <f>N69-P69-Q69</f>
        <v/>
      </c>
      <c r="P69" s="500">
        <f>L69</f>
        <v/>
      </c>
      <c r="Q69" s="519">
        <f>M69</f>
        <v/>
      </c>
      <c r="R69" s="515">
        <f>$C$57</f>
        <v/>
      </c>
      <c r="S69" s="516">
        <f>R69-T69-U69</f>
        <v/>
      </c>
      <c r="T69" s="500">
        <f>P69</f>
        <v/>
      </c>
      <c r="U69" s="519">
        <f>Q69</f>
        <v/>
      </c>
      <c r="V69" s="92" t="n"/>
      <c r="W69" s="196" t="n"/>
      <c r="X69" s="92" t="n"/>
      <c r="Y69" s="206" t="n"/>
      <c r="Z69" s="206" t="n"/>
      <c r="AA69" s="206" t="n"/>
      <c r="AB69" s="94" t="n"/>
      <c r="AC69" s="206" t="n"/>
      <c r="AD69" s="206" t="n"/>
      <c r="AE69" s="206" t="n"/>
      <c r="AF69" s="206" t="n"/>
      <c r="AG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$C$33</f>
        <v/>
      </c>
      <c r="O70" s="516">
        <f>N70-P70-Q70</f>
        <v/>
      </c>
      <c r="P70" s="500">
        <f>L70</f>
        <v/>
      </c>
      <c r="Q70" s="519">
        <f>M70</f>
        <v/>
      </c>
      <c r="R70" s="515">
        <f>$C$57</f>
        <v/>
      </c>
      <c r="S70" s="516">
        <f>R70-T70-U70</f>
        <v/>
      </c>
      <c r="T70" s="500">
        <f>P70</f>
        <v/>
      </c>
      <c r="U70" s="519">
        <f>Q70</f>
        <v/>
      </c>
      <c r="V70" s="92" t="n"/>
      <c r="W70" s="196" t="n"/>
      <c r="X70" s="92" t="n"/>
      <c r="Y70" s="206" t="n"/>
      <c r="Z70" s="206" t="n"/>
      <c r="AA70" s="206" t="n"/>
      <c r="AB70" s="94" t="n"/>
      <c r="AC70" s="206" t="n"/>
      <c r="AD70" s="206" t="n"/>
      <c r="AE70" s="206" t="n"/>
      <c r="AF70" s="206" t="n"/>
      <c r="AG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$C$33</f>
        <v/>
      </c>
      <c r="O71" s="516">
        <f>N71-P71-Q71</f>
        <v/>
      </c>
      <c r="P71" s="500">
        <f>L71</f>
        <v/>
      </c>
      <c r="Q71" s="519">
        <f>M71</f>
        <v/>
      </c>
      <c r="R71" s="515">
        <f>$C$57</f>
        <v/>
      </c>
      <c r="S71" s="516">
        <f>R71-T71-U71</f>
        <v/>
      </c>
      <c r="T71" s="500">
        <f>P71</f>
        <v/>
      </c>
      <c r="U71" s="519">
        <f>Q71</f>
        <v/>
      </c>
      <c r="V71" s="92" t="n"/>
      <c r="W71" s="196" t="n"/>
      <c r="X71" s="92" t="n"/>
      <c r="Y71" s="206" t="n"/>
      <c r="Z71" s="206" t="n"/>
      <c r="AA71" s="206" t="n"/>
      <c r="AB71" s="94" t="n"/>
      <c r="AC71" s="206" t="n"/>
      <c r="AD71" s="206" t="n"/>
      <c r="AE71" s="206" t="n"/>
      <c r="AF71" s="206" t="n"/>
      <c r="AG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$C$33</f>
        <v/>
      </c>
      <c r="O72" s="516">
        <f>N72-P72-Q72</f>
        <v/>
      </c>
      <c r="P72" s="500">
        <f>L72</f>
        <v/>
      </c>
      <c r="Q72" s="519">
        <f>M72</f>
        <v/>
      </c>
      <c r="R72" s="515">
        <f>$C$57</f>
        <v/>
      </c>
      <c r="S72" s="516">
        <f>R72-T72-U72</f>
        <v/>
      </c>
      <c r="T72" s="500">
        <f>P72</f>
        <v/>
      </c>
      <c r="U72" s="519">
        <f>Q72</f>
        <v/>
      </c>
      <c r="V72" s="92" t="n"/>
      <c r="W72" s="196" t="n"/>
      <c r="X72" s="92" t="n"/>
      <c r="Y72" s="206" t="n"/>
      <c r="Z72" s="206" t="n"/>
      <c r="AA72" s="206" t="n"/>
      <c r="AB72" s="94" t="n"/>
      <c r="AC72" s="206" t="n"/>
      <c r="AD72" s="206" t="n"/>
      <c r="AE72" s="206" t="n"/>
      <c r="AF72" s="206" t="n"/>
      <c r="AG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$C$33</f>
        <v/>
      </c>
      <c r="O73" s="516">
        <f>N73-P73-Q73</f>
        <v/>
      </c>
      <c r="P73" s="500">
        <f>L73</f>
        <v/>
      </c>
      <c r="Q73" s="519">
        <f>M73</f>
        <v/>
      </c>
      <c r="R73" s="515">
        <f>$C$57</f>
        <v/>
      </c>
      <c r="S73" s="516">
        <f>R73-T73-U73</f>
        <v/>
      </c>
      <c r="T73" s="500">
        <f>P73</f>
        <v/>
      </c>
      <c r="U73" s="519">
        <f>Q73</f>
        <v/>
      </c>
      <c r="V73" s="92" t="n"/>
      <c r="W73" s="196" t="n"/>
      <c r="X73" s="92" t="n"/>
      <c r="Y73" s="206" t="n"/>
      <c r="Z73" s="206" t="n"/>
      <c r="AA73" s="206" t="n"/>
      <c r="AB73" s="94" t="n"/>
      <c r="AC73" s="206" t="n"/>
      <c r="AD73" s="206" t="n"/>
      <c r="AE73" s="206" t="n"/>
      <c r="AF73" s="206" t="n"/>
      <c r="AG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$C$33</f>
        <v/>
      </c>
      <c r="O74" s="516">
        <f>N74-P74-Q74</f>
        <v/>
      </c>
      <c r="P74" s="500">
        <f>L74</f>
        <v/>
      </c>
      <c r="Q74" s="519">
        <f>M74</f>
        <v/>
      </c>
      <c r="R74" s="515">
        <f>$C$57</f>
        <v/>
      </c>
      <c r="S74" s="516">
        <f>R74-T74-U74</f>
        <v/>
      </c>
      <c r="T74" s="500">
        <f>P74</f>
        <v/>
      </c>
      <c r="U74" s="519">
        <f>Q74</f>
        <v/>
      </c>
      <c r="V74" s="92" t="n"/>
      <c r="W74" s="196" t="n"/>
      <c r="X74" s="92" t="n"/>
      <c r="Y74" s="206" t="n"/>
      <c r="Z74" s="206" t="n"/>
      <c r="AA74" s="206" t="n"/>
      <c r="AB74" s="94" t="n"/>
      <c r="AC74" s="206" t="n"/>
      <c r="AD74" s="206" t="n"/>
      <c r="AE74" s="206" t="n"/>
      <c r="AF74" s="206" t="n"/>
      <c r="AG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$C$33</f>
        <v/>
      </c>
      <c r="O75" s="516">
        <f>N75-P75-Q75</f>
        <v/>
      </c>
      <c r="P75" s="500">
        <f>L75</f>
        <v/>
      </c>
      <c r="Q75" s="519">
        <f>M75</f>
        <v/>
      </c>
      <c r="R75" s="515">
        <f>$C$57</f>
        <v/>
      </c>
      <c r="S75" s="516">
        <f>R75-T75-U75</f>
        <v/>
      </c>
      <c r="T75" s="500">
        <f>P75</f>
        <v/>
      </c>
      <c r="U75" s="519">
        <f>Q75</f>
        <v/>
      </c>
      <c r="V75" s="92" t="n"/>
      <c r="W75" s="196" t="n"/>
      <c r="X75" s="92" t="n"/>
      <c r="Y75" s="206" t="n"/>
      <c r="Z75" s="206" t="n"/>
      <c r="AA75" s="206" t="n"/>
      <c r="AB75" s="94" t="n"/>
      <c r="AC75" s="206" t="n"/>
      <c r="AD75" s="206" t="n"/>
      <c r="AE75" s="206" t="n"/>
      <c r="AF75" s="206" t="n"/>
      <c r="AG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$C$33</f>
        <v/>
      </c>
      <c r="O76" s="516">
        <f>N76-P76-Q76</f>
        <v/>
      </c>
      <c r="P76" s="500">
        <f>L76</f>
        <v/>
      </c>
      <c r="Q76" s="519">
        <f>M76</f>
        <v/>
      </c>
      <c r="R76" s="515">
        <f>$C$57</f>
        <v/>
      </c>
      <c r="S76" s="516">
        <f>R76-T76-U76</f>
        <v/>
      </c>
      <c r="T76" s="500">
        <f>P76</f>
        <v/>
      </c>
      <c r="U76" s="519">
        <f>Q76</f>
        <v/>
      </c>
      <c r="V76" s="92" t="n"/>
      <c r="W76" s="196" t="n"/>
      <c r="X76" s="92" t="n"/>
      <c r="Y76" s="206" t="n"/>
      <c r="Z76" s="206" t="n"/>
      <c r="AA76" s="206" t="n"/>
      <c r="AB76" s="94" t="n"/>
      <c r="AC76" s="206" t="n"/>
      <c r="AD76" s="206" t="n"/>
      <c r="AE76" s="206" t="n"/>
      <c r="AF76" s="206" t="n"/>
      <c r="AG76" s="94" t="n"/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46">
        <f>$C$33-N5</f>
        <v/>
      </c>
      <c r="O77" s="547">
        <f>N77-P77-Q77</f>
        <v/>
      </c>
      <c r="P77" s="550">
        <f>L77</f>
        <v/>
      </c>
      <c r="Q77" s="551">
        <f>M77</f>
        <v/>
      </c>
      <c r="R77" s="546">
        <f>$C$57-R5</f>
        <v/>
      </c>
      <c r="S77" s="547">
        <f>R77-T77-U77</f>
        <v/>
      </c>
      <c r="T77" s="550">
        <f>P77</f>
        <v/>
      </c>
      <c r="U77" s="551">
        <f>Q77</f>
        <v/>
      </c>
      <c r="V77" s="59" t="n"/>
      <c r="W77" s="12" t="n"/>
      <c r="X77" s="59" t="n"/>
      <c r="Y77" s="95" t="n"/>
      <c r="Z77" s="95" t="n"/>
      <c r="AA77" s="95" t="n"/>
      <c r="AB77" s="97" t="n"/>
      <c r="AC77" s="95" t="n"/>
      <c r="AD77" s="95" t="n"/>
      <c r="AE77" s="95" t="n"/>
      <c r="AF77" s="95" t="n"/>
      <c r="AG77" s="97" t="n"/>
    </row>
    <row r="78">
      <c r="O78" s="500" t="n"/>
      <c r="S78" s="500" t="n"/>
    </row>
  </sheetData>
  <mergeCells count="3">
    <mergeCell ref="D47:D50"/>
    <mergeCell ref="D27:D30"/>
    <mergeCell ref="D37:D40"/>
  </mergeCells>
  <pageMargins left="0.7" right="0.7" top="0.75" bottom="0.75" header="0.3" footer="0.3"/>
  <pageSetup orientation="portrait" paperSize="9"/>
</worksheet>
</file>

<file path=xl/worksheets/sheet31.xml><?xml version="1.0" encoding="utf-8"?>
<worksheet xmlns="http://schemas.openxmlformats.org/spreadsheetml/2006/main">
  <sheetPr>
    <tabColor rgb="00A6A6A6"/>
    <outlinePr summaryBelow="1" summaryRight="1"/>
    <pageSetUpPr/>
  </sheetPr>
  <dimension ref="A1:AC78"/>
  <sheetViews>
    <sheetView showGridLines="0" zoomScale="70" zoomScaleNormal="70" workbookViewId="0">
      <pane xSplit="6" topLeftCell="G1" activePane="topRight" state="frozen"/>
      <selection activeCell="J34" sqref="J34"/>
      <selection pane="topRight" activeCell="J34" sqref="J3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22" customWidth="1" style="497" min="18" max="18"/>
    <col width="7.375" bestFit="1" customWidth="1" style="497" min="19" max="19"/>
    <col width="7.375" customWidth="1" style="497" min="20" max="20"/>
    <col width="19" customWidth="1" style="497" min="21" max="21"/>
    <col width="13.875" customWidth="1" style="497" min="22" max="22"/>
    <col width="14" bestFit="1" customWidth="1" style="497" min="23" max="23"/>
    <col width="11.375" bestFit="1" customWidth="1" style="497" min="24" max="24"/>
    <col width="15.375" bestFit="1" customWidth="1" style="497" min="26" max="26"/>
    <col width="12.375" bestFit="1" customWidth="1" style="497" min="27" max="27"/>
    <col width="10.1875" bestFit="1" customWidth="1" style="497" min="30" max="30"/>
  </cols>
  <sheetData>
    <row r="1">
      <c r="S1" s="500" t="n"/>
      <c r="T1" s="259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U2" s="206" t="inlineStr">
        <is>
          <t>* 위약금은 비과세로 총구독료(v+)기준으로 계산</t>
        </is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중도완납 시 (v-)</t>
        </is>
      </c>
      <c r="S3" s="70" t="n"/>
      <c r="T3" s="254" t="n"/>
      <c r="U3" s="254" t="n"/>
      <c r="V3" s="254" t="n"/>
      <c r="W3" s="255" t="n"/>
      <c r="AC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26" t="inlineStr">
        <is>
          <t>중도완납 확정일</t>
        </is>
      </c>
      <c r="S4" s="9" t="inlineStr">
        <is>
          <t>경과일</t>
        </is>
      </c>
      <c r="T4" s="26" t="inlineStr">
        <is>
          <t>미사용일</t>
        </is>
      </c>
      <c r="U4" s="26" t="inlineStr">
        <is>
          <t>중도완납금</t>
        </is>
      </c>
      <c r="V4" s="15" t="inlineStr">
        <is>
          <t>사용분 청구</t>
        </is>
      </c>
      <c r="W4" s="27" t="inlineStr">
        <is>
          <t>선납액 차감</t>
        </is>
      </c>
      <c r="Z4" s="273" t="inlineStr">
        <is>
          <t>사용분 청구 (v-)</t>
        </is>
      </c>
      <c r="AA4" s="274" t="n"/>
      <c r="AB4" s="274" t="n"/>
      <c r="AC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L5</f>
        <v/>
      </c>
      <c r="Q5" s="519">
        <f>M5</f>
        <v/>
      </c>
      <c r="R5" s="55" t="n"/>
      <c r="S5" s="54">
        <f>H5-G5+1</f>
        <v/>
      </c>
      <c r="T5" s="55" t="n"/>
      <c r="U5" s="55" t="n"/>
      <c r="V5" s="626" t="n"/>
      <c r="W5" s="91" t="n"/>
      <c r="Z5" s="130" t="n"/>
      <c r="AA5" s="9" t="inlineStr">
        <is>
          <t>제품</t>
        </is>
      </c>
      <c r="AB5" s="9" t="inlineStr">
        <is>
          <t>케어</t>
        </is>
      </c>
      <c r="AC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92" t="n"/>
      <c r="S6" s="196">
        <f>H6-G6+1</f>
        <v/>
      </c>
      <c r="T6" s="92" t="n"/>
      <c r="U6" s="516" t="n"/>
      <c r="V6" s="206" t="n"/>
      <c r="W6" s="94" t="n"/>
      <c r="Z6" s="527">
        <f>V24</f>
        <v/>
      </c>
      <c r="AA6" s="527">
        <f>Z6-AB6-AC6</f>
        <v/>
      </c>
      <c r="AB6" s="2">
        <f>ROUNDDOWN(P24*S24/DAY(H24),-2)</f>
        <v/>
      </c>
      <c r="AC6" s="2">
        <f>ROUNDDOWN(Q24*S24/DAY(H24),-2)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92" t="n"/>
      <c r="S7" s="196">
        <f>H7-G7+1</f>
        <v/>
      </c>
      <c r="T7" s="92" t="n"/>
      <c r="U7" s="516" t="n"/>
      <c r="V7" s="206" t="n"/>
      <c r="W7" s="94" t="n"/>
      <c r="Z7" s="505" t="n"/>
      <c r="AA7" s="505" t="n"/>
      <c r="AB7" s="505" t="n"/>
      <c r="AC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92" t="n"/>
      <c r="S8" s="196">
        <f>H8-G8+1</f>
        <v/>
      </c>
      <c r="T8" s="92" t="n"/>
      <c r="U8" s="516" t="n"/>
      <c r="V8" s="206" t="n"/>
      <c r="W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92" t="n"/>
      <c r="S9" s="196">
        <f>H9-G9+1</f>
        <v/>
      </c>
      <c r="T9" s="92" t="n"/>
      <c r="U9" s="516" t="n"/>
      <c r="V9" s="206" t="n"/>
      <c r="W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92" t="n"/>
      <c r="S10" s="196">
        <f>H10-G10+1</f>
        <v/>
      </c>
      <c r="T10" s="92" t="n"/>
      <c r="U10" s="516" t="n"/>
      <c r="V10" s="206" t="n"/>
      <c r="W10" s="94" t="n"/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92" t="n"/>
      <c r="S11" s="196">
        <f>H11-G11+1</f>
        <v/>
      </c>
      <c r="T11" s="92" t="n"/>
      <c r="U11" s="516" t="n"/>
      <c r="V11" s="206" t="n"/>
      <c r="W11" s="94" t="n"/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92" t="n"/>
      <c r="S12" s="196">
        <f>H12-G12+1</f>
        <v/>
      </c>
      <c r="T12" s="92" t="n"/>
      <c r="U12" s="516" t="n"/>
      <c r="V12" s="206" t="n"/>
      <c r="W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92" t="n"/>
      <c r="S13" s="196">
        <f>H13-G13+1</f>
        <v/>
      </c>
      <c r="T13" s="92" t="n"/>
      <c r="U13" s="516" t="n"/>
      <c r="V13" s="206" t="n"/>
      <c r="W13" s="94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92" t="n"/>
      <c r="S14" s="196">
        <f>H14-G14+1</f>
        <v/>
      </c>
      <c r="T14" s="92" t="n"/>
      <c r="U14" s="516" t="n"/>
      <c r="V14" s="206" t="n"/>
      <c r="W14" s="94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92" t="n"/>
      <c r="S15" s="196">
        <f>H15-G15+1</f>
        <v/>
      </c>
      <c r="T15" s="92" t="n"/>
      <c r="U15" s="516" t="n"/>
      <c r="V15" s="206" t="n"/>
      <c r="W15" s="94" t="n"/>
    </row>
    <row r="16">
      <c r="B16" s="9" t="inlineStr">
        <is>
          <t>총구독료(v+)</t>
        </is>
      </c>
      <c r="C16" s="526" t="n">
        <v>12933360</v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92" t="n"/>
      <c r="S16" s="196">
        <f>H16-G16+1</f>
        <v/>
      </c>
      <c r="T16" s="92" t="n"/>
      <c r="U16" s="516" t="n"/>
      <c r="V16" s="206" t="n"/>
      <c r="W16" s="94" t="n"/>
    </row>
    <row r="17">
      <c r="B17" s="9" t="inlineStr">
        <is>
          <t>월구독료(v+)</t>
        </is>
      </c>
      <c r="C17" s="526" t="n">
        <v>179630</v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92" t="n"/>
      <c r="S17" s="196">
        <f>H17-G17+1</f>
        <v/>
      </c>
      <c r="T17" s="92" t="n"/>
      <c r="U17" s="516" t="n"/>
      <c r="V17" s="206" t="n"/>
      <c r="W17" s="94" t="n"/>
    </row>
    <row r="18">
      <c r="C18" s="505" t="n"/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92" t="n"/>
      <c r="S18" s="196">
        <f>H18-G18+1</f>
        <v/>
      </c>
      <c r="T18" s="92" t="n"/>
      <c r="U18" s="516" t="n"/>
      <c r="V18" s="206" t="n"/>
      <c r="W18" s="94" t="n"/>
    </row>
    <row r="19">
      <c r="C19" s="505" t="n"/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92" t="n"/>
      <c r="S19" s="196">
        <f>H19-G19+1</f>
        <v/>
      </c>
      <c r="T19" s="92" t="n"/>
      <c r="U19" s="516" t="n"/>
      <c r="V19" s="206" t="n"/>
      <c r="W19" s="94" t="n"/>
    </row>
    <row r="20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L20</f>
        <v/>
      </c>
      <c r="Q20" s="519">
        <f>M20</f>
        <v/>
      </c>
      <c r="R20" s="92" t="n"/>
      <c r="S20" s="196">
        <f>H20-G20+1</f>
        <v/>
      </c>
      <c r="T20" s="92" t="n"/>
      <c r="U20" s="516" t="n"/>
      <c r="V20" s="206" t="n"/>
      <c r="W20" s="94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L21</f>
        <v/>
      </c>
      <c r="Q21" s="519">
        <f>M21</f>
        <v/>
      </c>
      <c r="R21" s="92" t="n"/>
      <c r="S21" s="196">
        <f>H21-G21+1</f>
        <v/>
      </c>
      <c r="T21" s="92" t="n"/>
      <c r="U21" s="516" t="n"/>
      <c r="V21" s="206" t="n"/>
      <c r="W21" s="94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L22</f>
        <v/>
      </c>
      <c r="Q22" s="519">
        <f>M22</f>
        <v/>
      </c>
      <c r="R22" s="92" t="n"/>
      <c r="S22" s="196">
        <f>H22-G22+1</f>
        <v/>
      </c>
      <c r="T22" s="92" t="n"/>
      <c r="U22" s="516" t="n"/>
      <c r="V22" s="206" t="n"/>
      <c r="W22" s="94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L23</f>
        <v/>
      </c>
      <c r="Q23" s="519">
        <f>M23</f>
        <v/>
      </c>
      <c r="R23" s="92" t="n"/>
      <c r="S23" s="196">
        <f>H23-G23+1</f>
        <v/>
      </c>
      <c r="T23" s="92" t="n"/>
      <c r="U23" s="516" t="n"/>
      <c r="V23" s="206" t="n"/>
      <c r="W23" s="94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L24</f>
        <v/>
      </c>
      <c r="Q24" s="635">
        <f>M24</f>
        <v/>
      </c>
      <c r="R24" s="99" t="n">
        <v>46494</v>
      </c>
      <c r="S24" s="415">
        <f>R24-G24</f>
        <v/>
      </c>
      <c r="T24" s="258">
        <f>H24-G24+1-S24</f>
        <v/>
      </c>
      <c r="U24" s="717">
        <f>ROUNDDOWN($C$13*(SUM(T24:T77)/$C$8),-2)</f>
        <v/>
      </c>
      <c r="V24" s="718">
        <f>ROUNDDOWN(N24*S24/DAY(H24),-2)</f>
        <v/>
      </c>
      <c r="W24" s="638">
        <f>-ROUNDUP((C26*(C8-SUM(S5:S24))/C8),-2)</f>
        <v/>
      </c>
      <c r="X24" s="206" t="inlineStr">
        <is>
          <t>* 중도완납 청구 기준: 케어+보증 제외한 매출인식기준구독료의 일수비율</t>
        </is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488" t="inlineStr">
        <is>
          <t>* 사용일 기준: 고객센터 접수 전일까지 사용</t>
        </is>
      </c>
      <c r="S25" s="196">
        <f>T25</f>
        <v/>
      </c>
      <c r="T25" s="92">
        <f>H25-G25+1</f>
        <v/>
      </c>
      <c r="U25" s="629" t="n"/>
      <c r="V25" s="539" t="n"/>
      <c r="W25" s="94" t="n"/>
    </row>
    <row r="26">
      <c r="A26" s="176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719" t="n"/>
      <c r="S26" s="196">
        <f>T26</f>
        <v/>
      </c>
      <c r="T26" s="92">
        <f>H26-G26+1</f>
        <v/>
      </c>
      <c r="U26" s="516" t="n"/>
      <c r="V26" s="206" t="n"/>
      <c r="W26" s="94" t="n"/>
      <c r="X26" s="500" t="n"/>
    </row>
    <row r="27">
      <c r="B27" s="9" t="inlineStr">
        <is>
          <t>(계산용) 선납 할인금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92" t="n"/>
      <c r="S27" s="196">
        <f>T27</f>
        <v/>
      </c>
      <c r="T27" s="92">
        <f>H27-G27+1</f>
        <v/>
      </c>
      <c r="U27" s="92" t="n"/>
      <c r="V27" s="206" t="n"/>
      <c r="W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92" t="n"/>
      <c r="S28" s="196">
        <f>T28</f>
        <v/>
      </c>
      <c r="T28" s="92">
        <f>H28-G28+1</f>
        <v/>
      </c>
      <c r="U28" s="92" t="n"/>
      <c r="V28" s="206" t="n"/>
      <c r="W28" s="94" t="n"/>
      <c r="X28" s="500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92" t="n"/>
      <c r="S29" s="196">
        <f>T29</f>
        <v/>
      </c>
      <c r="T29" s="92">
        <f>H29-G29+1</f>
        <v/>
      </c>
      <c r="U29" s="92" t="n"/>
      <c r="V29" s="206" t="n"/>
      <c r="W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92" t="n"/>
      <c r="S30" s="196">
        <f>T30</f>
        <v/>
      </c>
      <c r="T30" s="92">
        <f>H30-G30+1</f>
        <v/>
      </c>
      <c r="U30" s="92" t="n"/>
      <c r="V30" s="206" t="n"/>
      <c r="W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92" t="n"/>
      <c r="S31" s="196">
        <f>T31</f>
        <v/>
      </c>
      <c r="T31" s="92">
        <f>H31-G31+1</f>
        <v/>
      </c>
      <c r="U31" s="92" t="n"/>
      <c r="V31" s="206" t="n"/>
      <c r="W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92" t="n"/>
      <c r="S32" s="196">
        <f>T32</f>
        <v/>
      </c>
      <c r="T32" s="92">
        <f>H32-G32+1</f>
        <v/>
      </c>
      <c r="U32" s="92" t="n"/>
      <c r="V32" s="206" t="n"/>
      <c r="W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92" t="n"/>
      <c r="S33" s="196">
        <f>T33</f>
        <v/>
      </c>
      <c r="T33" s="92">
        <f>H33-G33+1</f>
        <v/>
      </c>
      <c r="U33" s="92" t="n"/>
      <c r="V33" s="206" t="n"/>
      <c r="W33" s="94" t="n"/>
    </row>
    <row r="34">
      <c r="B34" s="9" t="inlineStr">
        <is>
          <t>선납금+선납 할인 반영 순수 구독료 (V-)</t>
        </is>
      </c>
      <c r="C34" s="506">
        <f>C32-C11-C12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92" t="n"/>
      <c r="S34" s="196">
        <f>T34</f>
        <v/>
      </c>
      <c r="T34" s="92">
        <f>H34-G34+1</f>
        <v/>
      </c>
      <c r="U34" s="92" t="n"/>
      <c r="V34" s="206" t="n"/>
      <c r="W34" s="94" t="n"/>
      <c r="X34" s="206" t="inlineStr">
        <is>
          <t> </t>
        </is>
      </c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92" t="n"/>
      <c r="S35" s="196">
        <f>T35</f>
        <v/>
      </c>
      <c r="T35" s="92">
        <f>H35-G35+1</f>
        <v/>
      </c>
      <c r="U35" s="92" t="n"/>
      <c r="V35" s="206" t="n"/>
      <c r="W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92" t="n"/>
      <c r="S36" s="196">
        <f>T36</f>
        <v/>
      </c>
      <c r="T36" s="92">
        <f>H36-G36+1</f>
        <v/>
      </c>
      <c r="U36" s="92" t="n"/>
      <c r="V36" s="206" t="n"/>
      <c r="W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92" t="n"/>
      <c r="S37" s="196">
        <f>T37</f>
        <v/>
      </c>
      <c r="T37" s="92">
        <f>H37-G37+1</f>
        <v/>
      </c>
      <c r="U37" s="92" t="n"/>
      <c r="V37" s="206" t="n"/>
      <c r="W37" s="94" t="n"/>
    </row>
    <row r="38">
      <c r="B38" s="256" t="inlineStr">
        <is>
          <t>등록비 (V+)</t>
        </is>
      </c>
      <c r="C38" s="526" t="n">
        <v>100000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92" t="n"/>
      <c r="S38" s="196">
        <f>T38</f>
        <v/>
      </c>
      <c r="T38" s="92">
        <f>H38-G38+1</f>
        <v/>
      </c>
      <c r="U38" s="92" t="n"/>
      <c r="V38" s="206" t="n"/>
      <c r="W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92" t="n"/>
      <c r="S39" s="196">
        <f>T39</f>
        <v/>
      </c>
      <c r="T39" s="92">
        <f>H39-G39+1</f>
        <v/>
      </c>
      <c r="U39" s="92" t="n"/>
      <c r="V39" s="206" t="n"/>
      <c r="W39" s="94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92" t="n"/>
      <c r="S40" s="196">
        <f>T40</f>
        <v/>
      </c>
      <c r="T40" s="92">
        <f>H40-G40+1</f>
        <v/>
      </c>
      <c r="U40" s="92" t="n"/>
      <c r="V40" s="206" t="n"/>
      <c r="W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92" t="n"/>
      <c r="S41" s="196">
        <f>T41</f>
        <v/>
      </c>
      <c r="T41" s="92">
        <f>H41-G41+1</f>
        <v/>
      </c>
      <c r="U41" s="92" t="n"/>
      <c r="V41" s="206" t="n"/>
      <c r="W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92" t="n"/>
      <c r="S42" s="196">
        <f>T42</f>
        <v/>
      </c>
      <c r="T42" s="92">
        <f>H42-G42+1</f>
        <v/>
      </c>
      <c r="U42" s="92" t="n"/>
      <c r="V42" s="206" t="n"/>
      <c r="W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92" t="n"/>
      <c r="S43" s="196">
        <f>T43</f>
        <v/>
      </c>
      <c r="T43" s="92">
        <f>H43-G43+1</f>
        <v/>
      </c>
      <c r="U43" s="92" t="n"/>
      <c r="V43" s="206" t="n"/>
      <c r="W43" s="94" t="n"/>
    </row>
    <row r="44">
      <c r="C44" s="500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92" t="n"/>
      <c r="S44" s="196">
        <f>T44</f>
        <v/>
      </c>
      <c r="T44" s="92">
        <f>H44-G44+1</f>
        <v/>
      </c>
      <c r="U44" s="92" t="n"/>
      <c r="V44" s="206" t="n"/>
      <c r="W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92" t="n"/>
      <c r="S45" s="196">
        <f>T45</f>
        <v/>
      </c>
      <c r="T45" s="92">
        <f>H45-G45+1</f>
        <v/>
      </c>
      <c r="U45" s="92" t="n"/>
      <c r="V45" s="206" t="n"/>
      <c r="W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92" t="n"/>
      <c r="S46" s="196">
        <f>T46</f>
        <v/>
      </c>
      <c r="T46" s="92">
        <f>H46-G46+1</f>
        <v/>
      </c>
      <c r="U46" s="92" t="n"/>
      <c r="V46" s="206" t="n"/>
      <c r="W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92" t="n"/>
      <c r="S47" s="196">
        <f>T47</f>
        <v/>
      </c>
      <c r="T47" s="92">
        <f>H47-G47+1</f>
        <v/>
      </c>
      <c r="U47" s="92" t="n"/>
      <c r="V47" s="206" t="n"/>
      <c r="W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92" t="n"/>
      <c r="S48" s="196">
        <f>T48</f>
        <v/>
      </c>
      <c r="T48" s="92">
        <f>H48-G48+1</f>
        <v/>
      </c>
      <c r="U48" s="92" t="n"/>
      <c r="V48" s="206" t="n"/>
      <c r="W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92" t="n"/>
      <c r="S49" s="196">
        <f>T49</f>
        <v/>
      </c>
      <c r="T49" s="92">
        <f>H49-G49+1</f>
        <v/>
      </c>
      <c r="U49" s="92" t="n"/>
      <c r="V49" s="206" t="n"/>
      <c r="W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92" t="n"/>
      <c r="S50" s="196">
        <f>T50</f>
        <v/>
      </c>
      <c r="T50" s="92">
        <f>H50-G50+1</f>
        <v/>
      </c>
      <c r="U50" s="92" t="n"/>
      <c r="V50" s="206" t="n"/>
      <c r="W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92" t="n"/>
      <c r="S51" s="196">
        <f>T51</f>
        <v/>
      </c>
      <c r="T51" s="92">
        <f>H51-G51+1</f>
        <v/>
      </c>
      <c r="U51" s="92" t="n"/>
      <c r="V51" s="206" t="n"/>
      <c r="W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92" t="n"/>
      <c r="S52" s="196">
        <f>T52</f>
        <v/>
      </c>
      <c r="T52" s="92">
        <f>H52-G52+1</f>
        <v/>
      </c>
      <c r="U52" s="92" t="n"/>
      <c r="V52" s="206" t="n"/>
      <c r="W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92" t="n"/>
      <c r="S53" s="196">
        <f>T53</f>
        <v/>
      </c>
      <c r="T53" s="92">
        <f>H53-G53+1</f>
        <v/>
      </c>
      <c r="U53" s="92" t="n"/>
      <c r="V53" s="206" t="n"/>
      <c r="W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92" t="n"/>
      <c r="S54" s="196">
        <f>T54</f>
        <v/>
      </c>
      <c r="T54" s="92">
        <f>H54-G54+1</f>
        <v/>
      </c>
      <c r="U54" s="92" t="n"/>
      <c r="V54" s="206" t="n"/>
      <c r="W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92" t="n"/>
      <c r="S55" s="196">
        <f>T55</f>
        <v/>
      </c>
      <c r="T55" s="92">
        <f>H55-G55+1</f>
        <v/>
      </c>
      <c r="U55" s="92" t="n"/>
      <c r="V55" s="206" t="n"/>
      <c r="W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92" t="n"/>
      <c r="S56" s="196">
        <f>T56</f>
        <v/>
      </c>
      <c r="T56" s="92">
        <f>H56-G56+1</f>
        <v/>
      </c>
      <c r="U56" s="92" t="n"/>
      <c r="V56" s="206" t="n"/>
      <c r="W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92" t="n"/>
      <c r="S57" s="196">
        <f>T57</f>
        <v/>
      </c>
      <c r="T57" s="92">
        <f>H57-G57+1</f>
        <v/>
      </c>
      <c r="U57" s="92" t="n"/>
      <c r="V57" s="206" t="n"/>
      <c r="W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92" t="n"/>
      <c r="S58" s="196">
        <f>T58</f>
        <v/>
      </c>
      <c r="T58" s="92">
        <f>H58-G58+1</f>
        <v/>
      </c>
      <c r="U58" s="92" t="n"/>
      <c r="V58" s="206" t="n"/>
      <c r="W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92" t="n"/>
      <c r="S59" s="196">
        <f>T59</f>
        <v/>
      </c>
      <c r="T59" s="92">
        <f>H59-G59+1</f>
        <v/>
      </c>
      <c r="U59" s="92" t="n"/>
      <c r="V59" s="206" t="n"/>
      <c r="W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L60</f>
        <v/>
      </c>
      <c r="Q60" s="519">
        <f>M60</f>
        <v/>
      </c>
      <c r="R60" s="92" t="n"/>
      <c r="S60" s="196">
        <f>T60</f>
        <v/>
      </c>
      <c r="T60" s="92">
        <f>H60-G60+1</f>
        <v/>
      </c>
      <c r="U60" s="92" t="n"/>
      <c r="V60" s="206" t="n"/>
      <c r="W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92" t="n"/>
      <c r="S61" s="196">
        <f>T61</f>
        <v/>
      </c>
      <c r="T61" s="92">
        <f>H61-G61+1</f>
        <v/>
      </c>
      <c r="U61" s="92" t="n"/>
      <c r="V61" s="206" t="n"/>
      <c r="W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92" t="n"/>
      <c r="S62" s="196">
        <f>T62</f>
        <v/>
      </c>
      <c r="T62" s="92">
        <f>H62-G62+1</f>
        <v/>
      </c>
      <c r="U62" s="92" t="n"/>
      <c r="V62" s="206" t="n"/>
      <c r="W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92" t="n"/>
      <c r="S63" s="196">
        <f>T63</f>
        <v/>
      </c>
      <c r="T63" s="92">
        <f>H63-G63+1</f>
        <v/>
      </c>
      <c r="U63" s="92" t="n"/>
      <c r="V63" s="206" t="n"/>
      <c r="W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92" t="n"/>
      <c r="S64" s="196">
        <f>T64</f>
        <v/>
      </c>
      <c r="T64" s="92">
        <f>H64-G64+1</f>
        <v/>
      </c>
      <c r="U64" s="92" t="n"/>
      <c r="V64" s="206" t="n"/>
      <c r="W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92" t="n"/>
      <c r="S65" s="196">
        <f>T65</f>
        <v/>
      </c>
      <c r="T65" s="92">
        <f>H65-G65+1</f>
        <v/>
      </c>
      <c r="U65" s="92" t="n"/>
      <c r="V65" s="206" t="n"/>
      <c r="W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92" t="n"/>
      <c r="S66" s="196">
        <f>T66</f>
        <v/>
      </c>
      <c r="T66" s="92">
        <f>H66-G66+1</f>
        <v/>
      </c>
      <c r="U66" s="92" t="n"/>
      <c r="V66" s="206" t="n"/>
      <c r="W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92" t="n"/>
      <c r="S67" s="196">
        <f>T67</f>
        <v/>
      </c>
      <c r="T67" s="92">
        <f>H67-G67+1</f>
        <v/>
      </c>
      <c r="U67" s="92" t="n"/>
      <c r="V67" s="206" t="n"/>
      <c r="W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92" t="n"/>
      <c r="S68" s="196">
        <f>T68</f>
        <v/>
      </c>
      <c r="T68" s="92">
        <f>H68-G68+1</f>
        <v/>
      </c>
      <c r="U68" s="92" t="n"/>
      <c r="V68" s="206" t="n"/>
      <c r="W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92" t="n"/>
      <c r="S69" s="196">
        <f>T69</f>
        <v/>
      </c>
      <c r="T69" s="92">
        <f>H69-G69+1</f>
        <v/>
      </c>
      <c r="U69" s="92" t="n"/>
      <c r="V69" s="206" t="n"/>
      <c r="W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92" t="n"/>
      <c r="S70" s="196">
        <f>T70</f>
        <v/>
      </c>
      <c r="T70" s="92">
        <f>H70-G70+1</f>
        <v/>
      </c>
      <c r="U70" s="92" t="n"/>
      <c r="V70" s="206" t="n"/>
      <c r="W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92" t="n"/>
      <c r="S71" s="196">
        <f>T71</f>
        <v/>
      </c>
      <c r="T71" s="92">
        <f>H71-G71+1</f>
        <v/>
      </c>
      <c r="U71" s="92" t="n"/>
      <c r="V71" s="206" t="n"/>
      <c r="W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92" t="n"/>
      <c r="S72" s="196">
        <f>T72</f>
        <v/>
      </c>
      <c r="T72" s="92">
        <f>H72-G72+1</f>
        <v/>
      </c>
      <c r="U72" s="92" t="n"/>
      <c r="V72" s="206" t="n"/>
      <c r="W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92" t="n"/>
      <c r="S73" s="196">
        <f>T73</f>
        <v/>
      </c>
      <c r="T73" s="92">
        <f>H73-G73+1</f>
        <v/>
      </c>
      <c r="U73" s="92" t="n"/>
      <c r="V73" s="206" t="n"/>
      <c r="W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92" t="n"/>
      <c r="S74" s="196">
        <f>T74</f>
        <v/>
      </c>
      <c r="T74" s="92">
        <f>H74-G74+1</f>
        <v/>
      </c>
      <c r="U74" s="92" t="n"/>
      <c r="V74" s="206" t="n"/>
      <c r="W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92" t="n"/>
      <c r="S75" s="196">
        <f>T75</f>
        <v/>
      </c>
      <c r="T75" s="92">
        <f>H75-G75+1</f>
        <v/>
      </c>
      <c r="U75" s="92" t="n"/>
      <c r="V75" s="206" t="n"/>
      <c r="W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92" t="n"/>
      <c r="S76" s="196">
        <f>T76</f>
        <v/>
      </c>
      <c r="T76" s="92">
        <f>H76-G76+1</f>
        <v/>
      </c>
      <c r="U76" s="92" t="n"/>
      <c r="V76" s="206" t="n"/>
      <c r="W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9" t="n"/>
      <c r="S77" s="12">
        <f>T77</f>
        <v/>
      </c>
      <c r="T77" s="59">
        <f>H77-G77+1</f>
        <v/>
      </c>
      <c r="U77" s="59" t="n"/>
      <c r="V77" s="95" t="n"/>
      <c r="W77" s="97" t="n"/>
    </row>
    <row r="78">
      <c r="O78" s="500" t="n"/>
    </row>
  </sheetData>
  <mergeCells count="1">
    <mergeCell ref="R25:R26"/>
  </mergeCells>
  <pageMargins left="0.7" right="0.7" top="0.75" bottom="0.75" header="0.3" footer="0.3"/>
  <pageSetup orientation="portrait" paperSize="9"/>
</worksheet>
</file>

<file path=xl/worksheets/sheet32.xml><?xml version="1.0" encoding="utf-8"?>
<worksheet xmlns="http://schemas.openxmlformats.org/spreadsheetml/2006/main">
  <sheetPr>
    <tabColor rgb="00A6A6A6"/>
    <outlinePr summaryBelow="1" summaryRight="1"/>
    <pageSetUpPr/>
  </sheetPr>
  <dimension ref="A2:AK78"/>
  <sheetViews>
    <sheetView showGridLines="0" zoomScale="55" zoomScaleNormal="55" workbookViewId="0">
      <selection activeCell="Z24" sqref="Z2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6.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18.6875" bestFit="1" customWidth="1" style="497" min="18" max="18"/>
    <col width="9.375" customWidth="1" style="497" min="19" max="19"/>
    <col width="13.5" customWidth="1" style="497" min="20" max="20"/>
    <col width="18.6875" customWidth="1" style="497" min="21" max="23"/>
    <col width="12.1875" bestFit="1" customWidth="1" style="497" min="24" max="24"/>
    <col width="7.375" bestFit="1" customWidth="1" style="497" min="25" max="25"/>
    <col width="13.5" bestFit="1" customWidth="1" style="497" min="26" max="26"/>
    <col width="11.875" bestFit="1" customWidth="1" style="497" min="27" max="28"/>
    <col width="11.875" customWidth="1" style="497" min="29" max="29"/>
    <col width="14.125" bestFit="1" customWidth="1" style="497" min="30" max="30"/>
    <col width="14" bestFit="1" customWidth="1" style="497" min="31" max="31"/>
    <col width="10.1875" bestFit="1" customWidth="1" style="497" min="34" max="34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 t="n"/>
      <c r="S2" s="500" t="n"/>
      <c r="T2" s="500" t="inlineStr">
        <is>
          <t>* 연체이자는 비과세로 V+기준으로 계산</t>
        </is>
      </c>
      <c r="U2" s="500" t="n"/>
      <c r="V2" s="500" t="n"/>
      <c r="W2" s="500" t="n"/>
      <c r="Z2" s="206" t="inlineStr">
        <is>
          <t>* 위약금은 비과세로 V+기준으로 계산</t>
        </is>
      </c>
      <c r="AC2" s="500" t="inlineStr">
        <is>
          <t>* 연체이자는 비과세로 V+기준으로 계산</t>
        </is>
      </c>
      <c r="AD2" s="500" t="n"/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연체 누적 시 (V-)</t>
        </is>
      </c>
      <c r="S3" s="75" t="n"/>
      <c r="T3" s="76" t="n"/>
      <c r="U3" s="75" t="n"/>
      <c r="V3" s="76" t="n"/>
      <c r="W3" s="137" t="n"/>
      <c r="X3" s="75" t="inlineStr">
        <is>
          <t>연체3개월 초과 강제해지 (v-)</t>
        </is>
      </c>
      <c r="Y3" s="70" t="n"/>
      <c r="Z3" s="70" t="n"/>
      <c r="AA3" s="70" t="n"/>
      <c r="AB3" s="70" t="n"/>
      <c r="AC3" s="70" t="n"/>
      <c r="AD3" s="70" t="n"/>
      <c r="AE3" s="71" t="n"/>
      <c r="AK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구독료(연체료)청구</t>
        </is>
      </c>
      <c r="S4" s="9" t="inlineStr">
        <is>
          <t>납부여부</t>
        </is>
      </c>
      <c r="T4" s="63" t="inlineStr">
        <is>
          <t>누적 연체이자</t>
        </is>
      </c>
      <c r="U4" s="154" t="inlineStr">
        <is>
          <t>연체 1회</t>
        </is>
      </c>
      <c r="V4" s="136" t="inlineStr">
        <is>
          <t>연체 2회</t>
        </is>
      </c>
      <c r="W4" s="155" t="inlineStr">
        <is>
          <t>연체 3회</t>
        </is>
      </c>
      <c r="X4" s="9" t="inlineStr">
        <is>
          <t>계약중지</t>
        </is>
      </c>
      <c r="Y4" s="9" t="inlineStr">
        <is>
          <t>경과일</t>
        </is>
      </c>
      <c r="Z4" s="26" t="inlineStr">
        <is>
          <t>위약금</t>
        </is>
      </c>
      <c r="AA4" s="15" t="inlineStr">
        <is>
          <t>사용분 청구</t>
        </is>
      </c>
      <c r="AB4" s="15" t="inlineStr">
        <is>
          <t>할인금 회수</t>
        </is>
      </c>
      <c r="AC4" s="136" t="inlineStr">
        <is>
          <t>연체이자</t>
        </is>
      </c>
      <c r="AD4" s="15" t="inlineStr">
        <is>
          <t>선납잔액 환불</t>
        </is>
      </c>
      <c r="AE4" s="27" t="inlineStr">
        <is>
          <t>등록비 청구</t>
        </is>
      </c>
      <c r="AH4" s="495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L5</f>
        <v/>
      </c>
      <c r="Q5" s="519">
        <f>M5</f>
        <v/>
      </c>
      <c r="R5" s="515">
        <f>N5</f>
        <v/>
      </c>
      <c r="S5" s="573" t="n"/>
      <c r="T5" s="573" t="n"/>
      <c r="U5" s="516" t="n"/>
      <c r="V5" s="500" t="n"/>
      <c r="W5" s="519" t="n"/>
      <c r="X5" s="54" t="n"/>
      <c r="Y5" s="280">
        <f>H5-G5+1</f>
        <v/>
      </c>
      <c r="Z5" s="55" t="n"/>
      <c r="AA5" s="626" t="n"/>
      <c r="AB5" s="627" t="n"/>
      <c r="AC5" s="627" t="n"/>
      <c r="AD5" s="627" t="n"/>
      <c r="AE5" s="91" t="n"/>
      <c r="AH5" s="495" t="n"/>
      <c r="AI5" s="495" t="n"/>
      <c r="AJ5" s="495" t="n"/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515">
        <f>N6</f>
        <v/>
      </c>
      <c r="S6" s="573" t="n"/>
      <c r="T6" s="573" t="n"/>
      <c r="U6" s="516" t="n"/>
      <c r="V6" s="500" t="n"/>
      <c r="W6" s="519" t="n"/>
      <c r="X6" s="196" t="n"/>
      <c r="Y6" s="281">
        <f>H6-G6+1</f>
        <v/>
      </c>
      <c r="Z6" s="92" t="n"/>
      <c r="AA6" s="206" t="n"/>
      <c r="AB6" s="206" t="n"/>
      <c r="AC6" s="206" t="n"/>
      <c r="AD6" s="206" t="n"/>
      <c r="AE6" s="94" t="n"/>
      <c r="AH6" s="500" t="n"/>
      <c r="AI6" s="206" t="n"/>
      <c r="AJ6" s="206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515">
        <f>N7</f>
        <v/>
      </c>
      <c r="S7" s="573" t="n"/>
      <c r="T7" s="573" t="n"/>
      <c r="U7" s="516" t="n"/>
      <c r="V7" s="500" t="n"/>
      <c r="W7" s="519" t="n"/>
      <c r="X7" s="196" t="n"/>
      <c r="Y7" s="281">
        <f>H7-G7+1</f>
        <v/>
      </c>
      <c r="Z7" s="92" t="n"/>
      <c r="AA7" s="206" t="n"/>
      <c r="AB7" s="206" t="n"/>
      <c r="AC7" s="206" t="n"/>
      <c r="AD7" s="206" t="n"/>
      <c r="AE7" s="94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515">
        <f>N8</f>
        <v/>
      </c>
      <c r="S8" s="573" t="n"/>
      <c r="T8" s="573" t="n"/>
      <c r="U8" s="516" t="n"/>
      <c r="V8" s="500" t="n"/>
      <c r="W8" s="519" t="n"/>
      <c r="X8" s="196" t="n"/>
      <c r="Y8" s="281">
        <f>H8-G8+1</f>
        <v/>
      </c>
      <c r="Z8" s="92" t="n"/>
      <c r="AA8" s="206" t="n"/>
      <c r="AB8" s="206" t="n"/>
      <c r="AC8" s="206" t="n"/>
      <c r="AD8" s="206" t="n"/>
      <c r="AE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515">
        <f>N9</f>
        <v/>
      </c>
      <c r="S9" s="573" t="n"/>
      <c r="T9" s="573" t="n"/>
      <c r="U9" s="516" t="n"/>
      <c r="V9" s="500" t="n"/>
      <c r="W9" s="519" t="n"/>
      <c r="X9" s="196" t="n"/>
      <c r="Y9" s="281">
        <f>H9-G9+1</f>
        <v/>
      </c>
      <c r="Z9" s="92" t="n"/>
      <c r="AA9" s="206" t="n"/>
      <c r="AB9" s="206" t="n"/>
      <c r="AC9" s="206" t="n"/>
      <c r="AD9" s="206" t="n"/>
      <c r="AE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N10</f>
        <v/>
      </c>
      <c r="S10" s="573" t="n"/>
      <c r="T10" s="573" t="n"/>
      <c r="U10" s="516" t="n"/>
      <c r="V10" s="500" t="n"/>
      <c r="W10" s="519" t="n"/>
      <c r="X10" s="196" t="n"/>
      <c r="Y10" s="281">
        <f>H10-G10+1</f>
        <v/>
      </c>
      <c r="Z10" s="92" t="n"/>
      <c r="AA10" s="206" t="n"/>
      <c r="AB10" s="206" t="n"/>
      <c r="AC10" s="206" t="n"/>
      <c r="AD10" s="206" t="n"/>
      <c r="AE10" s="94" t="n"/>
      <c r="AG10" s="206" t="n">
        <v>27000</v>
      </c>
      <c r="AH10" s="206">
        <f>ROUNDDOWN(AG10*6%*(I21-I20-1)/365,-2)</f>
        <v/>
      </c>
      <c r="AI10" s="206">
        <f>AH10*1.1</f>
        <v/>
      </c>
      <c r="AJ10" s="206">
        <f>AI10-AH10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N11</f>
        <v/>
      </c>
      <c r="S11" s="573" t="n"/>
      <c r="T11" s="573" t="n"/>
      <c r="U11" s="516" t="n"/>
      <c r="V11" s="500" t="n"/>
      <c r="W11" s="519" t="n"/>
      <c r="X11" s="196" t="n"/>
      <c r="Y11" s="281">
        <f>H11-G11+1</f>
        <v/>
      </c>
      <c r="Z11" s="92" t="n"/>
      <c r="AA11" s="206" t="n"/>
      <c r="AB11" s="206" t="n"/>
      <c r="AC11" s="206" t="n"/>
      <c r="AD11" s="206" t="n"/>
      <c r="AE11" s="94" t="n"/>
      <c r="AG11" s="206">
        <f>AG10*1.1</f>
        <v/>
      </c>
      <c r="AH11" s="517">
        <f>ROUND(AI11/1.1,0)</f>
        <v/>
      </c>
      <c r="AI11" s="206">
        <f>ROUNDDOWN(AG11*6%*(I22-I21-1)/365,-1)</f>
        <v/>
      </c>
      <c r="AJ11" s="611">
        <f>AI11-AH11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N12</f>
        <v/>
      </c>
      <c r="S12" s="573" t="n"/>
      <c r="T12" s="573" t="n"/>
      <c r="U12" s="516" t="n"/>
      <c r="V12" s="500" t="n"/>
      <c r="W12" s="519" t="n"/>
      <c r="X12" s="196" t="n"/>
      <c r="Y12" s="281">
        <f>H12-G12+1</f>
        <v/>
      </c>
      <c r="Z12" s="92" t="n"/>
      <c r="AA12" s="206" t="n"/>
      <c r="AB12" s="206" t="n"/>
      <c r="AC12" s="206" t="n"/>
      <c r="AD12" s="206" t="n"/>
      <c r="AE12" s="94" t="n"/>
      <c r="AJ12" s="539">
        <f>AH11*10%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N13</f>
        <v/>
      </c>
      <c r="S13" s="573" t="n"/>
      <c r="T13" s="573" t="n"/>
      <c r="U13" s="516" t="n"/>
      <c r="V13" s="500" t="n"/>
      <c r="W13" s="519" t="n"/>
      <c r="X13" s="196" t="n"/>
      <c r="Y13" s="281">
        <f>H13-G13+1</f>
        <v/>
      </c>
      <c r="Z13" s="92" t="n"/>
      <c r="AA13" s="206" t="n"/>
      <c r="AB13" s="206" t="n"/>
      <c r="AC13" s="206" t="n"/>
      <c r="AD13" s="206" t="n"/>
      <c r="AE13" s="94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N14</f>
        <v/>
      </c>
      <c r="S14" s="573" t="n"/>
      <c r="T14" s="573" t="n"/>
      <c r="U14" s="516" t="n"/>
      <c r="V14" s="500" t="n"/>
      <c r="W14" s="519" t="n"/>
      <c r="X14" s="196" t="n"/>
      <c r="Y14" s="281">
        <f>H14-G14+1</f>
        <v/>
      </c>
      <c r="Z14" s="92" t="n"/>
      <c r="AA14" s="206" t="n"/>
      <c r="AB14" s="206" t="n"/>
      <c r="AC14" s="206" t="n"/>
      <c r="AD14" s="206" t="n"/>
      <c r="AE14" s="94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N15</f>
        <v/>
      </c>
      <c r="S15" s="573" t="n"/>
      <c r="T15" s="573" t="n"/>
      <c r="U15" s="516" t="n"/>
      <c r="V15" s="500" t="n"/>
      <c r="W15" s="519" t="n"/>
      <c r="X15" s="196" t="n"/>
      <c r="Y15" s="281">
        <f>H15-G15+1</f>
        <v/>
      </c>
      <c r="Z15" s="92" t="n"/>
      <c r="AA15" s="206" t="n"/>
      <c r="AB15" s="206" t="n"/>
      <c r="AC15" s="206" t="n"/>
      <c r="AD15" s="206" t="n"/>
      <c r="AE15" s="94" t="n"/>
    </row>
    <row r="16">
      <c r="B16" s="9" t="inlineStr">
        <is>
          <t>총구독료(v+)</t>
        </is>
      </c>
      <c r="C16" s="526" t="n">
        <v>12933360</v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N16</f>
        <v/>
      </c>
      <c r="S16" s="573" t="n"/>
      <c r="T16" s="573" t="n"/>
      <c r="U16" s="516" t="n"/>
      <c r="V16" s="500" t="n"/>
      <c r="W16" s="519" t="n"/>
      <c r="X16" s="196" t="n"/>
      <c r="Y16" s="281">
        <f>H16-G16+1</f>
        <v/>
      </c>
      <c r="Z16" s="92" t="n"/>
      <c r="AA16" s="206" t="n"/>
      <c r="AB16" s="206" t="n"/>
      <c r="AC16" s="206" t="n"/>
      <c r="AD16" s="206" t="n"/>
      <c r="AE16" s="94" t="n"/>
    </row>
    <row r="17">
      <c r="B17" s="9" t="inlineStr">
        <is>
          <t>월구독료(v+)</t>
        </is>
      </c>
      <c r="C17" s="526" t="n">
        <v>179630</v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N17</f>
        <v/>
      </c>
      <c r="S17" s="573" t="n"/>
      <c r="T17" s="573" t="n"/>
      <c r="U17" s="516" t="n"/>
      <c r="V17" s="500" t="n"/>
      <c r="W17" s="519" t="n"/>
      <c r="X17" s="196" t="n"/>
      <c r="Y17" s="281">
        <f>H17-G17+1</f>
        <v/>
      </c>
      <c r="Z17" s="92" t="n"/>
      <c r="AA17" s="206" t="n"/>
      <c r="AB17" s="206" t="n"/>
      <c r="AC17" s="206" t="n"/>
      <c r="AD17" s="206" t="n"/>
      <c r="AE17" s="94" t="n"/>
      <c r="AH17" s="206">
        <f>30000*6%*30/365</f>
        <v/>
      </c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N18</f>
        <v/>
      </c>
      <c r="S18" s="573" t="n"/>
      <c r="T18" s="573" t="n"/>
      <c r="U18" s="516" t="n"/>
      <c r="V18" s="500" t="n"/>
      <c r="W18" s="519" t="n"/>
      <c r="X18" s="196" t="n"/>
      <c r="Y18" s="281">
        <f>H18-G18+1</f>
        <v/>
      </c>
      <c r="Z18" s="92" t="n"/>
      <c r="AA18" s="206" t="n"/>
      <c r="AB18" s="206" t="n"/>
      <c r="AC18" s="206" t="n"/>
      <c r="AD18" s="206" t="n"/>
      <c r="AE18" s="94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N19</f>
        <v/>
      </c>
      <c r="S19" s="573" t="n"/>
      <c r="T19" s="573" t="n"/>
      <c r="U19" s="516" t="inlineStr">
        <is>
          <t>* 연체 발생 이후 익월 청구일부터 가산이자 발생</t>
        </is>
      </c>
      <c r="V19" s="500" t="n"/>
      <c r="W19" s="519" t="n"/>
      <c r="X19" s="196" t="n"/>
      <c r="Y19" s="281">
        <f>H19-G19+1</f>
        <v/>
      </c>
      <c r="Z19" s="92" t="n"/>
      <c r="AA19" s="206" t="n"/>
      <c r="AB19" s="206" t="n"/>
      <c r="AC19" s="206" t="n"/>
      <c r="AD19" s="206" t="n"/>
      <c r="AE19" s="94" t="n"/>
    </row>
    <row r="20">
      <c r="A20" s="176" t="n"/>
      <c r="B20" s="9" t="inlineStr">
        <is>
          <t>선납금 %</t>
        </is>
      </c>
      <c r="C20" s="288" t="n">
        <v>0.3</v>
      </c>
      <c r="F20" s="141" t="inlineStr">
        <is>
          <t>16회차</t>
        </is>
      </c>
      <c r="G20" s="142">
        <f>H19+1</f>
        <v/>
      </c>
      <c r="H20" s="142">
        <f>EOMONTH(G20,0)</f>
        <v/>
      </c>
      <c r="I20" s="143">
        <f>EDATE(I19,1)</f>
        <v/>
      </c>
      <c r="J20" s="720">
        <f>$C$15</f>
        <v/>
      </c>
      <c r="K20" s="721">
        <f>$C$13/$C$7</f>
        <v/>
      </c>
      <c r="L20" s="722">
        <f>$C$11/$C$7</f>
        <v/>
      </c>
      <c r="M20" s="723">
        <f>$C$12/$C$7</f>
        <v/>
      </c>
      <c r="N20" s="720">
        <f>$C$31</f>
        <v/>
      </c>
      <c r="O20" s="721">
        <f>N20-P20-Q20</f>
        <v/>
      </c>
      <c r="P20" s="724">
        <f>L20</f>
        <v/>
      </c>
      <c r="Q20" s="725">
        <f>M20</f>
        <v/>
      </c>
      <c r="R20" s="720">
        <f>N20</f>
        <v/>
      </c>
      <c r="S20" s="141" t="inlineStr">
        <is>
          <t>연체</t>
        </is>
      </c>
      <c r="T20" s="726" t="n"/>
      <c r="U20" s="721" t="n"/>
      <c r="V20" s="724" t="n"/>
      <c r="W20" s="725" t="n"/>
      <c r="X20" s="158" t="n"/>
      <c r="Y20" s="159">
        <f>H20-G20+1</f>
        <v/>
      </c>
      <c r="Z20" s="160" t="n"/>
      <c r="AA20" s="724">
        <f>N20</f>
        <v/>
      </c>
      <c r="AB20" s="282" t="n"/>
      <c r="AC20" s="282" t="n"/>
      <c r="AD20" s="282" t="n"/>
      <c r="AE20" s="161" t="n"/>
      <c r="AG20" s="206">
        <f>ROUNDDOWN(N20*1.1*6%*(I21-I20-1)/365,-1)</f>
        <v/>
      </c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41" t="inlineStr">
        <is>
          <t>17회차</t>
        </is>
      </c>
      <c r="G21" s="142">
        <f>H20+1</f>
        <v/>
      </c>
      <c r="H21" s="142">
        <f>EOMONTH(G21,0)</f>
        <v/>
      </c>
      <c r="I21" s="143">
        <f>EDATE(I20,1)</f>
        <v/>
      </c>
      <c r="J21" s="720">
        <f>$C$15</f>
        <v/>
      </c>
      <c r="K21" s="721">
        <f>$C$13/$C$7</f>
        <v/>
      </c>
      <c r="L21" s="722">
        <f>$C$11/$C$7</f>
        <v/>
      </c>
      <c r="M21" s="723">
        <f>$C$12/$C$7</f>
        <v/>
      </c>
      <c r="N21" s="720">
        <f>$C$31</f>
        <v/>
      </c>
      <c r="O21" s="721">
        <f>N21-P21-Q21</f>
        <v/>
      </c>
      <c r="P21" s="724">
        <f>L21</f>
        <v/>
      </c>
      <c r="Q21" s="725">
        <f>M21</f>
        <v/>
      </c>
      <c r="R21" s="727">
        <f>N21+T21</f>
        <v/>
      </c>
      <c r="S21" s="141" t="inlineStr">
        <is>
          <t>연체</t>
        </is>
      </c>
      <c r="T21" s="726">
        <f>SUM(U21:W21)</f>
        <v/>
      </c>
      <c r="U21" s="728">
        <f>ROUNDDOWN((N20*1.1)*6%*(I21-I20-1)/365,-1)</f>
        <v/>
      </c>
      <c r="V21" s="724" t="n"/>
      <c r="W21" s="725" t="n"/>
      <c r="X21" s="158" t="n"/>
      <c r="Y21" s="159">
        <f>H21-G21+1</f>
        <v/>
      </c>
      <c r="Z21" s="160" t="n"/>
      <c r="AA21" s="724">
        <f>N21</f>
        <v/>
      </c>
      <c r="AB21" s="282" t="n"/>
      <c r="AC21" s="729" t="n"/>
      <c r="AD21" s="729" t="n"/>
      <c r="AE21" s="161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41" t="inlineStr">
        <is>
          <t>18회차</t>
        </is>
      </c>
      <c r="G22" s="142">
        <f>H21+1</f>
        <v/>
      </c>
      <c r="H22" s="142">
        <f>EOMONTH(G22,0)</f>
        <v/>
      </c>
      <c r="I22" s="143">
        <f>EDATE(I21,1)</f>
        <v/>
      </c>
      <c r="J22" s="720">
        <f>$C$15</f>
        <v/>
      </c>
      <c r="K22" s="721">
        <f>$C$13/$C$7</f>
        <v/>
      </c>
      <c r="L22" s="722">
        <f>$C$11/$C$7</f>
        <v/>
      </c>
      <c r="M22" s="723">
        <f>$C$12/$C$7</f>
        <v/>
      </c>
      <c r="N22" s="720">
        <f>$C$31</f>
        <v/>
      </c>
      <c r="O22" s="721">
        <f>N22-P22-Q22</f>
        <v/>
      </c>
      <c r="P22" s="724">
        <f>L22</f>
        <v/>
      </c>
      <c r="Q22" s="725">
        <f>M22</f>
        <v/>
      </c>
      <c r="R22" s="727">
        <f>N22+T22</f>
        <v/>
      </c>
      <c r="S22" s="141" t="inlineStr">
        <is>
          <t>연체</t>
        </is>
      </c>
      <c r="T22" s="726">
        <f>SUM(U22:W22)</f>
        <v/>
      </c>
      <c r="U22" s="728">
        <f>ROUNDDOWN((N20*1.1)*6%*(I22-I20-1)/365,-1)</f>
        <v/>
      </c>
      <c r="V22" s="729">
        <f>ROUNDDOWN((N21*1.1)*6%*(I22-I21-1)/365,-1)</f>
        <v/>
      </c>
      <c r="W22" s="725" t="n"/>
      <c r="X22" s="158" t="n"/>
      <c r="Y22" s="159">
        <f>H22-G22+1</f>
        <v/>
      </c>
      <c r="Z22" s="160" t="n"/>
      <c r="AA22" s="724">
        <f>N22</f>
        <v/>
      </c>
      <c r="AB22" s="282" t="n"/>
      <c r="AC22" s="729" t="n"/>
      <c r="AD22" s="729" t="n"/>
      <c r="AE22" s="161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41" t="inlineStr">
        <is>
          <t>19회차</t>
        </is>
      </c>
      <c r="G23" s="142">
        <f>H22+1</f>
        <v/>
      </c>
      <c r="H23" s="142">
        <f>EOMONTH(G23,0)</f>
        <v/>
      </c>
      <c r="I23" s="143">
        <f>EDATE(I22,1)</f>
        <v/>
      </c>
      <c r="J23" s="720">
        <f>$C$15</f>
        <v/>
      </c>
      <c r="K23" s="721">
        <f>$C$13/$C$7</f>
        <v/>
      </c>
      <c r="L23" s="722">
        <f>$C$11/$C$7</f>
        <v/>
      </c>
      <c r="M23" s="723">
        <f>$C$12/$C$7</f>
        <v/>
      </c>
      <c r="N23" s="720">
        <f>$C$31</f>
        <v/>
      </c>
      <c r="O23" s="721">
        <f>N23-P23-Q23</f>
        <v/>
      </c>
      <c r="P23" s="724">
        <f>L23</f>
        <v/>
      </c>
      <c r="Q23" s="725">
        <f>M23</f>
        <v/>
      </c>
      <c r="R23" s="727">
        <f>N23+T23</f>
        <v/>
      </c>
      <c r="S23" s="141" t="inlineStr">
        <is>
          <t>연체</t>
        </is>
      </c>
      <c r="T23" s="726">
        <f>SUM(U23:W23)</f>
        <v/>
      </c>
      <c r="U23" s="728">
        <f>ROUNDDOWN((N20*1.1)*6%*(I23-I20-1)/365,-1)</f>
        <v/>
      </c>
      <c r="V23" s="729">
        <f>ROUNDDOWN((N21*1.1)*6%*(I23-I21-1)/365,-1)</f>
        <v/>
      </c>
      <c r="W23" s="730">
        <f>ROUNDDOWN((N22*1.1)*6%*(I23-I22-1)/365,-1)</f>
        <v/>
      </c>
      <c r="X23" s="158" t="n"/>
      <c r="Y23" s="159">
        <f>H23-G23+1</f>
        <v/>
      </c>
      <c r="Z23" s="160" t="n"/>
      <c r="AA23" s="724">
        <f>N23</f>
        <v/>
      </c>
      <c r="AB23" s="282" t="n"/>
      <c r="AC23" s="729">
        <f>T23</f>
        <v/>
      </c>
      <c r="AD23" s="729" t="n"/>
      <c r="AE23" s="161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$C$31</f>
        <v/>
      </c>
      <c r="O24" s="516">
        <f>N24-P24-Q24</f>
        <v/>
      </c>
      <c r="P24" s="500">
        <f>L24</f>
        <v/>
      </c>
      <c r="Q24" s="519">
        <f>M24</f>
        <v/>
      </c>
      <c r="R24" s="646" t="n"/>
      <c r="S24" s="731" t="n"/>
      <c r="T24" s="573" t="n"/>
      <c r="U24" s="516" t="inlineStr">
        <is>
          <t xml:space="preserve">* CE는 구독료(v-)*1.1을 적용하여 구독료(v+)를 구할 수 있지만 </t>
        </is>
      </c>
      <c r="V24" s="500" t="n"/>
      <c r="W24" s="519" t="n"/>
      <c r="X24" s="162">
        <f>I23+DAY(2)</f>
        <v/>
      </c>
      <c r="Y24" s="222">
        <f>X24-G24</f>
        <v/>
      </c>
      <c r="Z24" s="732">
        <f>ROUNDDOWN(((C16)*(C8-SUM(Y5:Y24))/C8)*20%,-1)</f>
        <v/>
      </c>
      <c r="AA24" s="648">
        <f>SUM(AA20:AA23)+ROUNDDOWN(N24*Y24/DAY(H24),-2)</f>
        <v/>
      </c>
      <c r="AB24" s="648">
        <f>ROUNDDOWN(C30*SUM(Y5:Y24)/C8,-2)</f>
        <v/>
      </c>
      <c r="AC24" s="733">
        <f>AC23</f>
        <v/>
      </c>
      <c r="AD24" s="648">
        <f>-ROUNDUP((C26*(C8-SUM(Y5:Y24))/C8),-2)</f>
        <v/>
      </c>
      <c r="AE24" s="734">
        <f>ROUNDDOWN(C40/1.1*SUM(Y5:Y24)/C8,-2)</f>
        <v/>
      </c>
      <c r="AF24" s="206" t="inlineStr">
        <is>
          <t>* 위약금, 할인회수, 선납잔액 환불, 등록비 청구 기준: 일수비율</t>
        </is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515" t="n"/>
      <c r="S25" s="573" t="n"/>
      <c r="T25" s="573" t="n"/>
      <c r="U25" s="516" t="inlineStr">
        <is>
          <t>MX는 피과세 파손보험 포함으로 단순*1.1 적용 불가</t>
        </is>
      </c>
      <c r="V25" s="500" t="n"/>
      <c r="W25" s="519" t="n"/>
      <c r="X25" s="196" t="inlineStr">
        <is>
          <t xml:space="preserve">* 4회차 정기청구일+2일 '중지' </t>
        </is>
      </c>
      <c r="Y25" s="196" t="n"/>
      <c r="Z25" s="92" t="n"/>
      <c r="AA25" s="500" t="n"/>
      <c r="AB25" s="206" t="n"/>
      <c r="AC25" s="206" t="n"/>
      <c r="AD25" s="206" t="n"/>
      <c r="AE25" s="94" t="n"/>
    </row>
    <row r="26">
      <c r="A26" s="176" t="n"/>
      <c r="B26" s="63" t="inlineStr">
        <is>
          <t>(최종) 선납금 (V-)</t>
        </is>
      </c>
      <c r="C26" s="506">
        <f>C22*C7</f>
        <v/>
      </c>
      <c r="D26" s="206">
        <f>C14-C25=C26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515" t="n"/>
      <c r="S26" s="573" t="n"/>
      <c r="T26" s="573" t="n"/>
      <c r="U26" s="516" t="n"/>
      <c r="V26" s="500" t="n"/>
      <c r="W26" s="519" t="n"/>
      <c r="X26" s="196" t="n"/>
      <c r="Y26" s="196" t="n"/>
      <c r="Z26" s="92" t="n"/>
      <c r="AA26" s="500" t="n"/>
      <c r="AB26" s="206" t="n"/>
      <c r="AC26" s="206" t="n"/>
      <c r="AD26" s="206" t="n"/>
      <c r="AE26" s="94" t="n"/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515" t="n"/>
      <c r="S27" s="573" t="n"/>
      <c r="T27" s="573" t="n"/>
      <c r="U27" s="516" t="n"/>
      <c r="V27" s="500" t="n"/>
      <c r="W27" s="519" t="n"/>
      <c r="X27" s="196" t="n"/>
      <c r="Y27" s="196" t="n"/>
      <c r="Z27" s="92" t="n"/>
      <c r="AA27" s="206" t="n"/>
      <c r="AB27" s="206" t="n"/>
      <c r="AC27" s="206" t="n"/>
      <c r="AD27" s="206" t="n"/>
      <c r="AE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515" t="n"/>
      <c r="S28" s="573" t="n"/>
      <c r="T28" s="573" t="n"/>
      <c r="U28" s="516" t="n"/>
      <c r="V28" s="500" t="n"/>
      <c r="W28" s="519" t="n"/>
      <c r="X28" s="196" t="n"/>
      <c r="Y28" s="196" t="n"/>
      <c r="Z28" s="92" t="n"/>
      <c r="AA28" s="206" t="n"/>
      <c r="AB28" s="206" t="n"/>
      <c r="AC28" s="206" t="n"/>
      <c r="AD28" s="206" t="n"/>
      <c r="AE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515" t="n"/>
      <c r="S29" s="573" t="n"/>
      <c r="T29" s="573" t="n"/>
      <c r="U29" s="516" t="n"/>
      <c r="V29" s="500" t="n"/>
      <c r="W29" s="519" t="n"/>
      <c r="X29" s="196" t="n"/>
      <c r="Y29" s="196" t="n"/>
      <c r="Z29" s="92" t="n"/>
      <c r="AA29" s="206" t="n"/>
      <c r="AB29" s="206" t="n"/>
      <c r="AC29" s="206" t="n"/>
      <c r="AD29" s="206" t="n"/>
      <c r="AE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515" t="n"/>
      <c r="S30" s="573" t="n"/>
      <c r="T30" s="573" t="n"/>
      <c r="U30" s="516" t="n"/>
      <c r="V30" s="500" t="n"/>
      <c r="W30" s="519" t="n"/>
      <c r="X30" s="196" t="n"/>
      <c r="Y30" s="196" t="n"/>
      <c r="Z30" s="92" t="n"/>
      <c r="AA30" s="206" t="n"/>
      <c r="AB30" s="206" t="n"/>
      <c r="AC30" s="206" t="n"/>
      <c r="AD30" s="206" t="n"/>
      <c r="AE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515" t="n"/>
      <c r="S31" s="573" t="n"/>
      <c r="T31" s="573" t="n"/>
      <c r="U31" s="516" t="n"/>
      <c r="V31" s="500" t="n"/>
      <c r="W31" s="519" t="n"/>
      <c r="X31" s="196" t="n"/>
      <c r="Y31" s="196" t="n"/>
      <c r="Z31" s="92" t="n"/>
      <c r="AA31" s="206" t="n"/>
      <c r="AB31" s="206" t="n"/>
      <c r="AC31" s="206" t="n"/>
      <c r="AD31" s="206" t="n"/>
      <c r="AE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515" t="n"/>
      <c r="S32" s="573" t="n"/>
      <c r="T32" s="573" t="n"/>
      <c r="U32" s="516" t="n"/>
      <c r="V32" s="500" t="n"/>
      <c r="W32" s="519" t="n"/>
      <c r="X32" s="196" t="n"/>
      <c r="Y32" s="196" t="n"/>
      <c r="Z32" s="92" t="n"/>
      <c r="AA32" s="206" t="n"/>
      <c r="AB32" s="206" t="n"/>
      <c r="AC32" s="206" t="n"/>
      <c r="AD32" s="206" t="n"/>
      <c r="AE32" s="94" t="n"/>
    </row>
    <row r="33">
      <c r="B33" s="9" t="inlineStr">
        <is>
          <t>(최종) 선납금+선납 할인 반영 월 구독료 (V+)</t>
        </is>
      </c>
      <c r="C33" s="506">
        <f>(C16-(C26+C30)*1.1)/C7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515" t="n"/>
      <c r="S33" s="573" t="n"/>
      <c r="T33" s="573" t="n"/>
      <c r="U33" s="516" t="n"/>
      <c r="V33" s="500" t="n"/>
      <c r="W33" s="519" t="n"/>
      <c r="X33" s="196" t="n"/>
      <c r="Y33" s="196" t="n"/>
      <c r="Z33" s="92" t="n"/>
      <c r="AA33" s="206" t="n"/>
      <c r="AB33" s="206" t="n"/>
      <c r="AC33" s="206" t="n"/>
      <c r="AD33" s="206" t="n"/>
      <c r="AE33" s="94" t="n"/>
    </row>
    <row r="34">
      <c r="B34" s="9" t="inlineStr">
        <is>
          <t>(최종) 선납금+선납 할인 반영 총 구독료 (V+)</t>
        </is>
      </c>
      <c r="C34" s="506">
        <f>(C16-(C26+C30)*1.1)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515" t="n"/>
      <c r="S34" s="573" t="n"/>
      <c r="T34" s="573" t="n"/>
      <c r="U34" s="516" t="n"/>
      <c r="V34" s="500" t="n"/>
      <c r="W34" s="519" t="n"/>
      <c r="X34" s="196" t="n"/>
      <c r="Y34" s="196" t="n"/>
      <c r="Z34" s="92" t="n"/>
      <c r="AA34" s="206" t="n"/>
      <c r="AB34" s="206" t="n"/>
      <c r="AC34" s="206" t="n"/>
      <c r="AD34" s="206" t="n"/>
      <c r="AE34" s="94" t="n"/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515" t="n"/>
      <c r="S35" s="573" t="n"/>
      <c r="T35" s="573" t="n"/>
      <c r="U35" s="516" t="n"/>
      <c r="V35" s="500" t="n"/>
      <c r="W35" s="519" t="n"/>
      <c r="X35" s="196" t="n"/>
      <c r="Y35" s="196" t="n"/>
      <c r="Z35" s="92" t="n"/>
      <c r="AA35" s="206" t="n"/>
      <c r="AB35" s="206" t="n"/>
      <c r="AC35" s="206" t="n"/>
      <c r="AD35" s="206" t="n"/>
      <c r="AE35" s="94" t="n"/>
    </row>
    <row r="36">
      <c r="B36" s="9" t="inlineStr">
        <is>
          <t>선납금+선납 할인 반영 순수 구독료 (V-)</t>
        </is>
      </c>
      <c r="C36" s="506">
        <f>C32-C11-C12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515" t="n"/>
      <c r="S36" s="573" t="n"/>
      <c r="T36" s="573" t="n"/>
      <c r="U36" s="516" t="n"/>
      <c r="V36" s="500" t="n"/>
      <c r="W36" s="519" t="n"/>
      <c r="X36" s="196" t="n"/>
      <c r="Y36" s="196" t="n"/>
      <c r="Z36" s="92" t="n"/>
      <c r="AA36" s="206" t="n"/>
      <c r="AB36" s="206" t="n"/>
      <c r="AC36" s="206" t="n"/>
      <c r="AD36" s="206" t="n"/>
      <c r="AE36" s="94" t="n"/>
    </row>
    <row r="37">
      <c r="B37" s="9" t="inlineStr">
        <is>
          <t>선납금+선납 할인 반영 순수 구독료 월할 (V-)</t>
        </is>
      </c>
      <c r="C37" s="506">
        <f>C36/C7</f>
        <v/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515" t="n"/>
      <c r="S37" s="573" t="n"/>
      <c r="T37" s="573" t="n"/>
      <c r="U37" s="516" t="n"/>
      <c r="V37" s="500" t="n"/>
      <c r="W37" s="519" t="n"/>
      <c r="X37" s="196" t="n"/>
      <c r="Y37" s="196" t="n"/>
      <c r="Z37" s="92" t="n"/>
      <c r="AA37" s="206" t="n"/>
      <c r="AB37" s="206" t="n"/>
      <c r="AC37" s="206" t="n"/>
      <c r="AD37" s="206" t="n"/>
      <c r="AE37" s="94" t="n"/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515" t="n"/>
      <c r="S38" s="573" t="n"/>
      <c r="T38" s="573" t="n"/>
      <c r="U38" s="516" t="n"/>
      <c r="V38" s="500" t="n"/>
      <c r="W38" s="519" t="n"/>
      <c r="X38" s="196" t="n"/>
      <c r="Y38" s="196" t="n"/>
      <c r="Z38" s="92" t="n"/>
      <c r="AA38" s="206" t="n"/>
      <c r="AB38" s="206" t="n"/>
      <c r="AC38" s="206" t="n"/>
      <c r="AD38" s="206" t="n"/>
      <c r="AE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515" t="n"/>
      <c r="S39" s="573" t="n"/>
      <c r="T39" s="573" t="n"/>
      <c r="U39" s="516" t="n"/>
      <c r="V39" s="500" t="n"/>
      <c r="W39" s="519" t="n"/>
      <c r="X39" s="196" t="n"/>
      <c r="Y39" s="196" t="n"/>
      <c r="Z39" s="92" t="n"/>
      <c r="AA39" s="206" t="n"/>
      <c r="AB39" s="206" t="n"/>
      <c r="AC39" s="206" t="n"/>
      <c r="AD39" s="206" t="n"/>
      <c r="AE39" s="94" t="n"/>
    </row>
    <row r="40">
      <c r="B40" s="256" t="inlineStr">
        <is>
          <t>등록비 (V+)</t>
        </is>
      </c>
      <c r="C40" s="526" t="n">
        <v>100000</v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515" t="n"/>
      <c r="S40" s="573" t="n"/>
      <c r="T40" s="573" t="n"/>
      <c r="U40" s="516" t="n"/>
      <c r="V40" s="500" t="n"/>
      <c r="W40" s="519" t="n"/>
      <c r="X40" s="196" t="n"/>
      <c r="Y40" s="196" t="n"/>
      <c r="Z40" s="92" t="n"/>
      <c r="AA40" s="206" t="n"/>
      <c r="AB40" s="206" t="n"/>
      <c r="AC40" s="206" t="n"/>
      <c r="AD40" s="206" t="n"/>
      <c r="AE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515" t="n"/>
      <c r="S41" s="573" t="n"/>
      <c r="T41" s="573" t="n"/>
      <c r="U41" s="516" t="n"/>
      <c r="V41" s="500" t="n"/>
      <c r="W41" s="519" t="n"/>
      <c r="X41" s="196" t="n"/>
      <c r="Y41" s="196" t="n"/>
      <c r="Z41" s="92" t="n"/>
      <c r="AA41" s="206" t="n"/>
      <c r="AB41" s="206" t="n"/>
      <c r="AC41" s="206" t="n"/>
      <c r="AD41" s="206" t="n"/>
      <c r="AE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515" t="n"/>
      <c r="S42" s="573" t="n"/>
      <c r="T42" s="573" t="n"/>
      <c r="U42" s="516" t="n"/>
      <c r="V42" s="500" t="n"/>
      <c r="W42" s="519" t="n"/>
      <c r="X42" s="196" t="n"/>
      <c r="Y42" s="196" t="n"/>
      <c r="Z42" s="92" t="n"/>
      <c r="AA42" s="206" t="n"/>
      <c r="AB42" s="206" t="n"/>
      <c r="AC42" s="206" t="n"/>
      <c r="AD42" s="206" t="n"/>
      <c r="AE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515" t="n"/>
      <c r="S43" s="573" t="n"/>
      <c r="T43" s="573" t="n"/>
      <c r="U43" s="516" t="n"/>
      <c r="V43" s="500" t="n"/>
      <c r="W43" s="519" t="n"/>
      <c r="X43" s="196" t="n"/>
      <c r="Y43" s="196" t="n"/>
      <c r="Z43" s="92" t="n"/>
      <c r="AA43" s="206" t="n"/>
      <c r="AB43" s="206" t="n"/>
      <c r="AC43" s="206" t="n"/>
      <c r="AD43" s="206" t="n"/>
      <c r="AE43" s="94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515" t="n"/>
      <c r="S44" s="573" t="n"/>
      <c r="T44" s="573" t="n"/>
      <c r="U44" s="516" t="n"/>
      <c r="V44" s="500" t="n"/>
      <c r="W44" s="519" t="n"/>
      <c r="X44" s="196" t="n"/>
      <c r="Y44" s="196" t="n"/>
      <c r="Z44" s="92" t="n"/>
      <c r="AA44" s="206" t="n"/>
      <c r="AB44" s="206" t="n"/>
      <c r="AC44" s="206" t="n"/>
      <c r="AD44" s="206" t="n"/>
      <c r="AE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515" t="n"/>
      <c r="S45" s="573" t="n"/>
      <c r="T45" s="573" t="n"/>
      <c r="U45" s="516" t="n"/>
      <c r="V45" s="500" t="n"/>
      <c r="W45" s="519" t="n"/>
      <c r="X45" s="196" t="n"/>
      <c r="Y45" s="196" t="n"/>
      <c r="Z45" s="92" t="n"/>
      <c r="AA45" s="206" t="n"/>
      <c r="AB45" s="206" t="n"/>
      <c r="AC45" s="206" t="n"/>
      <c r="AD45" s="206" t="n"/>
      <c r="AE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515" t="n"/>
      <c r="S46" s="573" t="n"/>
      <c r="T46" s="573" t="n"/>
      <c r="U46" s="516" t="n"/>
      <c r="V46" s="500" t="n"/>
      <c r="W46" s="519" t="n"/>
      <c r="X46" s="196" t="n"/>
      <c r="Y46" s="196" t="n"/>
      <c r="Z46" s="92" t="n"/>
      <c r="AA46" s="206" t="n"/>
      <c r="AB46" s="206" t="n"/>
      <c r="AC46" s="206" t="n"/>
      <c r="AD46" s="206" t="n"/>
      <c r="AE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515" t="n"/>
      <c r="S47" s="573" t="n"/>
      <c r="T47" s="573" t="n"/>
      <c r="U47" s="516" t="n"/>
      <c r="V47" s="500" t="n"/>
      <c r="W47" s="519" t="n"/>
      <c r="X47" s="196" t="n"/>
      <c r="Y47" s="196" t="n"/>
      <c r="Z47" s="92" t="n"/>
      <c r="AA47" s="206" t="n"/>
      <c r="AB47" s="206" t="n"/>
      <c r="AC47" s="206" t="n"/>
      <c r="AD47" s="206" t="n"/>
      <c r="AE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515" t="n"/>
      <c r="S48" s="573" t="n"/>
      <c r="T48" s="573" t="n"/>
      <c r="U48" s="516" t="n"/>
      <c r="V48" s="500" t="n"/>
      <c r="W48" s="519" t="n"/>
      <c r="X48" s="196" t="n"/>
      <c r="Y48" s="196" t="n"/>
      <c r="Z48" s="92" t="n"/>
      <c r="AA48" s="206" t="n"/>
      <c r="AB48" s="206" t="n"/>
      <c r="AC48" s="206" t="n"/>
      <c r="AD48" s="206" t="n"/>
      <c r="AE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515" t="n"/>
      <c r="S49" s="573" t="n"/>
      <c r="T49" s="573" t="n"/>
      <c r="U49" s="516" t="n"/>
      <c r="V49" s="500" t="n"/>
      <c r="W49" s="519" t="n"/>
      <c r="X49" s="196" t="n"/>
      <c r="Y49" s="196" t="n"/>
      <c r="Z49" s="92" t="n"/>
      <c r="AA49" s="206" t="n"/>
      <c r="AB49" s="206" t="n"/>
      <c r="AC49" s="206" t="n"/>
      <c r="AD49" s="206" t="n"/>
      <c r="AE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515" t="n"/>
      <c r="S50" s="573" t="n"/>
      <c r="T50" s="573" t="n"/>
      <c r="U50" s="516" t="n"/>
      <c r="V50" s="500" t="n"/>
      <c r="W50" s="519" t="n"/>
      <c r="X50" s="196" t="n"/>
      <c r="Y50" s="196" t="n"/>
      <c r="Z50" s="92" t="n"/>
      <c r="AA50" s="206" t="n"/>
      <c r="AB50" s="206" t="n"/>
      <c r="AC50" s="206" t="n"/>
      <c r="AD50" s="206" t="n"/>
      <c r="AE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515" t="n"/>
      <c r="S51" s="573" t="n"/>
      <c r="T51" s="573" t="n"/>
      <c r="U51" s="516" t="n"/>
      <c r="V51" s="500" t="n"/>
      <c r="W51" s="519" t="n"/>
      <c r="X51" s="196" t="n"/>
      <c r="Y51" s="196" t="n"/>
      <c r="Z51" s="92" t="n"/>
      <c r="AA51" s="206" t="n"/>
      <c r="AB51" s="206" t="n"/>
      <c r="AC51" s="206" t="n"/>
      <c r="AD51" s="206" t="n"/>
      <c r="AE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515" t="n"/>
      <c r="S52" s="573" t="n"/>
      <c r="T52" s="573" t="n"/>
      <c r="U52" s="516" t="n"/>
      <c r="V52" s="500" t="n"/>
      <c r="W52" s="519" t="n"/>
      <c r="X52" s="196" t="n"/>
      <c r="Y52" s="196" t="n"/>
      <c r="Z52" s="92" t="n"/>
      <c r="AA52" s="206" t="n"/>
      <c r="AB52" s="206" t="n"/>
      <c r="AC52" s="206" t="n"/>
      <c r="AD52" s="206" t="n"/>
      <c r="AE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515" t="n"/>
      <c r="S53" s="573" t="n"/>
      <c r="T53" s="573" t="n"/>
      <c r="U53" s="516" t="n"/>
      <c r="V53" s="500" t="n"/>
      <c r="W53" s="519" t="n"/>
      <c r="X53" s="196" t="n"/>
      <c r="Y53" s="196" t="n"/>
      <c r="Z53" s="92" t="n"/>
      <c r="AA53" s="206" t="n"/>
      <c r="AB53" s="206" t="n"/>
      <c r="AC53" s="206" t="n"/>
      <c r="AD53" s="206" t="n"/>
      <c r="AE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515" t="n"/>
      <c r="S54" s="573" t="n"/>
      <c r="T54" s="573" t="n"/>
      <c r="U54" s="516" t="n"/>
      <c r="V54" s="500" t="n"/>
      <c r="W54" s="519" t="n"/>
      <c r="X54" s="196" t="n"/>
      <c r="Y54" s="196" t="n"/>
      <c r="Z54" s="92" t="n"/>
      <c r="AA54" s="206" t="n"/>
      <c r="AB54" s="206" t="n"/>
      <c r="AC54" s="206" t="n"/>
      <c r="AD54" s="206" t="n"/>
      <c r="AE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515" t="n"/>
      <c r="S55" s="573" t="n"/>
      <c r="T55" s="573" t="n"/>
      <c r="U55" s="516" t="n"/>
      <c r="V55" s="500" t="n"/>
      <c r="W55" s="519" t="n"/>
      <c r="X55" s="196" t="n"/>
      <c r="Y55" s="196" t="n"/>
      <c r="Z55" s="92" t="n"/>
      <c r="AA55" s="206" t="n"/>
      <c r="AB55" s="206" t="n"/>
      <c r="AC55" s="206" t="n"/>
      <c r="AD55" s="206" t="n"/>
      <c r="AE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515" t="n"/>
      <c r="S56" s="573" t="n"/>
      <c r="T56" s="573" t="n"/>
      <c r="U56" s="516" t="n"/>
      <c r="V56" s="500" t="n"/>
      <c r="W56" s="519" t="n"/>
      <c r="X56" s="196" t="n"/>
      <c r="Y56" s="196" t="n"/>
      <c r="Z56" s="92" t="n"/>
      <c r="AA56" s="206" t="n"/>
      <c r="AB56" s="206" t="n"/>
      <c r="AC56" s="206" t="n"/>
      <c r="AD56" s="206" t="n"/>
      <c r="AE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515" t="n"/>
      <c r="S57" s="573" t="n"/>
      <c r="T57" s="573" t="n"/>
      <c r="U57" s="516" t="n"/>
      <c r="V57" s="500" t="n"/>
      <c r="W57" s="519" t="n"/>
      <c r="X57" s="196" t="n"/>
      <c r="Y57" s="196" t="n"/>
      <c r="Z57" s="92" t="n"/>
      <c r="AA57" s="206" t="n"/>
      <c r="AB57" s="206" t="n"/>
      <c r="AC57" s="206" t="n"/>
      <c r="AD57" s="206" t="n"/>
      <c r="AE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515" t="n"/>
      <c r="S58" s="573" t="n"/>
      <c r="T58" s="573" t="n"/>
      <c r="U58" s="516" t="n"/>
      <c r="V58" s="500" t="n"/>
      <c r="W58" s="519" t="n"/>
      <c r="X58" s="196" t="n"/>
      <c r="Y58" s="196" t="n"/>
      <c r="Z58" s="92" t="n"/>
      <c r="AA58" s="206" t="n"/>
      <c r="AB58" s="206" t="n"/>
      <c r="AC58" s="206" t="n"/>
      <c r="AD58" s="206" t="n"/>
      <c r="AE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515" t="n"/>
      <c r="S59" s="573" t="n"/>
      <c r="T59" s="573" t="n"/>
      <c r="U59" s="516" t="n"/>
      <c r="V59" s="500" t="n"/>
      <c r="W59" s="519" t="n"/>
      <c r="X59" s="196" t="n"/>
      <c r="Y59" s="196" t="n"/>
      <c r="Z59" s="92" t="n"/>
      <c r="AA59" s="206" t="n"/>
      <c r="AB59" s="206" t="n"/>
      <c r="AC59" s="206" t="n"/>
      <c r="AD59" s="206" t="n"/>
      <c r="AE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L60</f>
        <v/>
      </c>
      <c r="Q60" s="519">
        <f>M60</f>
        <v/>
      </c>
      <c r="R60" s="515" t="n"/>
      <c r="S60" s="573" t="n"/>
      <c r="T60" s="573" t="n"/>
      <c r="U60" s="516" t="n"/>
      <c r="V60" s="500" t="n"/>
      <c r="W60" s="519" t="n"/>
      <c r="X60" s="196" t="n"/>
      <c r="Y60" s="196" t="n"/>
      <c r="Z60" s="92" t="n"/>
      <c r="AA60" s="206" t="n"/>
      <c r="AB60" s="206" t="n"/>
      <c r="AC60" s="206" t="n"/>
      <c r="AD60" s="206" t="n"/>
      <c r="AE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515" t="n"/>
      <c r="S61" s="573" t="n"/>
      <c r="T61" s="573" t="n"/>
      <c r="U61" s="516" t="n"/>
      <c r="V61" s="500" t="n"/>
      <c r="W61" s="519" t="n"/>
      <c r="X61" s="196" t="n"/>
      <c r="Y61" s="196" t="n"/>
      <c r="Z61" s="92" t="n"/>
      <c r="AA61" s="206" t="n"/>
      <c r="AB61" s="206" t="n"/>
      <c r="AC61" s="206" t="n"/>
      <c r="AD61" s="206" t="n"/>
      <c r="AE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515" t="n"/>
      <c r="S62" s="573" t="n"/>
      <c r="T62" s="573" t="n"/>
      <c r="U62" s="516" t="n"/>
      <c r="V62" s="500" t="n"/>
      <c r="W62" s="519" t="n"/>
      <c r="X62" s="196" t="n"/>
      <c r="Y62" s="196" t="n"/>
      <c r="Z62" s="92" t="n"/>
      <c r="AA62" s="206" t="n"/>
      <c r="AB62" s="206" t="n"/>
      <c r="AC62" s="206" t="n"/>
      <c r="AD62" s="206" t="n"/>
      <c r="AE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515" t="n"/>
      <c r="S63" s="573" t="n"/>
      <c r="T63" s="573" t="n"/>
      <c r="U63" s="516" t="n"/>
      <c r="V63" s="500" t="n"/>
      <c r="W63" s="519" t="n"/>
      <c r="X63" s="196" t="n"/>
      <c r="Y63" s="196" t="n"/>
      <c r="Z63" s="92" t="n"/>
      <c r="AA63" s="206" t="n"/>
      <c r="AB63" s="206" t="n"/>
      <c r="AC63" s="206" t="n"/>
      <c r="AD63" s="206" t="n"/>
      <c r="AE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515" t="n"/>
      <c r="S64" s="573" t="n"/>
      <c r="T64" s="573" t="n"/>
      <c r="U64" s="516" t="n"/>
      <c r="V64" s="500" t="n"/>
      <c r="W64" s="519" t="n"/>
      <c r="X64" s="196" t="n"/>
      <c r="Y64" s="196" t="n"/>
      <c r="Z64" s="92" t="n"/>
      <c r="AA64" s="206" t="n"/>
      <c r="AB64" s="206" t="n"/>
      <c r="AC64" s="206" t="n"/>
      <c r="AD64" s="206" t="n"/>
      <c r="AE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515" t="n"/>
      <c r="S65" s="573" t="n"/>
      <c r="T65" s="573" t="n"/>
      <c r="U65" s="516" t="n"/>
      <c r="V65" s="500" t="n"/>
      <c r="W65" s="519" t="n"/>
      <c r="X65" s="196" t="n"/>
      <c r="Y65" s="196" t="n"/>
      <c r="Z65" s="92" t="n"/>
      <c r="AA65" s="206" t="n"/>
      <c r="AB65" s="206" t="n"/>
      <c r="AC65" s="206" t="n"/>
      <c r="AD65" s="206" t="n"/>
      <c r="AE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515" t="n"/>
      <c r="S66" s="573" t="n"/>
      <c r="T66" s="573" t="n"/>
      <c r="U66" s="516" t="n"/>
      <c r="V66" s="500" t="n"/>
      <c r="W66" s="519" t="n"/>
      <c r="X66" s="196" t="n"/>
      <c r="Y66" s="196" t="n"/>
      <c r="Z66" s="92" t="n"/>
      <c r="AA66" s="206" t="n"/>
      <c r="AB66" s="206" t="n"/>
      <c r="AC66" s="206" t="n"/>
      <c r="AD66" s="206" t="n"/>
      <c r="AE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515" t="n"/>
      <c r="S67" s="573" t="n"/>
      <c r="T67" s="573" t="n"/>
      <c r="U67" s="516" t="n"/>
      <c r="V67" s="500" t="n"/>
      <c r="W67" s="519" t="n"/>
      <c r="X67" s="196" t="n"/>
      <c r="Y67" s="196" t="n"/>
      <c r="Z67" s="92" t="n"/>
      <c r="AA67" s="206" t="n"/>
      <c r="AB67" s="206" t="n"/>
      <c r="AC67" s="206" t="n"/>
      <c r="AD67" s="206" t="n"/>
      <c r="AE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515" t="n"/>
      <c r="S68" s="573" t="n"/>
      <c r="T68" s="573" t="n"/>
      <c r="U68" s="516" t="n"/>
      <c r="V68" s="500" t="n"/>
      <c r="W68" s="519" t="n"/>
      <c r="X68" s="196" t="n"/>
      <c r="Y68" s="196" t="n"/>
      <c r="Z68" s="92" t="n"/>
      <c r="AA68" s="206" t="n"/>
      <c r="AB68" s="206" t="n"/>
      <c r="AC68" s="206" t="n"/>
      <c r="AD68" s="206" t="n"/>
      <c r="AE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515" t="n"/>
      <c r="S69" s="573" t="n"/>
      <c r="T69" s="573" t="n"/>
      <c r="U69" s="516" t="n"/>
      <c r="V69" s="500" t="n"/>
      <c r="W69" s="519" t="n"/>
      <c r="X69" s="196" t="n"/>
      <c r="Y69" s="196" t="n"/>
      <c r="Z69" s="92" t="n"/>
      <c r="AA69" s="206" t="n"/>
      <c r="AB69" s="206" t="n"/>
      <c r="AC69" s="206" t="n"/>
      <c r="AD69" s="206" t="n"/>
      <c r="AE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515" t="n"/>
      <c r="S70" s="573" t="n"/>
      <c r="T70" s="573" t="n"/>
      <c r="U70" s="516" t="n"/>
      <c r="V70" s="500" t="n"/>
      <c r="W70" s="519" t="n"/>
      <c r="X70" s="196" t="n"/>
      <c r="Y70" s="196" t="n"/>
      <c r="Z70" s="92" t="n"/>
      <c r="AA70" s="206" t="n"/>
      <c r="AB70" s="206" t="n"/>
      <c r="AC70" s="206" t="n"/>
      <c r="AD70" s="206" t="n"/>
      <c r="AE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515" t="n"/>
      <c r="S71" s="573" t="n"/>
      <c r="T71" s="573" t="n"/>
      <c r="U71" s="516" t="n"/>
      <c r="V71" s="500" t="n"/>
      <c r="W71" s="519" t="n"/>
      <c r="X71" s="196" t="n"/>
      <c r="Y71" s="196" t="n"/>
      <c r="Z71" s="92" t="n"/>
      <c r="AA71" s="206" t="n"/>
      <c r="AB71" s="206" t="n"/>
      <c r="AC71" s="206" t="n"/>
      <c r="AD71" s="206" t="n"/>
      <c r="AE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515" t="n"/>
      <c r="S72" s="573" t="n"/>
      <c r="T72" s="573" t="n"/>
      <c r="U72" s="516" t="n"/>
      <c r="V72" s="500" t="n"/>
      <c r="W72" s="519" t="n"/>
      <c r="X72" s="196" t="n"/>
      <c r="Y72" s="196" t="n"/>
      <c r="Z72" s="92" t="n"/>
      <c r="AA72" s="206" t="n"/>
      <c r="AB72" s="206" t="n"/>
      <c r="AC72" s="206" t="n"/>
      <c r="AD72" s="206" t="n"/>
      <c r="AE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515" t="n"/>
      <c r="S73" s="573" t="n"/>
      <c r="T73" s="573" t="n"/>
      <c r="U73" s="516" t="n"/>
      <c r="V73" s="500" t="n"/>
      <c r="W73" s="519" t="n"/>
      <c r="X73" s="196" t="n"/>
      <c r="Y73" s="196" t="n"/>
      <c r="Z73" s="92" t="n"/>
      <c r="AA73" s="206" t="n"/>
      <c r="AB73" s="206" t="n"/>
      <c r="AC73" s="206" t="n"/>
      <c r="AD73" s="206" t="n"/>
      <c r="AE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515" t="n"/>
      <c r="S74" s="573" t="n"/>
      <c r="T74" s="573" t="n"/>
      <c r="U74" s="516" t="n"/>
      <c r="V74" s="500" t="n"/>
      <c r="W74" s="519" t="n"/>
      <c r="X74" s="196" t="n"/>
      <c r="Y74" s="196" t="n"/>
      <c r="Z74" s="92" t="n"/>
      <c r="AA74" s="206" t="n"/>
      <c r="AB74" s="206" t="n"/>
      <c r="AC74" s="206" t="n"/>
      <c r="AD74" s="206" t="n"/>
      <c r="AE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515" t="n"/>
      <c r="S75" s="573" t="n"/>
      <c r="T75" s="573" t="n"/>
      <c r="U75" s="516" t="n"/>
      <c r="V75" s="500" t="n"/>
      <c r="W75" s="519" t="n"/>
      <c r="X75" s="196" t="n"/>
      <c r="Y75" s="196" t="n"/>
      <c r="Z75" s="92" t="n"/>
      <c r="AA75" s="206" t="n"/>
      <c r="AB75" s="206" t="n"/>
      <c r="AC75" s="206" t="n"/>
      <c r="AD75" s="206" t="n"/>
      <c r="AE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515" t="n"/>
      <c r="S76" s="573" t="n"/>
      <c r="T76" s="573" t="n"/>
      <c r="U76" s="516" t="n"/>
      <c r="V76" s="500" t="n"/>
      <c r="W76" s="519" t="n"/>
      <c r="X76" s="196" t="n"/>
      <c r="Y76" s="196" t="n"/>
      <c r="Z76" s="92" t="n"/>
      <c r="AA76" s="206" t="n"/>
      <c r="AB76" s="206" t="n"/>
      <c r="AC76" s="206" t="n"/>
      <c r="AD76" s="206" t="n"/>
      <c r="AE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81" t="n"/>
      <c r="S77" s="590" t="n"/>
      <c r="T77" s="590" t="n"/>
      <c r="U77" s="588" t="n"/>
      <c r="V77" s="589" t="n"/>
      <c r="W77" s="642" t="n"/>
      <c r="X77" s="12" t="n"/>
      <c r="Y77" s="12" t="n"/>
      <c r="Z77" s="59" t="n"/>
      <c r="AA77" s="95" t="n"/>
      <c r="AB77" s="95" t="n"/>
      <c r="AC77" s="95" t="n"/>
      <c r="AD77" s="95" t="n"/>
      <c r="AE77" s="97" t="n"/>
    </row>
    <row r="78">
      <c r="O78" s="500" t="n"/>
    </row>
  </sheetData>
  <mergeCells count="1">
    <mergeCell ref="AH4:AJ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tabColor rgb="00A6A6A6"/>
    <outlinePr summaryBelow="1" summaryRight="1"/>
    <pageSetUpPr/>
  </sheetPr>
  <dimension ref="A1:AN79"/>
  <sheetViews>
    <sheetView showGridLines="0" topLeftCell="C1" zoomScale="55" zoomScaleNormal="55" workbookViewId="0">
      <selection activeCell="Y22" sqref="Y22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6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0"/>
    <col width="13" customWidth="1" style="497" min="11" max="11"/>
    <col width="13" bestFit="1" customWidth="1" style="497" min="12" max="12"/>
    <col width="11.6875" bestFit="1" customWidth="1" style="497" min="13" max="13"/>
    <col width="10.1875" bestFit="1" customWidth="1" style="497" min="14" max="14"/>
    <col width="10.1875" customWidth="1" style="497" min="15" max="15"/>
    <col width="11.6875" bestFit="1" customWidth="1" style="497" min="16" max="16"/>
    <col width="11.6875" customWidth="1" style="497" min="17" max="17"/>
    <col width="11.6875" bestFit="1" customWidth="1" style="497" min="18" max="19"/>
    <col width="9.375" bestFit="1" customWidth="1" style="497" min="20" max="20"/>
    <col width="9.375" customWidth="1" style="497" min="21" max="21"/>
    <col width="18.6875" bestFit="1" customWidth="1" style="497" min="22" max="22"/>
    <col width="9.375" customWidth="1" style="497" min="23" max="23"/>
    <col width="13.5" customWidth="1" style="497" min="24" max="24"/>
    <col width="18.6875" customWidth="1" style="497" min="25" max="27"/>
    <col width="12.1875" bestFit="1" customWidth="1" style="497" min="28" max="28"/>
    <col width="7.375" bestFit="1" customWidth="1" style="497" min="29" max="29"/>
    <col width="13.5" bestFit="1" customWidth="1" style="497" min="30" max="30"/>
    <col width="11.875" bestFit="1" customWidth="1" style="497" min="31" max="32"/>
    <col width="11.875" customWidth="1" style="497" min="33" max="33"/>
    <col width="14" bestFit="1" customWidth="1" style="497" min="34" max="34"/>
    <col width="10.1875" bestFit="1" customWidth="1" style="497" min="37" max="37"/>
  </cols>
  <sheetData>
    <row r="1">
      <c r="K1" s="505">
        <f>K2*1.1</f>
        <v/>
      </c>
      <c r="Q1" s="505">
        <f>Q2*1.1</f>
        <v/>
      </c>
    </row>
    <row r="2">
      <c r="I2" s="8" t="inlineStr">
        <is>
          <t>SUM =</t>
        </is>
      </c>
      <c r="J2" s="500">
        <f>SUM(J6:J78)</f>
        <v/>
      </c>
      <c r="K2" s="500">
        <f>SUM(K6:K78)</f>
        <v/>
      </c>
      <c r="L2" s="500">
        <f>SUM(L6:L78)</f>
        <v/>
      </c>
      <c r="M2" s="500">
        <f>SUM(M6:M78)</f>
        <v/>
      </c>
      <c r="N2" s="500">
        <f>SUM(N6:N78)</f>
        <v/>
      </c>
      <c r="O2" s="500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V2" s="500" t="n"/>
      <c r="W2" s="500" t="n"/>
      <c r="X2" s="500" t="inlineStr">
        <is>
          <t>* 연체이자는 비과세로 V+기준으로 계산</t>
        </is>
      </c>
      <c r="Y2" s="500" t="n"/>
      <c r="Z2" s="500" t="n"/>
      <c r="AA2" s="500" t="n"/>
      <c r="AD2" s="206" t="inlineStr">
        <is>
          <t>* 위약금은 비과세로 V+기준으로 계산</t>
        </is>
      </c>
      <c r="AG2" s="500" t="inlineStr">
        <is>
          <t>* 연체이자는 비과세로 V+기준으로 계산</t>
        </is>
      </c>
    </row>
    <row r="3">
      <c r="I3" s="8" t="n"/>
      <c r="J3" s="501" t="inlineStr">
        <is>
          <t>기본 (v-)</t>
        </is>
      </c>
      <c r="K3" s="502" t="n"/>
      <c r="L3" s="502" t="n"/>
      <c r="M3" s="502" t="n"/>
      <c r="N3" s="503" t="n"/>
      <c r="O3" s="502" t="n"/>
      <c r="P3" s="75" t="inlineStr">
        <is>
          <t>선납+선납할인 시 (v-)</t>
        </is>
      </c>
      <c r="Q3" s="76" t="n"/>
      <c r="R3" s="76" t="n"/>
      <c r="S3" s="76" t="n"/>
      <c r="T3" s="76" t="n"/>
      <c r="U3" s="76" t="n"/>
      <c r="V3" s="75" t="inlineStr">
        <is>
          <t>연체 누적 시 (V-)</t>
        </is>
      </c>
      <c r="W3" s="75" t="n"/>
      <c r="X3" s="76" t="n"/>
      <c r="Y3" s="75" t="n"/>
      <c r="Z3" s="76" t="n"/>
      <c r="AA3" s="137" t="n"/>
      <c r="AB3" s="75" t="inlineStr">
        <is>
          <t>연체3개월 초과 강제해지 (v-)</t>
        </is>
      </c>
      <c r="AC3" s="70" t="n"/>
      <c r="AD3" s="70" t="n"/>
      <c r="AE3" s="70" t="n"/>
      <c r="AF3" s="70" t="n"/>
      <c r="AG3" s="70" t="n"/>
      <c r="AH3" s="71" t="n"/>
      <c r="AN3" s="500" t="n"/>
    </row>
    <row r="4">
      <c r="I4" s="8" t="n"/>
      <c r="J4" s="264" t="inlineStr">
        <is>
          <t>구독료청구</t>
        </is>
      </c>
      <c r="K4" s="643" t="inlineStr">
        <is>
          <t>파손 제외 구독료</t>
        </is>
      </c>
      <c r="L4" s="560" t="n"/>
      <c r="M4" s="560" t="n"/>
      <c r="N4" s="561" t="n"/>
      <c r="O4" s="644" t="inlineStr">
        <is>
          <t>파손보험</t>
        </is>
      </c>
      <c r="P4" s="264" t="inlineStr">
        <is>
          <t>구독료청구</t>
        </is>
      </c>
      <c r="Q4" s="643" t="inlineStr">
        <is>
          <t>파손 제외 구독료</t>
        </is>
      </c>
      <c r="R4" s="560" t="n"/>
      <c r="S4" s="560" t="n"/>
      <c r="T4" s="561" t="n"/>
      <c r="U4" s="645" t="inlineStr">
        <is>
          <t>파손보험</t>
        </is>
      </c>
      <c r="V4" s="75" t="n"/>
      <c r="W4" s="75" t="n"/>
      <c r="X4" s="76" t="n"/>
      <c r="Y4" s="75" t="n"/>
      <c r="Z4" s="76" t="n"/>
      <c r="AA4" s="137" t="n"/>
      <c r="AB4" s="75" t="n"/>
      <c r="AC4" s="70" t="n"/>
      <c r="AD4" s="70" t="n"/>
      <c r="AE4" s="70" t="n"/>
      <c r="AF4" s="70" t="n"/>
      <c r="AG4" s="70" t="n"/>
      <c r="AH4" s="71" t="n"/>
      <c r="AN4" s="500" t="n"/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65" t="n"/>
      <c r="K5" s="270" t="n"/>
      <c r="L5" s="26" t="inlineStr">
        <is>
          <t>제품</t>
        </is>
      </c>
      <c r="M5" s="15" t="inlineStr">
        <is>
          <t>케어</t>
        </is>
      </c>
      <c r="N5" s="27" t="inlineStr">
        <is>
          <t>보증</t>
        </is>
      </c>
      <c r="O5" s="265" t="n"/>
      <c r="P5" s="265" t="n"/>
      <c r="Q5" s="270" t="n"/>
      <c r="R5" s="26" t="inlineStr">
        <is>
          <t>제품</t>
        </is>
      </c>
      <c r="S5" s="15" t="inlineStr">
        <is>
          <t>케어</t>
        </is>
      </c>
      <c r="T5" s="27" t="inlineStr">
        <is>
          <t>보증</t>
        </is>
      </c>
      <c r="U5" s="265" t="n"/>
      <c r="V5" s="9" t="inlineStr">
        <is>
          <t>구독료(연체료)청구</t>
        </is>
      </c>
      <c r="W5" s="9" t="inlineStr">
        <is>
          <t>납부여부</t>
        </is>
      </c>
      <c r="X5" s="63" t="inlineStr">
        <is>
          <t>누적 연체이자</t>
        </is>
      </c>
      <c r="Y5" s="154" t="inlineStr">
        <is>
          <t>연체 1회</t>
        </is>
      </c>
      <c r="Z5" s="136" t="inlineStr">
        <is>
          <t>연체 2회</t>
        </is>
      </c>
      <c r="AA5" s="155" t="inlineStr">
        <is>
          <t>연체 3회</t>
        </is>
      </c>
      <c r="AB5" s="9" t="inlineStr">
        <is>
          <t>계약중지</t>
        </is>
      </c>
      <c r="AC5" s="9" t="inlineStr">
        <is>
          <t>경과일</t>
        </is>
      </c>
      <c r="AD5" s="26" t="inlineStr">
        <is>
          <t>위약금</t>
        </is>
      </c>
      <c r="AE5" s="15" t="inlineStr">
        <is>
          <t>사용분 청구</t>
        </is>
      </c>
      <c r="AF5" s="15" t="inlineStr">
        <is>
          <t>할인금 회수</t>
        </is>
      </c>
      <c r="AG5" s="136" t="inlineStr">
        <is>
          <t>연체이자</t>
        </is>
      </c>
      <c r="AH5" s="27" t="inlineStr">
        <is>
          <t>선납잔액 환불</t>
        </is>
      </c>
      <c r="AK5" s="495" t="n"/>
    </row>
    <row r="6">
      <c r="B6" s="9" t="inlineStr">
        <is>
          <t>모델코드</t>
        </is>
      </c>
      <c r="C6" s="6" t="inlineStr">
        <is>
          <t>SM-X920NZAAKOO</t>
        </is>
      </c>
      <c r="F6" s="101" t="inlineStr">
        <is>
          <t>1회차</t>
        </is>
      </c>
      <c r="G6" s="102" t="n">
        <v>45912</v>
      </c>
      <c r="H6" s="102" t="n">
        <v>45930</v>
      </c>
      <c r="I6" s="103">
        <f>EOMONTH(G6,0)+15</f>
        <v/>
      </c>
      <c r="J6" s="515">
        <f>K6+O6</f>
        <v/>
      </c>
      <c r="K6" s="646">
        <f>ROUNDDOWN(($C$20/1.1/$C$8)*(H6-G6+1)/DAY(H6),-2)</f>
        <v/>
      </c>
      <c r="L6" s="516">
        <f>K6-M6-N6</f>
        <v/>
      </c>
      <c r="M6" s="517">
        <f>ROUNDDOWN(($C$12/$C$8)*(H6-G6+1)/DAY(H6),-2)</f>
        <v/>
      </c>
      <c r="N6" s="518">
        <f>ROUNDDOWN(($C$13/$C$8)*(H6-G6+1)/DAY(H6),-2)</f>
        <v/>
      </c>
      <c r="O6" s="518">
        <f>ROUNDDOWN(($C$14/$C$8)*(H6-G6+1)/DAY(H6),-2)</f>
        <v/>
      </c>
      <c r="P6" s="515">
        <f>Q6+U6</f>
        <v/>
      </c>
      <c r="Q6" s="646">
        <f>ROUNDDOWN(($C$41/1.1/$C$8)*(H6-G6+1)/DAY(H6),-2)</f>
        <v/>
      </c>
      <c r="R6" s="516">
        <f>Q6-S6-T6</f>
        <v/>
      </c>
      <c r="S6" s="500">
        <f>M6</f>
        <v/>
      </c>
      <c r="T6" s="519">
        <f>N6</f>
        <v/>
      </c>
      <c r="U6" s="500">
        <f>O6</f>
        <v/>
      </c>
      <c r="V6" s="515">
        <f>P6</f>
        <v/>
      </c>
      <c r="W6" s="573" t="n"/>
      <c r="X6" s="573" t="n"/>
      <c r="Y6" s="516" t="n"/>
      <c r="Z6" s="500" t="n"/>
      <c r="AA6" s="519" t="n"/>
      <c r="AB6" s="54" t="n"/>
      <c r="AC6" s="280">
        <f>H6-G6+1</f>
        <v/>
      </c>
      <c r="AD6" s="55" t="n"/>
      <c r="AE6" s="626" t="n"/>
      <c r="AF6" s="627" t="n"/>
      <c r="AG6" s="627" t="n"/>
      <c r="AH6" s="91" t="n"/>
      <c r="AK6" s="495" t="n"/>
      <c r="AL6" s="495" t="n"/>
      <c r="AM6" s="495" t="n"/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K7+O7</f>
        <v/>
      </c>
      <c r="K7" s="646">
        <f>$C$20/1.1/$C$8</f>
        <v/>
      </c>
      <c r="L7" s="516">
        <f>K7-M7-N7</f>
        <v/>
      </c>
      <c r="M7" s="517">
        <f>$C$12/$C$8</f>
        <v/>
      </c>
      <c r="N7" s="518">
        <f>$C$13/$C$8</f>
        <v/>
      </c>
      <c r="O7" s="518">
        <f>$C$14/$C$8</f>
        <v/>
      </c>
      <c r="P7" s="515">
        <f>Q7+U7</f>
        <v/>
      </c>
      <c r="Q7" s="646">
        <f>$C$41/1.1/$C$8</f>
        <v/>
      </c>
      <c r="R7" s="516">
        <f>Q7-S7-T7</f>
        <v/>
      </c>
      <c r="S7" s="500">
        <f>M7</f>
        <v/>
      </c>
      <c r="T7" s="519">
        <f>N7</f>
        <v/>
      </c>
      <c r="U7" s="500">
        <f>O7</f>
        <v/>
      </c>
      <c r="V7" s="515">
        <f>P7</f>
        <v/>
      </c>
      <c r="W7" s="573" t="n"/>
      <c r="X7" s="573" t="n"/>
      <c r="Y7" s="516" t="n"/>
      <c r="Z7" s="500" t="n"/>
      <c r="AA7" s="519" t="n"/>
      <c r="AB7" s="196" t="n"/>
      <c r="AC7" s="281">
        <f>H7-G7+1</f>
        <v/>
      </c>
      <c r="AD7" s="92" t="n"/>
      <c r="AH7" s="94" t="n"/>
      <c r="AK7" s="500" t="n"/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K8+O8</f>
        <v/>
      </c>
      <c r="K8" s="646">
        <f>$C$20/1.1/$C$8</f>
        <v/>
      </c>
      <c r="L8" s="516">
        <f>K8-M8-N8</f>
        <v/>
      </c>
      <c r="M8" s="517">
        <f>$C$12/$C$8</f>
        <v/>
      </c>
      <c r="N8" s="518">
        <f>$C$13/$C$8</f>
        <v/>
      </c>
      <c r="O8" s="518">
        <f>$C$14/$C$8</f>
        <v/>
      </c>
      <c r="P8" s="515">
        <f>Q8+U8</f>
        <v/>
      </c>
      <c r="Q8" s="646">
        <f>$C$41/1.1/$C$8</f>
        <v/>
      </c>
      <c r="R8" s="516">
        <f>Q8-S8-T8</f>
        <v/>
      </c>
      <c r="S8" s="500">
        <f>M8</f>
        <v/>
      </c>
      <c r="T8" s="519">
        <f>N8</f>
        <v/>
      </c>
      <c r="U8" s="500">
        <f>O8</f>
        <v/>
      </c>
      <c r="V8" s="515">
        <f>P8</f>
        <v/>
      </c>
      <c r="W8" s="573" t="n"/>
      <c r="X8" s="573" t="n"/>
      <c r="Y8" s="516" t="n"/>
      <c r="Z8" s="500" t="n"/>
      <c r="AA8" s="519" t="n"/>
      <c r="AB8" s="196" t="n"/>
      <c r="AC8" s="281">
        <f>H8-G8+1</f>
        <v/>
      </c>
      <c r="AD8" s="92" t="n"/>
      <c r="AH8" s="94" t="n"/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K9+O9</f>
        <v/>
      </c>
      <c r="K9" s="646">
        <f>$C$20/1.1/$C$8</f>
        <v/>
      </c>
      <c r="L9" s="516">
        <f>K9-M9-N9</f>
        <v/>
      </c>
      <c r="M9" s="517">
        <f>$C$12/$C$8</f>
        <v/>
      </c>
      <c r="N9" s="518">
        <f>$C$13/$C$8</f>
        <v/>
      </c>
      <c r="O9" s="518">
        <f>$C$14/$C$8</f>
        <v/>
      </c>
      <c r="P9" s="515">
        <f>Q9+U9</f>
        <v/>
      </c>
      <c r="Q9" s="646">
        <f>$C$41/1.1/$C$8</f>
        <v/>
      </c>
      <c r="R9" s="516">
        <f>Q9-S9-T9</f>
        <v/>
      </c>
      <c r="S9" s="500">
        <f>M9</f>
        <v/>
      </c>
      <c r="T9" s="519">
        <f>N9</f>
        <v/>
      </c>
      <c r="U9" s="500">
        <f>O9</f>
        <v/>
      </c>
      <c r="V9" s="515">
        <f>P9</f>
        <v/>
      </c>
      <c r="W9" s="573" t="n"/>
      <c r="X9" s="573" t="n"/>
      <c r="Y9" s="516" t="n"/>
      <c r="Z9" s="500" t="n"/>
      <c r="AA9" s="519" t="n"/>
      <c r="AB9" s="196" t="n"/>
      <c r="AC9" s="281">
        <f>H9-G9+1</f>
        <v/>
      </c>
      <c r="AD9" s="92" t="n"/>
      <c r="AH9" s="94" t="n"/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K10+O10</f>
        <v/>
      </c>
      <c r="K10" s="646">
        <f>$C$20/1.1/$C$8</f>
        <v/>
      </c>
      <c r="L10" s="516">
        <f>K10-M10-N10</f>
        <v/>
      </c>
      <c r="M10" s="517">
        <f>$C$12/$C$8</f>
        <v/>
      </c>
      <c r="N10" s="518">
        <f>$C$13/$C$8</f>
        <v/>
      </c>
      <c r="O10" s="518">
        <f>$C$14/$C$8</f>
        <v/>
      </c>
      <c r="P10" s="515">
        <f>Q10+U10</f>
        <v/>
      </c>
      <c r="Q10" s="646">
        <f>$C$41/1.1/$C$8</f>
        <v/>
      </c>
      <c r="R10" s="516">
        <f>Q10-S10-T10</f>
        <v/>
      </c>
      <c r="S10" s="500">
        <f>M10</f>
        <v/>
      </c>
      <c r="T10" s="519">
        <f>N10</f>
        <v/>
      </c>
      <c r="U10" s="500">
        <f>O10</f>
        <v/>
      </c>
      <c r="V10" s="515">
        <f>P10</f>
        <v/>
      </c>
      <c r="W10" s="573" t="n"/>
      <c r="X10" s="573" t="n"/>
      <c r="Y10" s="516" t="n"/>
      <c r="Z10" s="500" t="n"/>
      <c r="AA10" s="519" t="n"/>
      <c r="AB10" s="196" t="n"/>
      <c r="AC10" s="281">
        <f>H10-G10+1</f>
        <v/>
      </c>
      <c r="AD10" s="92" t="n"/>
      <c r="AH10" s="94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K11+O11</f>
        <v/>
      </c>
      <c r="K11" s="646">
        <f>$C$20/1.1/$C$8</f>
        <v/>
      </c>
      <c r="L11" s="516">
        <f>K11-M11-N11</f>
        <v/>
      </c>
      <c r="M11" s="517">
        <f>$C$12/$C$8</f>
        <v/>
      </c>
      <c r="N11" s="518">
        <f>$C$13/$C$8</f>
        <v/>
      </c>
      <c r="O11" s="518">
        <f>$C$14/$C$8</f>
        <v/>
      </c>
      <c r="P11" s="515">
        <f>Q11+U11</f>
        <v/>
      </c>
      <c r="Q11" s="646">
        <f>$C$41/1.1/$C$8</f>
        <v/>
      </c>
      <c r="R11" s="516">
        <f>Q11-S11-T11</f>
        <v/>
      </c>
      <c r="S11" s="500">
        <f>M11</f>
        <v/>
      </c>
      <c r="T11" s="519">
        <f>N11</f>
        <v/>
      </c>
      <c r="U11" s="500">
        <f>O11</f>
        <v/>
      </c>
      <c r="V11" s="515">
        <f>P11</f>
        <v/>
      </c>
      <c r="W11" s="573" t="n"/>
      <c r="X11" s="573" t="n"/>
      <c r="Y11" s="516" t="n"/>
      <c r="Z11" s="500" t="n"/>
      <c r="AA11" s="519" t="n"/>
      <c r="AB11" s="196" t="n"/>
      <c r="AC11" s="281">
        <f>H11-G11+1</f>
        <v/>
      </c>
      <c r="AD11" s="92" t="n"/>
      <c r="AH11" s="94" t="n"/>
      <c r="AJ11" s="206" t="n">
        <v>27000</v>
      </c>
      <c r="AK11" s="206">
        <f>ROUNDDOWN(AJ11*6%*(I22-I21-1)/365,-2)</f>
        <v/>
      </c>
      <c r="AL11" s="206">
        <f>AK11*1.1</f>
        <v/>
      </c>
      <c r="AM11" s="206">
        <f>AL11-AK11</f>
        <v/>
      </c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K12+O12</f>
        <v/>
      </c>
      <c r="K12" s="646">
        <f>$C$20/1.1/$C$8</f>
        <v/>
      </c>
      <c r="L12" s="516">
        <f>K12-M12-N12</f>
        <v/>
      </c>
      <c r="M12" s="517">
        <f>$C$12/$C$8</f>
        <v/>
      </c>
      <c r="N12" s="518">
        <f>$C$13/$C$8</f>
        <v/>
      </c>
      <c r="O12" s="518">
        <f>$C$14/$C$8</f>
        <v/>
      </c>
      <c r="P12" s="515">
        <f>Q12+U12</f>
        <v/>
      </c>
      <c r="Q12" s="646">
        <f>$C$41/1.1/$C$8</f>
        <v/>
      </c>
      <c r="R12" s="516">
        <f>Q12-S12-T12</f>
        <v/>
      </c>
      <c r="S12" s="500">
        <f>M12</f>
        <v/>
      </c>
      <c r="T12" s="519">
        <f>N12</f>
        <v/>
      </c>
      <c r="U12" s="500">
        <f>O12</f>
        <v/>
      </c>
      <c r="V12" s="515">
        <f>P12</f>
        <v/>
      </c>
      <c r="W12" s="573" t="n"/>
      <c r="X12" s="573" t="n"/>
      <c r="Y12" s="516" t="n"/>
      <c r="Z12" s="500" t="n"/>
      <c r="AA12" s="519" t="n"/>
      <c r="AB12" s="196" t="n"/>
      <c r="AC12" s="281">
        <f>H12-G12+1</f>
        <v/>
      </c>
      <c r="AD12" s="92" t="n"/>
      <c r="AH12" s="94" t="n"/>
      <c r="AJ12" s="206">
        <f>AJ11*1.1</f>
        <v/>
      </c>
      <c r="AK12" s="517">
        <f>ROUND(AL12/1.1,0)</f>
        <v/>
      </c>
      <c r="AL12" s="206">
        <f>ROUNDDOWN(AJ12*6%*(I23-I22-1)/365,-1)</f>
        <v/>
      </c>
      <c r="AM12" s="611">
        <f>AL12-AK12</f>
        <v/>
      </c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K13+O13</f>
        <v/>
      </c>
      <c r="K13" s="646">
        <f>$C$20/1.1/$C$8</f>
        <v/>
      </c>
      <c r="L13" s="516">
        <f>K13-M13-N13</f>
        <v/>
      </c>
      <c r="M13" s="517">
        <f>$C$12/$C$8</f>
        <v/>
      </c>
      <c r="N13" s="518">
        <f>$C$13/$C$8</f>
        <v/>
      </c>
      <c r="O13" s="518">
        <f>$C$14/$C$8</f>
        <v/>
      </c>
      <c r="P13" s="515">
        <f>Q13+U13</f>
        <v/>
      </c>
      <c r="Q13" s="646">
        <f>$C$41/1.1/$C$8</f>
        <v/>
      </c>
      <c r="R13" s="516">
        <f>Q13-S13-T13</f>
        <v/>
      </c>
      <c r="S13" s="500">
        <f>M13</f>
        <v/>
      </c>
      <c r="T13" s="519">
        <f>N13</f>
        <v/>
      </c>
      <c r="U13" s="500">
        <f>O13</f>
        <v/>
      </c>
      <c r="V13" s="515">
        <f>P13</f>
        <v/>
      </c>
      <c r="W13" s="573" t="n"/>
      <c r="X13" s="573" t="n"/>
      <c r="Y13" s="516" t="n"/>
      <c r="Z13" s="500" t="n"/>
      <c r="AA13" s="519" t="n"/>
      <c r="AB13" s="196" t="n"/>
      <c r="AC13" s="281">
        <f>H13-G13+1</f>
        <v/>
      </c>
      <c r="AD13" s="92" t="n"/>
      <c r="AH13" s="94" t="n"/>
      <c r="AM13" s="539">
        <f>AK12*10%</f>
        <v/>
      </c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K14+O14</f>
        <v/>
      </c>
      <c r="K14" s="646">
        <f>$C$20/1.1/$C$8</f>
        <v/>
      </c>
      <c r="L14" s="516">
        <f>K14-M14-N14</f>
        <v/>
      </c>
      <c r="M14" s="517">
        <f>$C$12/$C$8</f>
        <v/>
      </c>
      <c r="N14" s="518">
        <f>$C$13/$C$8</f>
        <v/>
      </c>
      <c r="O14" s="518">
        <f>$C$14/$C$8</f>
        <v/>
      </c>
      <c r="P14" s="515">
        <f>Q14+U14</f>
        <v/>
      </c>
      <c r="Q14" s="646">
        <f>$C$41/1.1/$C$8</f>
        <v/>
      </c>
      <c r="R14" s="516">
        <f>Q14-S14-T14</f>
        <v/>
      </c>
      <c r="S14" s="500">
        <f>M14</f>
        <v/>
      </c>
      <c r="T14" s="519">
        <f>N14</f>
        <v/>
      </c>
      <c r="U14" s="500">
        <f>O14</f>
        <v/>
      </c>
      <c r="V14" s="515">
        <f>P14</f>
        <v/>
      </c>
      <c r="W14" s="573" t="n"/>
      <c r="X14" s="573" t="n"/>
      <c r="Y14" s="516" t="n"/>
      <c r="Z14" s="500" t="n"/>
      <c r="AA14" s="519" t="n"/>
      <c r="AB14" s="196" t="n"/>
      <c r="AC14" s="281">
        <f>H14-G14+1</f>
        <v/>
      </c>
      <c r="AD14" s="92" t="n"/>
      <c r="AH14" s="94" t="n"/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K15+O15</f>
        <v/>
      </c>
      <c r="K15" s="646">
        <f>$C$20/1.1/$C$8</f>
        <v/>
      </c>
      <c r="L15" s="516">
        <f>K15-M15-N15</f>
        <v/>
      </c>
      <c r="M15" s="517">
        <f>$C$12/$C$8</f>
        <v/>
      </c>
      <c r="N15" s="518">
        <f>$C$13/$C$8</f>
        <v/>
      </c>
      <c r="O15" s="518">
        <f>$C$14/$C$8</f>
        <v/>
      </c>
      <c r="P15" s="515">
        <f>Q15+U15</f>
        <v/>
      </c>
      <c r="Q15" s="646">
        <f>$C$41/1.1/$C$8</f>
        <v/>
      </c>
      <c r="R15" s="516">
        <f>Q15-S15-T15</f>
        <v/>
      </c>
      <c r="S15" s="500">
        <f>M15</f>
        <v/>
      </c>
      <c r="T15" s="519">
        <f>N15</f>
        <v/>
      </c>
      <c r="U15" s="500">
        <f>O15</f>
        <v/>
      </c>
      <c r="V15" s="515">
        <f>P15</f>
        <v/>
      </c>
      <c r="W15" s="573" t="n"/>
      <c r="X15" s="573" t="n"/>
      <c r="Y15" s="516" t="n"/>
      <c r="Z15" s="500" t="n"/>
      <c r="AA15" s="519" t="n"/>
      <c r="AB15" s="196" t="n"/>
      <c r="AC15" s="281">
        <f>H15-G15+1</f>
        <v/>
      </c>
      <c r="AD15" s="92" t="n"/>
      <c r="AH15" s="94" t="n"/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K16+O16</f>
        <v/>
      </c>
      <c r="K16" s="646">
        <f>$C$20/1.1/$C$8</f>
        <v/>
      </c>
      <c r="L16" s="516">
        <f>K16-M16-N16</f>
        <v/>
      </c>
      <c r="M16" s="517">
        <f>$C$12/$C$8</f>
        <v/>
      </c>
      <c r="N16" s="518">
        <f>$C$13/$C$8</f>
        <v/>
      </c>
      <c r="O16" s="518">
        <f>$C$14/$C$8</f>
        <v/>
      </c>
      <c r="P16" s="515">
        <f>Q16+U16</f>
        <v/>
      </c>
      <c r="Q16" s="646">
        <f>$C$41/1.1/$C$8</f>
        <v/>
      </c>
      <c r="R16" s="516">
        <f>Q16-S16-T16</f>
        <v/>
      </c>
      <c r="S16" s="500">
        <f>M16</f>
        <v/>
      </c>
      <c r="T16" s="519">
        <f>N16</f>
        <v/>
      </c>
      <c r="U16" s="500">
        <f>O16</f>
        <v/>
      </c>
      <c r="V16" s="515">
        <f>P16</f>
        <v/>
      </c>
      <c r="W16" s="573" t="n"/>
      <c r="X16" s="573" t="n"/>
      <c r="Y16" s="516" t="n"/>
      <c r="Z16" s="500" t="n"/>
      <c r="AA16" s="519" t="n"/>
      <c r="AB16" s="196" t="n"/>
      <c r="AC16" s="281">
        <f>H16-G16+1</f>
        <v/>
      </c>
      <c r="AD16" s="92" t="n"/>
      <c r="AH16" s="94" t="n"/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K17+O17</f>
        <v/>
      </c>
      <c r="K17" s="646">
        <f>$C$20/1.1/$C$8</f>
        <v/>
      </c>
      <c r="L17" s="516">
        <f>K17-M17-N17</f>
        <v/>
      </c>
      <c r="M17" s="517">
        <f>$C$12/$C$8</f>
        <v/>
      </c>
      <c r="N17" s="518">
        <f>$C$13/$C$8</f>
        <v/>
      </c>
      <c r="O17" s="518">
        <f>$C$14/$C$8</f>
        <v/>
      </c>
      <c r="P17" s="515">
        <f>Q17+U17</f>
        <v/>
      </c>
      <c r="Q17" s="646">
        <f>$C$41/1.1/$C$8</f>
        <v/>
      </c>
      <c r="R17" s="516">
        <f>Q17-S17-T17</f>
        <v/>
      </c>
      <c r="S17" s="500">
        <f>M17</f>
        <v/>
      </c>
      <c r="T17" s="519">
        <f>N17</f>
        <v/>
      </c>
      <c r="U17" s="500">
        <f>O17</f>
        <v/>
      </c>
      <c r="V17" s="515">
        <f>P17</f>
        <v/>
      </c>
      <c r="W17" s="573" t="n"/>
      <c r="X17" s="573" t="n"/>
      <c r="Y17" s="516" t="n"/>
      <c r="Z17" s="500" t="n"/>
      <c r="AA17" s="519" t="n"/>
      <c r="AB17" s="196" t="n"/>
      <c r="AC17" s="281">
        <f>H17-G17+1</f>
        <v/>
      </c>
      <c r="AD17" s="92" t="n"/>
      <c r="AH17" s="94" t="n"/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K18+O18</f>
        <v/>
      </c>
      <c r="K18" s="646">
        <f>$C$20/1.1/$C$8</f>
        <v/>
      </c>
      <c r="L18" s="516">
        <f>K18-M18-N18</f>
        <v/>
      </c>
      <c r="M18" s="517">
        <f>$C$12/$C$8</f>
        <v/>
      </c>
      <c r="N18" s="518">
        <f>$C$13/$C$8</f>
        <v/>
      </c>
      <c r="O18" s="518">
        <f>$C$14/$C$8</f>
        <v/>
      </c>
      <c r="P18" s="515">
        <f>Q18+U18</f>
        <v/>
      </c>
      <c r="Q18" s="646">
        <f>$C$41/1.1/$C$8</f>
        <v/>
      </c>
      <c r="R18" s="516">
        <f>Q18-S18-T18</f>
        <v/>
      </c>
      <c r="S18" s="500">
        <f>M18</f>
        <v/>
      </c>
      <c r="T18" s="519">
        <f>N18</f>
        <v/>
      </c>
      <c r="U18" s="500">
        <f>O18</f>
        <v/>
      </c>
      <c r="V18" s="515">
        <f>P18</f>
        <v/>
      </c>
      <c r="W18" s="573" t="n"/>
      <c r="X18" s="573" t="n"/>
      <c r="Y18" s="516" t="n"/>
      <c r="Z18" s="500" t="n"/>
      <c r="AA18" s="519" t="n"/>
      <c r="AB18" s="196" t="n"/>
      <c r="AC18" s="281">
        <f>H18-G18+1</f>
        <v/>
      </c>
      <c r="AD18" s="92" t="n"/>
      <c r="AH18" s="94" t="n"/>
      <c r="AK18" s="206">
        <f>30000*6%*30/365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K19+O19</f>
        <v/>
      </c>
      <c r="K19" s="646">
        <f>$C$20/1.1/$C$8</f>
        <v/>
      </c>
      <c r="L19" s="516">
        <f>K19-M19-N19</f>
        <v/>
      </c>
      <c r="M19" s="517">
        <f>$C$12/$C$8</f>
        <v/>
      </c>
      <c r="N19" s="518">
        <f>$C$13/$C$8</f>
        <v/>
      </c>
      <c r="O19" s="518">
        <f>$C$14/$C$8</f>
        <v/>
      </c>
      <c r="P19" s="515">
        <f>Q19+U19</f>
        <v/>
      </c>
      <c r="Q19" s="646">
        <f>$C$41/1.1/$C$8</f>
        <v/>
      </c>
      <c r="R19" s="516">
        <f>Q19-S19-T19</f>
        <v/>
      </c>
      <c r="S19" s="500">
        <f>M19</f>
        <v/>
      </c>
      <c r="T19" s="519">
        <f>N19</f>
        <v/>
      </c>
      <c r="U19" s="500">
        <f>O19</f>
        <v/>
      </c>
      <c r="V19" s="515">
        <f>P19</f>
        <v/>
      </c>
      <c r="W19" s="573" t="n"/>
      <c r="X19" s="573" t="n"/>
      <c r="Y19" s="516" t="n"/>
      <c r="Z19" s="500" t="n"/>
      <c r="AA19" s="519" t="n"/>
      <c r="AB19" s="196" t="n"/>
      <c r="AC19" s="281">
        <f>H19-G19+1</f>
        <v/>
      </c>
      <c r="AD19" s="92" t="n"/>
      <c r="AH19" s="94" t="n"/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K20+O20</f>
        <v/>
      </c>
      <c r="K20" s="646">
        <f>$C$20/1.1/$C$8</f>
        <v/>
      </c>
      <c r="L20" s="516">
        <f>K20-M20-N20</f>
        <v/>
      </c>
      <c r="M20" s="517">
        <f>$C$12/$C$8</f>
        <v/>
      </c>
      <c r="N20" s="518">
        <f>$C$13/$C$8</f>
        <v/>
      </c>
      <c r="O20" s="518">
        <f>$C$14/$C$8</f>
        <v/>
      </c>
      <c r="P20" s="515">
        <f>Q20+U20</f>
        <v/>
      </c>
      <c r="Q20" s="646">
        <f>$C$41/1.1/$C$8</f>
        <v/>
      </c>
      <c r="R20" s="516">
        <f>Q20-S20-T20</f>
        <v/>
      </c>
      <c r="S20" s="500">
        <f>M20</f>
        <v/>
      </c>
      <c r="T20" s="519">
        <f>N20</f>
        <v/>
      </c>
      <c r="U20" s="500">
        <f>O20</f>
        <v/>
      </c>
      <c r="V20" s="515">
        <f>P20</f>
        <v/>
      </c>
      <c r="W20" s="573" t="n"/>
      <c r="X20" s="573" t="n"/>
      <c r="Y20" s="516" t="inlineStr">
        <is>
          <t>* 연체 발생 이후 익월 청구일부터 가산이자 발생</t>
        </is>
      </c>
      <c r="Z20" s="500" t="n"/>
      <c r="AA20" s="519" t="n"/>
      <c r="AB20" s="196" t="n"/>
      <c r="AC20" s="281">
        <f>H20-G20+1</f>
        <v/>
      </c>
      <c r="AD20" s="92" t="n"/>
      <c r="AH20" s="94" t="n"/>
    </row>
    <row r="21" ht="17.45" customHeight="1" s="497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K21+O21</f>
        <v/>
      </c>
      <c r="K21" s="646">
        <f>$C$20/1.1/$C$8</f>
        <v/>
      </c>
      <c r="L21" s="516">
        <f>K21-M21-N21</f>
        <v/>
      </c>
      <c r="M21" s="517">
        <f>$C$12/$C$8</f>
        <v/>
      </c>
      <c r="N21" s="518">
        <f>$C$13/$C$8</f>
        <v/>
      </c>
      <c r="O21" s="518">
        <f>$C$14/$C$8</f>
        <v/>
      </c>
      <c r="P21" s="515">
        <f>Q21+U21</f>
        <v/>
      </c>
      <c r="Q21" s="646">
        <f>$C$41/1.1/$C$8</f>
        <v/>
      </c>
      <c r="R21" s="516">
        <f>Q21-S21-T21</f>
        <v/>
      </c>
      <c r="S21" s="500">
        <f>M21</f>
        <v/>
      </c>
      <c r="T21" s="519">
        <f>N21</f>
        <v/>
      </c>
      <c r="U21" s="500">
        <f>O21</f>
        <v/>
      </c>
      <c r="V21" s="720">
        <f>P21</f>
        <v/>
      </c>
      <c r="W21" s="141" t="inlineStr">
        <is>
          <t>연체</t>
        </is>
      </c>
      <c r="X21" s="726" t="n"/>
      <c r="Y21" s="721" t="n"/>
      <c r="Z21" s="724" t="n"/>
      <c r="AA21" s="725" t="n"/>
      <c r="AB21" s="158" t="n"/>
      <c r="AC21" s="159">
        <f>H21-G21+1</f>
        <v/>
      </c>
      <c r="AD21" s="160" t="n"/>
      <c r="AE21" s="724">
        <f>P21</f>
        <v/>
      </c>
      <c r="AF21" s="282" t="n"/>
      <c r="AG21" s="282" t="n"/>
      <c r="AH21" s="161" t="n"/>
      <c r="AJ21" s="206">
        <f>ROUNDDOWN(P21*1.1*6%*(I22-I21-1)/365,-1)</f>
        <v/>
      </c>
    </row>
    <row r="22">
      <c r="A22" s="305" t="n"/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K22+O22</f>
        <v/>
      </c>
      <c r="K22" s="646">
        <f>$C$20/1.1/$C$8</f>
        <v/>
      </c>
      <c r="L22" s="516">
        <f>K22-M22-N22</f>
        <v/>
      </c>
      <c r="M22" s="517">
        <f>$C$12/$C$8</f>
        <v/>
      </c>
      <c r="N22" s="518">
        <f>$C$13/$C$8</f>
        <v/>
      </c>
      <c r="O22" s="518">
        <f>$C$14/$C$8</f>
        <v/>
      </c>
      <c r="P22" s="515">
        <f>Q22+U22</f>
        <v/>
      </c>
      <c r="Q22" s="646">
        <f>$C$41/1.1/$C$8</f>
        <v/>
      </c>
      <c r="R22" s="516">
        <f>Q22-S22-T22</f>
        <v/>
      </c>
      <c r="S22" s="500">
        <f>M22</f>
        <v/>
      </c>
      <c r="T22" s="519">
        <f>N22</f>
        <v/>
      </c>
      <c r="U22" s="500">
        <f>O22</f>
        <v/>
      </c>
      <c r="V22" s="727">
        <f>P22+X22</f>
        <v/>
      </c>
      <c r="W22" s="141" t="inlineStr">
        <is>
          <t>연체</t>
        </is>
      </c>
      <c r="X22" s="726">
        <f>SUM(Y22:AA22)</f>
        <v/>
      </c>
      <c r="Y22" s="728">
        <f>ROUNDDOWN((Q21*1.1+U21)*6%*(I22-I21-1)/365,-1)</f>
        <v/>
      </c>
      <c r="Z22" s="724" t="n"/>
      <c r="AA22" s="725" t="n"/>
      <c r="AB22" s="158" t="n"/>
      <c r="AC22" s="159">
        <f>H22-G22+1</f>
        <v/>
      </c>
      <c r="AD22" s="160" t="n"/>
      <c r="AE22" s="724">
        <f>P22</f>
        <v/>
      </c>
      <c r="AF22" s="282" t="n"/>
      <c r="AG22" s="729" t="n"/>
      <c r="AH22" s="161" t="n"/>
    </row>
    <row r="23">
      <c r="A23" s="305" t="n"/>
      <c r="B23" s="9" t="inlineStr">
        <is>
          <t>(계산용) 선납금(v-) (총구독료 v+ 기준)</t>
        </is>
      </c>
      <c r="C23" s="506">
        <f>C18*C22/1.1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K23+O23</f>
        <v/>
      </c>
      <c r="K23" s="646">
        <f>$C$20/1.1/$C$8</f>
        <v/>
      </c>
      <c r="L23" s="516">
        <f>K23-M23-N23</f>
        <v/>
      </c>
      <c r="M23" s="517">
        <f>$C$12/$C$8</f>
        <v/>
      </c>
      <c r="N23" s="518">
        <f>$C$13/$C$8</f>
        <v/>
      </c>
      <c r="O23" s="518">
        <f>$C$14/$C$8</f>
        <v/>
      </c>
      <c r="P23" s="515">
        <f>Q23+U23</f>
        <v/>
      </c>
      <c r="Q23" s="646">
        <f>$C$41/1.1/$C$8</f>
        <v/>
      </c>
      <c r="R23" s="516">
        <f>Q23-S23-T23</f>
        <v/>
      </c>
      <c r="S23" s="500">
        <f>M23</f>
        <v/>
      </c>
      <c r="T23" s="519">
        <f>N23</f>
        <v/>
      </c>
      <c r="U23" s="500">
        <f>O23</f>
        <v/>
      </c>
      <c r="V23" s="727">
        <f>P23+X23</f>
        <v/>
      </c>
      <c r="W23" s="141" t="inlineStr">
        <is>
          <t>연체</t>
        </is>
      </c>
      <c r="X23" s="726">
        <f>SUM(Y23:AA23)</f>
        <v/>
      </c>
      <c r="Y23" s="728">
        <f>ROUNDDOWN((Q21*1.1+U21)*6%*(I23-I21-1)/365,-1)</f>
        <v/>
      </c>
      <c r="Z23" s="729">
        <f>ROUNDDOWN((Q22*1.1+U22)*6%*(I23-I22-1)/365,-1)</f>
        <v/>
      </c>
      <c r="AA23" s="725" t="n"/>
      <c r="AB23" s="158" t="n"/>
      <c r="AC23" s="159">
        <f>H23-G23+1</f>
        <v/>
      </c>
      <c r="AD23" s="160" t="n"/>
      <c r="AE23" s="724">
        <f>P23</f>
        <v/>
      </c>
      <c r="AF23" s="282" t="n"/>
      <c r="AG23" s="729" t="n"/>
      <c r="AH23" s="161" t="n"/>
    </row>
    <row r="24">
      <c r="A24" s="305" t="n"/>
      <c r="B24" s="9" t="inlineStr">
        <is>
          <t>(계산용) 월 선납금(V-)</t>
        </is>
      </c>
      <c r="C24" s="506">
        <f>ROUND(C23/C8,-2)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K24+O24</f>
        <v/>
      </c>
      <c r="K24" s="646">
        <f>$C$20/1.1/$C$8</f>
        <v/>
      </c>
      <c r="L24" s="516">
        <f>K24-M24-N24</f>
        <v/>
      </c>
      <c r="M24" s="517">
        <f>$C$12/$C$8</f>
        <v/>
      </c>
      <c r="N24" s="518">
        <f>$C$13/$C$8</f>
        <v/>
      </c>
      <c r="O24" s="518">
        <f>$C$14/$C$8</f>
        <v/>
      </c>
      <c r="P24" s="515">
        <f>Q24+U24</f>
        <v/>
      </c>
      <c r="Q24" s="646">
        <f>$C$41/1.1/$C$8</f>
        <v/>
      </c>
      <c r="R24" s="516">
        <f>Q24-S24-T24</f>
        <v/>
      </c>
      <c r="S24" s="500">
        <f>M24</f>
        <v/>
      </c>
      <c r="T24" s="519">
        <f>N24</f>
        <v/>
      </c>
      <c r="U24" s="500">
        <f>O24</f>
        <v/>
      </c>
      <c r="V24" s="727">
        <f>P24+X24</f>
        <v/>
      </c>
      <c r="W24" s="141" t="inlineStr">
        <is>
          <t>연체</t>
        </is>
      </c>
      <c r="X24" s="726">
        <f>SUM(Y24:AA24)</f>
        <v/>
      </c>
      <c r="Y24" s="728">
        <f>ROUNDDOWN((Q21*1.1+U21)*6%*(I24-I21-1)/365,-1)</f>
        <v/>
      </c>
      <c r="Z24" s="729">
        <f>ROUNDDOWN((Q22*1.1+U22)*6%*(I24-I22-1)/365,-1)</f>
        <v/>
      </c>
      <c r="AA24" s="730">
        <f>ROUNDDOWN((Q23*1.1+U23)*6%*(I24-I23-1)/365,-1)</f>
        <v/>
      </c>
      <c r="AB24" s="158" t="n"/>
      <c r="AC24" s="159">
        <f>H24-G24+1</f>
        <v/>
      </c>
      <c r="AD24" s="160" t="n"/>
      <c r="AE24" s="724">
        <f>P24</f>
        <v/>
      </c>
      <c r="AF24" s="282" t="n"/>
      <c r="AG24" s="729">
        <f>X24</f>
        <v/>
      </c>
      <c r="AH24" s="161" t="n"/>
    </row>
    <row r="25">
      <c r="A25" s="305" t="n"/>
      <c r="B25" s="9" t="inlineStr">
        <is>
          <t>(계산용) 월 선납금(V+)</t>
        </is>
      </c>
      <c r="C25" s="506">
        <f>C24*1.1</f>
        <v/>
      </c>
      <c r="F25" s="80" t="inlineStr">
        <is>
          <t>20회차</t>
        </is>
      </c>
      <c r="G25" s="81">
        <f>H24+1</f>
        <v/>
      </c>
      <c r="H25" s="81">
        <f>EOMONTH(G25,0)</f>
        <v/>
      </c>
      <c r="I25" s="82">
        <f>EDATE(I24,1)</f>
        <v/>
      </c>
      <c r="J25" s="630">
        <f>K25+O25</f>
        <v/>
      </c>
      <c r="K25" s="647">
        <f>$C$20/1.1/$C$8</f>
        <v/>
      </c>
      <c r="L25" s="631">
        <f>K25-M25-N25</f>
        <v/>
      </c>
      <c r="M25" s="632">
        <f>$C$12/$C$8</f>
        <v/>
      </c>
      <c r="N25" s="633">
        <f>$C$13/$C$8</f>
        <v/>
      </c>
      <c r="O25" s="633">
        <f>$C$14/$C$8</f>
        <v/>
      </c>
      <c r="P25" s="630">
        <f>Q25+U25</f>
        <v/>
      </c>
      <c r="Q25" s="647">
        <f>$C$41/1.1/$C$8</f>
        <v/>
      </c>
      <c r="R25" s="631">
        <f>Q25-S25-T25</f>
        <v/>
      </c>
      <c r="S25" s="634">
        <f>M25</f>
        <v/>
      </c>
      <c r="T25" s="635">
        <f>N25</f>
        <v/>
      </c>
      <c r="U25" s="634">
        <f>O25</f>
        <v/>
      </c>
      <c r="V25" s="646" t="n"/>
      <c r="W25" s="731" t="n"/>
      <c r="X25" s="573" t="n"/>
      <c r="Y25" s="516" t="inlineStr">
        <is>
          <t xml:space="preserve">* CE는 구독료(v-)*1.1을 적용하여 구독료(v+)를 구할 수 있지만 </t>
        </is>
      </c>
      <c r="Z25" s="500" t="n"/>
      <c r="AA25" s="519" t="n"/>
      <c r="AB25" s="162">
        <f>I24+DAY(2)</f>
        <v/>
      </c>
      <c r="AC25" s="222">
        <f>AB25-G25</f>
        <v/>
      </c>
      <c r="AD25" s="732">
        <f>ROUNDDOWN(((C18)*(C9-SUM(AC6:AC25))/C9)*20%,-1)</f>
        <v/>
      </c>
      <c r="AE25" s="648">
        <f>SUM(AE21:AE24)+ROUNDDOWN(P25*AC25/DAY(H25),-2)</f>
        <v/>
      </c>
      <c r="AF25" s="648">
        <f>ROUNDDOWN(C32*SUM(AC6:AC25)/C9,-2)</f>
        <v/>
      </c>
      <c r="AG25" s="733">
        <f>AG24</f>
        <v/>
      </c>
      <c r="AH25" s="734">
        <f>-ROUNDUP((C28*(C9-SUM(AC6:AC25))/C9),-2)</f>
        <v/>
      </c>
      <c r="AI25" s="206" t="inlineStr">
        <is>
          <t>* 위약금, 할인회수, 선납잔액 환불 기준: 일수비율</t>
        </is>
      </c>
    </row>
    <row r="26">
      <c r="A26" s="305" t="n"/>
      <c r="B26" s="9" t="inlineStr">
        <is>
          <t>(최종) 선납금 반영 월 구독료 (V-)</t>
        </is>
      </c>
      <c r="C26" s="506">
        <f>C17-C24</f>
        <v/>
      </c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K26+O26</f>
        <v/>
      </c>
      <c r="K26" s="646">
        <f>$C$20/1.1/$C$8</f>
        <v/>
      </c>
      <c r="L26" s="516">
        <f>K26-M26-N26</f>
        <v/>
      </c>
      <c r="M26" s="517">
        <f>$C$12/$C$8</f>
        <v/>
      </c>
      <c r="N26" s="518">
        <f>$C$13/$C$8</f>
        <v/>
      </c>
      <c r="O26" s="518">
        <f>$C$14/$C$8</f>
        <v/>
      </c>
      <c r="P26" s="515">
        <f>Q26+U26</f>
        <v/>
      </c>
      <c r="Q26" s="646">
        <f>$C$41/1.1/$C$8</f>
        <v/>
      </c>
      <c r="R26" s="516">
        <f>Q26-S26-T26</f>
        <v/>
      </c>
      <c r="S26" s="500">
        <f>M26</f>
        <v/>
      </c>
      <c r="T26" s="519">
        <f>N26</f>
        <v/>
      </c>
      <c r="U26" s="500">
        <f>O26</f>
        <v/>
      </c>
      <c r="V26" s="515" t="n"/>
      <c r="W26" s="573" t="n"/>
      <c r="X26" s="573" t="n"/>
      <c r="Y26" s="516" t="inlineStr">
        <is>
          <t>MX는 피과세 파손보험 포함으로 단순*1.1 적용 불가</t>
        </is>
      </c>
      <c r="Z26" s="500" t="n"/>
      <c r="AA26" s="519" t="n"/>
      <c r="AB26" s="196" t="inlineStr">
        <is>
          <t xml:space="preserve">* 4회차 정기청구일+2일 '중지' </t>
        </is>
      </c>
      <c r="AC26" s="196" t="n"/>
      <c r="AD26" s="92" t="n"/>
      <c r="AE26" s="500" t="n"/>
      <c r="AH26" s="94" t="n"/>
    </row>
    <row r="27">
      <c r="A27" s="305" t="n"/>
      <c r="B27" s="9" t="inlineStr">
        <is>
          <t>(최종) 선납금 반영 총 구독료 (V-)</t>
        </is>
      </c>
      <c r="C27" s="506">
        <f>C26*C8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K27+O27</f>
        <v/>
      </c>
      <c r="K27" s="646">
        <f>$C$20/1.1/$C$8</f>
        <v/>
      </c>
      <c r="L27" s="516">
        <f>K27-M27-N27</f>
        <v/>
      </c>
      <c r="M27" s="517">
        <f>$C$12/$C$8</f>
        <v/>
      </c>
      <c r="N27" s="518">
        <f>$C$13/$C$8</f>
        <v/>
      </c>
      <c r="O27" s="518">
        <f>$C$14/$C$8</f>
        <v/>
      </c>
      <c r="P27" s="515">
        <f>Q27+U27</f>
        <v/>
      </c>
      <c r="Q27" s="646">
        <f>$C$41/1.1/$C$8</f>
        <v/>
      </c>
      <c r="R27" s="516">
        <f>Q27-S27-T27</f>
        <v/>
      </c>
      <c r="S27" s="500">
        <f>M27</f>
        <v/>
      </c>
      <c r="T27" s="519">
        <f>N27</f>
        <v/>
      </c>
      <c r="U27" s="500">
        <f>O27</f>
        <v/>
      </c>
      <c r="V27" s="515" t="n"/>
      <c r="W27" s="573" t="n"/>
      <c r="X27" s="573" t="n"/>
      <c r="Y27" s="516" t="n"/>
      <c r="Z27" s="500" t="n"/>
      <c r="AA27" s="519" t="n"/>
      <c r="AB27" s="196" t="n"/>
      <c r="AC27" s="196" t="n"/>
      <c r="AD27" s="92" t="n"/>
      <c r="AE27" s="500" t="n"/>
      <c r="AH27" s="94" t="n"/>
    </row>
    <row r="28">
      <c r="A28" s="305" t="n"/>
      <c r="B28" s="63" t="inlineStr">
        <is>
          <t>(최종) 선납금 (V-)</t>
        </is>
      </c>
      <c r="C28" s="649">
        <f>C24*C8</f>
        <v/>
      </c>
      <c r="D28" s="505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K28+O28</f>
        <v/>
      </c>
      <c r="K28" s="646">
        <f>$C$20/1.1/$C$8</f>
        <v/>
      </c>
      <c r="L28" s="516">
        <f>K28-M28-N28</f>
        <v/>
      </c>
      <c r="M28" s="517">
        <f>$C$12/$C$8</f>
        <v/>
      </c>
      <c r="N28" s="518">
        <f>$C$13/$C$8</f>
        <v/>
      </c>
      <c r="O28" s="518">
        <f>$C$14/$C$8</f>
        <v/>
      </c>
      <c r="P28" s="515">
        <f>Q28+U28</f>
        <v/>
      </c>
      <c r="Q28" s="646">
        <f>$C$41/1.1/$C$8</f>
        <v/>
      </c>
      <c r="R28" s="516">
        <f>Q28-S28-T28</f>
        <v/>
      </c>
      <c r="S28" s="500">
        <f>M28</f>
        <v/>
      </c>
      <c r="T28" s="519">
        <f>N28</f>
        <v/>
      </c>
      <c r="U28" s="500">
        <f>O28</f>
        <v/>
      </c>
      <c r="V28" s="515" t="n"/>
      <c r="W28" s="573" t="n"/>
      <c r="X28" s="573" t="n"/>
      <c r="Y28" s="516" t="n"/>
      <c r="Z28" s="500" t="n"/>
      <c r="AA28" s="519" t="n"/>
      <c r="AB28" s="196" t="n"/>
      <c r="AC28" s="196" t="n"/>
      <c r="AD28" s="92" t="n"/>
      <c r="AH28" s="94" t="n"/>
    </row>
    <row r="29">
      <c r="B29" s="170" t="inlineStr">
        <is>
          <t>(계산용) 선납 할인금 (V-) (총구독료 v+기준)</t>
        </is>
      </c>
      <c r="C29" s="650">
        <f>C18*4%/1.1</f>
        <v/>
      </c>
      <c r="D29" s="500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K29+O29</f>
        <v/>
      </c>
      <c r="K29" s="646">
        <f>$C$20/1.1/$C$8</f>
        <v/>
      </c>
      <c r="L29" s="516">
        <f>K29-M29-N29</f>
        <v/>
      </c>
      <c r="M29" s="517">
        <f>$C$12/$C$8</f>
        <v/>
      </c>
      <c r="N29" s="518">
        <f>$C$13/$C$8</f>
        <v/>
      </c>
      <c r="O29" s="518">
        <f>$C$14/$C$8</f>
        <v/>
      </c>
      <c r="P29" s="515">
        <f>Q29+U29</f>
        <v/>
      </c>
      <c r="Q29" s="646">
        <f>$C$41/1.1/$C$8</f>
        <v/>
      </c>
      <c r="R29" s="516">
        <f>Q29-S29-T29</f>
        <v/>
      </c>
      <c r="S29" s="500">
        <f>M29</f>
        <v/>
      </c>
      <c r="T29" s="519">
        <f>N29</f>
        <v/>
      </c>
      <c r="U29" s="500">
        <f>O29</f>
        <v/>
      </c>
      <c r="V29" s="515" t="n"/>
      <c r="W29" s="573" t="n"/>
      <c r="X29" s="573" t="n"/>
      <c r="Y29" s="516" t="n"/>
      <c r="Z29" s="500" t="n"/>
      <c r="AA29" s="519" t="n"/>
      <c r="AB29" s="196" t="n"/>
      <c r="AC29" s="196" t="n"/>
      <c r="AD29" s="92" t="n"/>
      <c r="AH29" s="94" t="n"/>
    </row>
    <row r="30">
      <c r="B30" s="9" t="inlineStr">
        <is>
          <t>(계산용) 선납 할인금 월할 (V-)</t>
        </is>
      </c>
      <c r="C30" s="506">
        <f>C29/C8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K30+O30</f>
        <v/>
      </c>
      <c r="K30" s="646">
        <f>$C$20/1.1/$C$8</f>
        <v/>
      </c>
      <c r="L30" s="516">
        <f>K30-M30-N30</f>
        <v/>
      </c>
      <c r="M30" s="517">
        <f>$C$12/$C$8</f>
        <v/>
      </c>
      <c r="N30" s="518">
        <f>$C$13/$C$8</f>
        <v/>
      </c>
      <c r="O30" s="518">
        <f>$C$14/$C$8</f>
        <v/>
      </c>
      <c r="P30" s="515">
        <f>Q30+U30</f>
        <v/>
      </c>
      <c r="Q30" s="646">
        <f>$C$41/1.1/$C$8</f>
        <v/>
      </c>
      <c r="R30" s="516">
        <f>Q30-S30-T30</f>
        <v/>
      </c>
      <c r="S30" s="500">
        <f>M30</f>
        <v/>
      </c>
      <c r="T30" s="519">
        <f>N30</f>
        <v/>
      </c>
      <c r="U30" s="500">
        <f>O30</f>
        <v/>
      </c>
      <c r="V30" s="515" t="n"/>
      <c r="W30" s="573" t="n"/>
      <c r="X30" s="573" t="n"/>
      <c r="Y30" s="516" t="n"/>
      <c r="Z30" s="500" t="n"/>
      <c r="AA30" s="519" t="n"/>
      <c r="AB30" s="196" t="n"/>
      <c r="AC30" s="196" t="n"/>
      <c r="AD30" s="92" t="n"/>
      <c r="AH30" s="94" t="n"/>
    </row>
    <row r="31">
      <c r="B31" s="9" t="inlineStr">
        <is>
          <t>(계산용) 선납 할인금 월할 보정 (V-)</t>
        </is>
      </c>
      <c r="C31" s="506">
        <f>ROUNDUP(C30,-2)</f>
        <v/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K31+O31</f>
        <v/>
      </c>
      <c r="K31" s="646">
        <f>$C$20/1.1/$C$8</f>
        <v/>
      </c>
      <c r="L31" s="516">
        <f>K31-M31-N31</f>
        <v/>
      </c>
      <c r="M31" s="517">
        <f>$C$12/$C$8</f>
        <v/>
      </c>
      <c r="N31" s="518">
        <f>$C$13/$C$8</f>
        <v/>
      </c>
      <c r="O31" s="518">
        <f>$C$14/$C$8</f>
        <v/>
      </c>
      <c r="P31" s="515">
        <f>Q31+U31</f>
        <v/>
      </c>
      <c r="Q31" s="646">
        <f>$C$41/1.1/$C$8</f>
        <v/>
      </c>
      <c r="R31" s="516">
        <f>Q31-S31-T31</f>
        <v/>
      </c>
      <c r="S31" s="500">
        <f>M31</f>
        <v/>
      </c>
      <c r="T31" s="519">
        <f>N31</f>
        <v/>
      </c>
      <c r="U31" s="500">
        <f>O31</f>
        <v/>
      </c>
      <c r="V31" s="515" t="n"/>
      <c r="W31" s="573" t="n"/>
      <c r="X31" s="573" t="n"/>
      <c r="Y31" s="516" t="n"/>
      <c r="Z31" s="500" t="n"/>
      <c r="AA31" s="519" t="n"/>
      <c r="AB31" s="196" t="n"/>
      <c r="AC31" s="196" t="n"/>
      <c r="AD31" s="92" t="n"/>
      <c r="AH31" s="94" t="n"/>
    </row>
    <row r="32">
      <c r="B32" s="63" t="inlineStr">
        <is>
          <t>(최종) 선납 할인금 (V-)</t>
        </is>
      </c>
      <c r="C32" s="649">
        <f>C31*C8</f>
        <v/>
      </c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K32+O32</f>
        <v/>
      </c>
      <c r="K32" s="646">
        <f>$C$20/1.1/$C$8</f>
        <v/>
      </c>
      <c r="L32" s="516">
        <f>K32-M32-N32</f>
        <v/>
      </c>
      <c r="M32" s="517">
        <f>$C$12/$C$8</f>
        <v/>
      </c>
      <c r="N32" s="518">
        <f>$C$13/$C$8</f>
        <v/>
      </c>
      <c r="O32" s="518">
        <f>$C$14/$C$8</f>
        <v/>
      </c>
      <c r="P32" s="515">
        <f>Q32+U32</f>
        <v/>
      </c>
      <c r="Q32" s="646">
        <f>$C$41/1.1/$C$8</f>
        <v/>
      </c>
      <c r="R32" s="516">
        <f>Q32-S32-T32</f>
        <v/>
      </c>
      <c r="S32" s="500">
        <f>M32</f>
        <v/>
      </c>
      <c r="T32" s="519">
        <f>N32</f>
        <v/>
      </c>
      <c r="U32" s="500">
        <f>O32</f>
        <v/>
      </c>
      <c r="V32" s="515" t="n"/>
      <c r="W32" s="573" t="n"/>
      <c r="X32" s="573" t="n"/>
      <c r="Y32" s="516" t="n"/>
      <c r="Z32" s="500" t="n"/>
      <c r="AA32" s="519" t="n"/>
      <c r="AB32" s="196" t="n"/>
      <c r="AC32" s="196" t="n"/>
      <c r="AD32" s="92" t="n"/>
      <c r="AH32" s="94" t="n"/>
    </row>
    <row r="33">
      <c r="B33" s="9" t="inlineStr">
        <is>
          <t>(최종) 선납 할인금 (V+)</t>
        </is>
      </c>
      <c r="C33" s="506">
        <f>C32*1.1</f>
        <v/>
      </c>
      <c r="D33" s="505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K33+O33</f>
        <v/>
      </c>
      <c r="K33" s="646">
        <f>$C$20/1.1/$C$8</f>
        <v/>
      </c>
      <c r="L33" s="516">
        <f>K33-M33-N33</f>
        <v/>
      </c>
      <c r="M33" s="517">
        <f>$C$12/$C$8</f>
        <v/>
      </c>
      <c r="N33" s="518">
        <f>$C$13/$C$8</f>
        <v/>
      </c>
      <c r="O33" s="518">
        <f>$C$14/$C$8</f>
        <v/>
      </c>
      <c r="P33" s="515">
        <f>Q33+U33</f>
        <v/>
      </c>
      <c r="Q33" s="646">
        <f>$C$41/1.1/$C$8</f>
        <v/>
      </c>
      <c r="R33" s="516">
        <f>Q33-S33-T33</f>
        <v/>
      </c>
      <c r="S33" s="500">
        <f>M33</f>
        <v/>
      </c>
      <c r="T33" s="519">
        <f>N33</f>
        <v/>
      </c>
      <c r="U33" s="500">
        <f>O33</f>
        <v/>
      </c>
      <c r="V33" s="515" t="n"/>
      <c r="W33" s="573" t="n"/>
      <c r="X33" s="573" t="n"/>
      <c r="Y33" s="516" t="n"/>
      <c r="Z33" s="500" t="n"/>
      <c r="AA33" s="519" t="n"/>
      <c r="AB33" s="196" t="n"/>
      <c r="AC33" s="196" t="n"/>
      <c r="AD33" s="92" t="n"/>
      <c r="AH33" s="94" t="n"/>
    </row>
    <row r="34">
      <c r="B34" s="182" t="inlineStr">
        <is>
          <t>(최종) 선납금+선납 할인 반영 월 구독료 (V-)</t>
        </is>
      </c>
      <c r="C34" s="651">
        <f>((C15-C28-C32)+C13+C14)/C8</f>
        <v/>
      </c>
      <c r="D34" s="539" t="n"/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K34+O34</f>
        <v/>
      </c>
      <c r="K34" s="646">
        <f>$C$20/1.1/$C$8</f>
        <v/>
      </c>
      <c r="L34" s="516">
        <f>K34-M34-N34</f>
        <v/>
      </c>
      <c r="M34" s="517">
        <f>$C$12/$C$8</f>
        <v/>
      </c>
      <c r="N34" s="518">
        <f>$C$13/$C$8</f>
        <v/>
      </c>
      <c r="O34" s="518">
        <f>$C$14/$C$8</f>
        <v/>
      </c>
      <c r="P34" s="515">
        <f>Q34+U34</f>
        <v/>
      </c>
      <c r="Q34" s="646">
        <f>$C$41/1.1/$C$8</f>
        <v/>
      </c>
      <c r="R34" s="516">
        <f>Q34-S34-T34</f>
        <v/>
      </c>
      <c r="S34" s="500">
        <f>M34</f>
        <v/>
      </c>
      <c r="T34" s="519">
        <f>N34</f>
        <v/>
      </c>
      <c r="U34" s="500">
        <f>O34</f>
        <v/>
      </c>
      <c r="V34" s="515" t="n"/>
      <c r="W34" s="573" t="n"/>
      <c r="X34" s="573" t="n"/>
      <c r="Y34" s="516" t="n"/>
      <c r="Z34" s="500" t="n"/>
      <c r="AA34" s="519" t="n"/>
      <c r="AB34" s="196" t="n"/>
      <c r="AC34" s="196" t="n"/>
      <c r="AD34" s="92" t="n"/>
      <c r="AH34" s="94" t="n"/>
    </row>
    <row r="35">
      <c r="B35" s="182" t="inlineStr">
        <is>
          <t>(최종) 선납금+선납 할인 반영 총 구독료 (V-)</t>
        </is>
      </c>
      <c r="C35" s="651">
        <f>C34*C8</f>
        <v/>
      </c>
      <c r="D35" s="539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K35+O35</f>
        <v/>
      </c>
      <c r="K35" s="646">
        <f>$C$20/1.1/$C$8</f>
        <v/>
      </c>
      <c r="L35" s="516">
        <f>K35-M35-N35</f>
        <v/>
      </c>
      <c r="M35" s="517">
        <f>$C$12/$C$8</f>
        <v/>
      </c>
      <c r="N35" s="518">
        <f>$C$13/$C$8</f>
        <v/>
      </c>
      <c r="O35" s="518">
        <f>$C$14/$C$8</f>
        <v/>
      </c>
      <c r="P35" s="515">
        <f>Q35+U35</f>
        <v/>
      </c>
      <c r="Q35" s="646">
        <f>$C$41/1.1/$C$8</f>
        <v/>
      </c>
      <c r="R35" s="516">
        <f>Q35-S35-T35</f>
        <v/>
      </c>
      <c r="S35" s="500">
        <f>M35</f>
        <v/>
      </c>
      <c r="T35" s="519">
        <f>N35</f>
        <v/>
      </c>
      <c r="U35" s="500">
        <f>O35</f>
        <v/>
      </c>
      <c r="V35" s="515" t="n"/>
      <c r="W35" s="573" t="n"/>
      <c r="X35" s="573" t="n"/>
      <c r="Y35" s="516" t="n"/>
      <c r="Z35" s="500" t="n"/>
      <c r="AA35" s="519" t="n"/>
      <c r="AB35" s="196" t="n"/>
      <c r="AC35" s="196" t="n"/>
      <c r="AD35" s="92" t="n"/>
      <c r="AH35" s="94" t="n"/>
    </row>
    <row r="36">
      <c r="B36" s="182" t="inlineStr">
        <is>
          <t>(최종) 선납금+선납 할인 반영 월 구독료 (V+)</t>
        </is>
      </c>
      <c r="C36" s="651">
        <f>((C15-C28-C32)*1.1+C13*1.1+C14)/C8</f>
        <v/>
      </c>
      <c r="D36" s="517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K36+O36</f>
        <v/>
      </c>
      <c r="K36" s="646">
        <f>$C$20/1.1/$C$8</f>
        <v/>
      </c>
      <c r="L36" s="516">
        <f>K36-M36-N36</f>
        <v/>
      </c>
      <c r="M36" s="517">
        <f>$C$12/$C$8</f>
        <v/>
      </c>
      <c r="N36" s="518">
        <f>$C$13/$C$8</f>
        <v/>
      </c>
      <c r="O36" s="518">
        <f>$C$14/$C$8</f>
        <v/>
      </c>
      <c r="P36" s="515">
        <f>Q36+U36</f>
        <v/>
      </c>
      <c r="Q36" s="646">
        <f>$C$41/1.1/$C$8</f>
        <v/>
      </c>
      <c r="R36" s="516">
        <f>Q36-S36-T36</f>
        <v/>
      </c>
      <c r="S36" s="500">
        <f>M36</f>
        <v/>
      </c>
      <c r="T36" s="519">
        <f>N36</f>
        <v/>
      </c>
      <c r="U36" s="500">
        <f>O36</f>
        <v/>
      </c>
      <c r="V36" s="515" t="n"/>
      <c r="W36" s="573" t="n"/>
      <c r="X36" s="573" t="n"/>
      <c r="Y36" s="516" t="n"/>
      <c r="Z36" s="500" t="n"/>
      <c r="AA36" s="519" t="n"/>
      <c r="AB36" s="196" t="n"/>
      <c r="AC36" s="196" t="n"/>
      <c r="AD36" s="92" t="n"/>
      <c r="AH36" s="94" t="n"/>
    </row>
    <row r="37">
      <c r="B37" s="182" t="inlineStr">
        <is>
          <t>(최종) 선납금+선납 할인 반영 총 구독료 (V+)</t>
        </is>
      </c>
      <c r="C37" s="651">
        <f>C36*C8</f>
        <v/>
      </c>
      <c r="D37" s="505">
        <f>(C15-C28-C32+C13)*1.1+C14</f>
        <v/>
      </c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K37+O37</f>
        <v/>
      </c>
      <c r="K37" s="646">
        <f>$C$20/1.1/$C$8</f>
        <v/>
      </c>
      <c r="L37" s="516">
        <f>K37-M37-N37</f>
        <v/>
      </c>
      <c r="M37" s="517">
        <f>$C$12/$C$8</f>
        <v/>
      </c>
      <c r="N37" s="518">
        <f>$C$13/$C$8</f>
        <v/>
      </c>
      <c r="O37" s="518">
        <f>$C$14/$C$8</f>
        <v/>
      </c>
      <c r="P37" s="515">
        <f>Q37+U37</f>
        <v/>
      </c>
      <c r="Q37" s="646">
        <f>$C$41/1.1/$C$8</f>
        <v/>
      </c>
      <c r="R37" s="516">
        <f>Q37-S37-T37</f>
        <v/>
      </c>
      <c r="S37" s="500">
        <f>M37</f>
        <v/>
      </c>
      <c r="T37" s="519">
        <f>N37</f>
        <v/>
      </c>
      <c r="U37" s="500">
        <f>O37</f>
        <v/>
      </c>
      <c r="V37" s="515" t="n"/>
      <c r="W37" s="573" t="n"/>
      <c r="X37" s="573" t="n"/>
      <c r="Y37" s="516" t="n"/>
      <c r="Z37" s="500" t="n"/>
      <c r="AA37" s="519" t="n"/>
      <c r="AB37" s="196" t="n"/>
      <c r="AC37" s="196" t="n"/>
      <c r="AD37" s="92" t="n"/>
      <c r="AH37" s="94" t="n"/>
    </row>
    <row r="38">
      <c r="C38" s="505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K38+O38</f>
        <v/>
      </c>
      <c r="K38" s="646">
        <f>$C$20/1.1/$C$8</f>
        <v/>
      </c>
      <c r="L38" s="516">
        <f>K38-M38-N38</f>
        <v/>
      </c>
      <c r="M38" s="517">
        <f>$C$12/$C$8</f>
        <v/>
      </c>
      <c r="N38" s="518">
        <f>$C$13/$C$8</f>
        <v/>
      </c>
      <c r="O38" s="518">
        <f>$C$14/$C$8</f>
        <v/>
      </c>
      <c r="P38" s="515">
        <f>Q38+U38</f>
        <v/>
      </c>
      <c r="Q38" s="646">
        <f>$C$41/1.1/$C$8</f>
        <v/>
      </c>
      <c r="R38" s="516">
        <f>Q38-S38-T38</f>
        <v/>
      </c>
      <c r="S38" s="500">
        <f>M38</f>
        <v/>
      </c>
      <c r="T38" s="519">
        <f>N38</f>
        <v/>
      </c>
      <c r="U38" s="500">
        <f>O38</f>
        <v/>
      </c>
      <c r="V38" s="515" t="n"/>
      <c r="W38" s="573" t="n"/>
      <c r="X38" s="573" t="n"/>
      <c r="Y38" s="516" t="n"/>
      <c r="Z38" s="500" t="n"/>
      <c r="AA38" s="519" t="n"/>
      <c r="AB38" s="196" t="n"/>
      <c r="AC38" s="196" t="n"/>
      <c r="AD38" s="92" t="n"/>
      <c r="AH38" s="94" t="n"/>
    </row>
    <row r="39">
      <c r="B39" s="9" t="inlineStr">
        <is>
          <t>선납금+선납 할인 반영 순수 구독료 (V-)</t>
        </is>
      </c>
      <c r="C39" s="506">
        <f>C35-C12-C13-C14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K39+O39</f>
        <v/>
      </c>
      <c r="K39" s="646">
        <f>$C$20/1.1/$C$8</f>
        <v/>
      </c>
      <c r="L39" s="516">
        <f>K39-M39-N39</f>
        <v/>
      </c>
      <c r="M39" s="517">
        <f>$C$12/$C$8</f>
        <v/>
      </c>
      <c r="N39" s="518">
        <f>$C$13/$C$8</f>
        <v/>
      </c>
      <c r="O39" s="518">
        <f>$C$14/$C$8</f>
        <v/>
      </c>
      <c r="P39" s="515">
        <f>Q39+U39</f>
        <v/>
      </c>
      <c r="Q39" s="646">
        <f>$C$41/1.1/$C$8</f>
        <v/>
      </c>
      <c r="R39" s="516">
        <f>Q39-S39-T39</f>
        <v/>
      </c>
      <c r="S39" s="500">
        <f>M39</f>
        <v/>
      </c>
      <c r="T39" s="519">
        <f>N39</f>
        <v/>
      </c>
      <c r="U39" s="500">
        <f>O39</f>
        <v/>
      </c>
      <c r="V39" s="515" t="n"/>
      <c r="W39" s="573" t="n"/>
      <c r="X39" s="573" t="n"/>
      <c r="Y39" s="516" t="n"/>
      <c r="Z39" s="500" t="n"/>
      <c r="AA39" s="519" t="n"/>
      <c r="AB39" s="196" t="n"/>
      <c r="AC39" s="196" t="n"/>
      <c r="AD39" s="92" t="n"/>
      <c r="AH39" s="94" t="n"/>
    </row>
    <row r="40">
      <c r="B40" s="9" t="inlineStr">
        <is>
          <t>선납금+선납 할인 반영 순수 구독료 월할 (V-)</t>
        </is>
      </c>
      <c r="C40" s="506">
        <f>C39/C8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K40+O40</f>
        <v/>
      </c>
      <c r="K40" s="646">
        <f>$C$20/1.1/$C$8</f>
        <v/>
      </c>
      <c r="L40" s="516">
        <f>K40-M40-N40</f>
        <v/>
      </c>
      <c r="M40" s="517">
        <f>$C$12/$C$8</f>
        <v/>
      </c>
      <c r="N40" s="518">
        <f>$C$13/$C$8</f>
        <v/>
      </c>
      <c r="O40" s="518">
        <f>$C$14/$C$8</f>
        <v/>
      </c>
      <c r="P40" s="515">
        <f>Q40+U40</f>
        <v/>
      </c>
      <c r="Q40" s="646">
        <f>$C$41/1.1/$C$8</f>
        <v/>
      </c>
      <c r="R40" s="516">
        <f>Q40-S40-T40</f>
        <v/>
      </c>
      <c r="S40" s="500">
        <f>M40</f>
        <v/>
      </c>
      <c r="T40" s="519">
        <f>N40</f>
        <v/>
      </c>
      <c r="U40" s="500">
        <f>O40</f>
        <v/>
      </c>
      <c r="V40" s="515" t="n"/>
      <c r="W40" s="573" t="n"/>
      <c r="X40" s="573" t="n"/>
      <c r="Y40" s="516" t="n"/>
      <c r="Z40" s="500" t="n"/>
      <c r="AA40" s="519" t="n"/>
      <c r="AB40" s="196" t="n"/>
      <c r="AC40" s="196" t="n"/>
      <c r="AD40" s="92" t="n"/>
      <c r="AH40" s="94" t="n"/>
    </row>
    <row r="41">
      <c r="B41" s="250" t="inlineStr">
        <is>
          <t>선납금+선납 할인 반영 파손제외 구독료 (v+)</t>
        </is>
      </c>
      <c r="C41" s="527">
        <f>C37-C14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K41+O41</f>
        <v/>
      </c>
      <c r="K41" s="646">
        <f>$C$20/1.1/$C$8</f>
        <v/>
      </c>
      <c r="L41" s="516">
        <f>K41-M41-N41</f>
        <v/>
      </c>
      <c r="M41" s="517">
        <f>$C$12/$C$8</f>
        <v/>
      </c>
      <c r="N41" s="518">
        <f>$C$13/$C$8</f>
        <v/>
      </c>
      <c r="O41" s="518">
        <f>$C$14/$C$8</f>
        <v/>
      </c>
      <c r="P41" s="515">
        <f>Q41+U41</f>
        <v/>
      </c>
      <c r="Q41" s="646">
        <f>$C$41/1.1/$C$8</f>
        <v/>
      </c>
      <c r="R41" s="516">
        <f>Q41-S41-T41</f>
        <v/>
      </c>
      <c r="S41" s="500">
        <f>M41</f>
        <v/>
      </c>
      <c r="T41" s="519">
        <f>N41</f>
        <v/>
      </c>
      <c r="U41" s="500">
        <f>O41</f>
        <v/>
      </c>
      <c r="V41" s="515" t="n"/>
      <c r="W41" s="573" t="n"/>
      <c r="X41" s="573" t="n"/>
      <c r="Y41" s="516" t="n"/>
      <c r="Z41" s="500" t="n"/>
      <c r="AA41" s="519" t="n"/>
      <c r="AB41" s="196" t="n"/>
      <c r="AC41" s="196" t="n"/>
      <c r="AD41" s="92" t="n"/>
      <c r="AH41" s="94" t="n"/>
    </row>
    <row r="42"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K42+O42</f>
        <v/>
      </c>
      <c r="K42" s="646">
        <f>$C$20/1.1/$C$8</f>
        <v/>
      </c>
      <c r="L42" s="516">
        <f>K42-M42-N42</f>
        <v/>
      </c>
      <c r="M42" s="517">
        <f>$C$12/$C$8</f>
        <v/>
      </c>
      <c r="N42" s="518">
        <f>$C$13/$C$8</f>
        <v/>
      </c>
      <c r="O42" s="518">
        <f>$C$14/$C$8</f>
        <v/>
      </c>
      <c r="P42" s="515">
        <f>Q42+U42</f>
        <v/>
      </c>
      <c r="Q42" s="646">
        <f>$C$41/1.1/$C$8</f>
        <v/>
      </c>
      <c r="R42" s="516">
        <f>Q42-S42-T42</f>
        <v/>
      </c>
      <c r="S42" s="500">
        <f>M42</f>
        <v/>
      </c>
      <c r="T42" s="519">
        <f>N42</f>
        <v/>
      </c>
      <c r="U42" s="500">
        <f>O42</f>
        <v/>
      </c>
      <c r="V42" s="515" t="n"/>
      <c r="W42" s="573" t="n"/>
      <c r="X42" s="573" t="n"/>
      <c r="Y42" s="516" t="n"/>
      <c r="Z42" s="500" t="n"/>
      <c r="AA42" s="519" t="n"/>
      <c r="AB42" s="196" t="n"/>
      <c r="AC42" s="196" t="n"/>
      <c r="AD42" s="92" t="n"/>
      <c r="AH42" s="94" t="n"/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K43+O43</f>
        <v/>
      </c>
      <c r="K43" s="646">
        <f>$C$20/1.1/$C$8</f>
        <v/>
      </c>
      <c r="L43" s="516">
        <f>K43-M43-N43</f>
        <v/>
      </c>
      <c r="M43" s="517">
        <f>$C$12/$C$8</f>
        <v/>
      </c>
      <c r="N43" s="518">
        <f>$C$13/$C$8</f>
        <v/>
      </c>
      <c r="O43" s="518">
        <f>$C$14/$C$8</f>
        <v/>
      </c>
      <c r="P43" s="515">
        <f>Q43+U43</f>
        <v/>
      </c>
      <c r="Q43" s="646">
        <f>$C$41/1.1/$C$8</f>
        <v/>
      </c>
      <c r="R43" s="516">
        <f>Q43-S43-T43</f>
        <v/>
      </c>
      <c r="S43" s="500">
        <f>M43</f>
        <v/>
      </c>
      <c r="T43" s="519">
        <f>N43</f>
        <v/>
      </c>
      <c r="U43" s="500">
        <f>O43</f>
        <v/>
      </c>
      <c r="V43" s="515" t="n"/>
      <c r="W43" s="573" t="n"/>
      <c r="X43" s="573" t="n"/>
      <c r="Y43" s="516" t="n"/>
      <c r="Z43" s="500" t="n"/>
      <c r="AA43" s="519" t="n"/>
      <c r="AB43" s="196" t="n"/>
      <c r="AC43" s="196" t="n"/>
      <c r="AD43" s="92" t="n"/>
      <c r="AH43" s="94" t="n"/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K44+O44</f>
        <v/>
      </c>
      <c r="K44" s="646">
        <f>$C$20/1.1/$C$8</f>
        <v/>
      </c>
      <c r="L44" s="516">
        <f>K44-M44-N44</f>
        <v/>
      </c>
      <c r="M44" s="517">
        <f>$C$12/$C$8</f>
        <v/>
      </c>
      <c r="N44" s="518">
        <f>$C$13/$C$8</f>
        <v/>
      </c>
      <c r="O44" s="518">
        <f>$C$14/$C$8</f>
        <v/>
      </c>
      <c r="P44" s="515">
        <f>Q44+U44</f>
        <v/>
      </c>
      <c r="Q44" s="646">
        <f>$C$41/1.1/$C$8</f>
        <v/>
      </c>
      <c r="R44" s="516">
        <f>Q44-S44-T44</f>
        <v/>
      </c>
      <c r="S44" s="500">
        <f>M44</f>
        <v/>
      </c>
      <c r="T44" s="519">
        <f>N44</f>
        <v/>
      </c>
      <c r="U44" s="500">
        <f>O44</f>
        <v/>
      </c>
      <c r="V44" s="515" t="n"/>
      <c r="W44" s="573" t="n"/>
      <c r="X44" s="573" t="n"/>
      <c r="Y44" s="516" t="n"/>
      <c r="Z44" s="500" t="n"/>
      <c r="AA44" s="519" t="n"/>
      <c r="AB44" s="196" t="n"/>
      <c r="AC44" s="196" t="n"/>
      <c r="AD44" s="92" t="n"/>
      <c r="AH44" s="94" t="n"/>
    </row>
    <row r="45"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K45+O45</f>
        <v/>
      </c>
      <c r="K45" s="646">
        <f>$C$20/1.1/$C$8</f>
        <v/>
      </c>
      <c r="L45" s="516">
        <f>K45-M45-N45</f>
        <v/>
      </c>
      <c r="M45" s="517">
        <f>$C$12/$C$8</f>
        <v/>
      </c>
      <c r="N45" s="518">
        <f>$C$13/$C$8</f>
        <v/>
      </c>
      <c r="O45" s="518">
        <f>$C$14/$C$8</f>
        <v/>
      </c>
      <c r="P45" s="515">
        <f>Q45+U45</f>
        <v/>
      </c>
      <c r="Q45" s="646">
        <f>$C$41/1.1/$C$8</f>
        <v/>
      </c>
      <c r="R45" s="516">
        <f>Q45-S45-T45</f>
        <v/>
      </c>
      <c r="S45" s="500">
        <f>M45</f>
        <v/>
      </c>
      <c r="T45" s="519">
        <f>N45</f>
        <v/>
      </c>
      <c r="U45" s="500">
        <f>O45</f>
        <v/>
      </c>
      <c r="V45" s="515" t="n"/>
      <c r="W45" s="573" t="n"/>
      <c r="X45" s="573" t="n"/>
      <c r="Y45" s="516" t="n"/>
      <c r="Z45" s="500" t="n"/>
      <c r="AA45" s="519" t="n"/>
      <c r="AB45" s="196" t="n"/>
      <c r="AC45" s="196" t="n"/>
      <c r="AD45" s="92" t="n"/>
      <c r="AH45" s="94" t="n"/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K46+O46</f>
        <v/>
      </c>
      <c r="K46" s="646">
        <f>$C$20/1.1/$C$8</f>
        <v/>
      </c>
      <c r="L46" s="516">
        <f>K46-M46-N46</f>
        <v/>
      </c>
      <c r="M46" s="517">
        <f>$C$12/$C$8</f>
        <v/>
      </c>
      <c r="N46" s="518">
        <f>$C$13/$C$8</f>
        <v/>
      </c>
      <c r="O46" s="518">
        <f>$C$14/$C$8</f>
        <v/>
      </c>
      <c r="P46" s="515">
        <f>Q46+U46</f>
        <v/>
      </c>
      <c r="Q46" s="646">
        <f>$C$41/1.1/$C$8</f>
        <v/>
      </c>
      <c r="R46" s="516">
        <f>Q46-S46-T46</f>
        <v/>
      </c>
      <c r="S46" s="500">
        <f>M46</f>
        <v/>
      </c>
      <c r="T46" s="519">
        <f>N46</f>
        <v/>
      </c>
      <c r="U46" s="500">
        <f>O46</f>
        <v/>
      </c>
      <c r="V46" s="515" t="n"/>
      <c r="W46" s="573" t="n"/>
      <c r="X46" s="573" t="n"/>
      <c r="Y46" s="516" t="n"/>
      <c r="Z46" s="500" t="n"/>
      <c r="AA46" s="519" t="n"/>
      <c r="AB46" s="196" t="n"/>
      <c r="AC46" s="196" t="n"/>
      <c r="AD46" s="92" t="n"/>
      <c r="AH46" s="94" t="n"/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K47+O47</f>
        <v/>
      </c>
      <c r="K47" s="646">
        <f>$C$20/1.1/$C$8</f>
        <v/>
      </c>
      <c r="L47" s="516">
        <f>K47-M47-N47</f>
        <v/>
      </c>
      <c r="M47" s="517">
        <f>$C$12/$C$8</f>
        <v/>
      </c>
      <c r="N47" s="518">
        <f>$C$13/$C$8</f>
        <v/>
      </c>
      <c r="O47" s="518">
        <f>$C$14/$C$8</f>
        <v/>
      </c>
      <c r="P47" s="515">
        <f>Q47+U47</f>
        <v/>
      </c>
      <c r="Q47" s="646">
        <f>$C$41/1.1/$C$8</f>
        <v/>
      </c>
      <c r="R47" s="516">
        <f>Q47-S47-T47</f>
        <v/>
      </c>
      <c r="S47" s="500">
        <f>M47</f>
        <v/>
      </c>
      <c r="T47" s="519">
        <f>N47</f>
        <v/>
      </c>
      <c r="U47" s="500">
        <f>O47</f>
        <v/>
      </c>
      <c r="V47" s="515" t="n"/>
      <c r="W47" s="573" t="n"/>
      <c r="X47" s="573" t="n"/>
      <c r="Y47" s="516" t="n"/>
      <c r="Z47" s="500" t="n"/>
      <c r="AA47" s="519" t="n"/>
      <c r="AB47" s="196" t="n"/>
      <c r="AC47" s="196" t="n"/>
      <c r="AD47" s="92" t="n"/>
      <c r="AH47" s="94" t="n"/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K48+O48</f>
        <v/>
      </c>
      <c r="K48" s="646">
        <f>$C$20/1.1/$C$8</f>
        <v/>
      </c>
      <c r="L48" s="516">
        <f>K48-M48-N48</f>
        <v/>
      </c>
      <c r="M48" s="517">
        <f>$C$12/$C$8</f>
        <v/>
      </c>
      <c r="N48" s="518">
        <f>$C$13/$C$8</f>
        <v/>
      </c>
      <c r="O48" s="518">
        <f>$C$14/$C$8</f>
        <v/>
      </c>
      <c r="P48" s="515">
        <f>Q48+U48</f>
        <v/>
      </c>
      <c r="Q48" s="646">
        <f>$C$41/1.1/$C$8</f>
        <v/>
      </c>
      <c r="R48" s="516">
        <f>Q48-S48-T48</f>
        <v/>
      </c>
      <c r="S48" s="500">
        <f>M48</f>
        <v/>
      </c>
      <c r="T48" s="519">
        <f>N48</f>
        <v/>
      </c>
      <c r="U48" s="500">
        <f>O48</f>
        <v/>
      </c>
      <c r="V48" s="515" t="n"/>
      <c r="W48" s="573" t="n"/>
      <c r="X48" s="573" t="n"/>
      <c r="Y48" s="516" t="n"/>
      <c r="Z48" s="500" t="n"/>
      <c r="AA48" s="519" t="n"/>
      <c r="AB48" s="196" t="n"/>
      <c r="AC48" s="196" t="n"/>
      <c r="AD48" s="92" t="n"/>
      <c r="AH48" s="94" t="n"/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K49+O49</f>
        <v/>
      </c>
      <c r="K49" s="646">
        <f>$C$20/1.1/$C$8</f>
        <v/>
      </c>
      <c r="L49" s="516">
        <f>K49-M49-N49</f>
        <v/>
      </c>
      <c r="M49" s="517">
        <f>$C$12/$C$8</f>
        <v/>
      </c>
      <c r="N49" s="518">
        <f>$C$13/$C$8</f>
        <v/>
      </c>
      <c r="O49" s="518">
        <f>$C$14/$C$8</f>
        <v/>
      </c>
      <c r="P49" s="515">
        <f>Q49+U49</f>
        <v/>
      </c>
      <c r="Q49" s="646">
        <f>$C$41/1.1/$C$8</f>
        <v/>
      </c>
      <c r="R49" s="516">
        <f>Q49-S49-T49</f>
        <v/>
      </c>
      <c r="S49" s="500">
        <f>M49</f>
        <v/>
      </c>
      <c r="T49" s="519">
        <f>N49</f>
        <v/>
      </c>
      <c r="U49" s="500">
        <f>O49</f>
        <v/>
      </c>
      <c r="V49" s="515" t="n"/>
      <c r="W49" s="573" t="n"/>
      <c r="X49" s="573" t="n"/>
      <c r="Y49" s="516" t="n"/>
      <c r="Z49" s="500" t="n"/>
      <c r="AA49" s="519" t="n"/>
      <c r="AB49" s="196" t="n"/>
      <c r="AC49" s="196" t="n"/>
      <c r="AD49" s="92" t="n"/>
      <c r="AH49" s="94" t="n"/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K50+O50</f>
        <v/>
      </c>
      <c r="K50" s="646">
        <f>$C$20/1.1/$C$8</f>
        <v/>
      </c>
      <c r="L50" s="516">
        <f>K50-M50-N50</f>
        <v/>
      </c>
      <c r="M50" s="517">
        <f>$C$12/$C$8</f>
        <v/>
      </c>
      <c r="N50" s="518">
        <f>$C$13/$C$8</f>
        <v/>
      </c>
      <c r="O50" s="518">
        <f>$C$14/$C$8</f>
        <v/>
      </c>
      <c r="P50" s="515">
        <f>Q50+U50</f>
        <v/>
      </c>
      <c r="Q50" s="646">
        <f>$C$41/1.1/$C$8</f>
        <v/>
      </c>
      <c r="R50" s="516">
        <f>Q50-S50-T50</f>
        <v/>
      </c>
      <c r="S50" s="500">
        <f>M50</f>
        <v/>
      </c>
      <c r="T50" s="519">
        <f>N50</f>
        <v/>
      </c>
      <c r="U50" s="500">
        <f>O50</f>
        <v/>
      </c>
      <c r="V50" s="515" t="n"/>
      <c r="W50" s="573" t="n"/>
      <c r="X50" s="573" t="n"/>
      <c r="Y50" s="516" t="n"/>
      <c r="Z50" s="500" t="n"/>
      <c r="AA50" s="519" t="n"/>
      <c r="AB50" s="196" t="n"/>
      <c r="AC50" s="196" t="n"/>
      <c r="AD50" s="92" t="n"/>
      <c r="AH50" s="94" t="n"/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K51+O51</f>
        <v/>
      </c>
      <c r="K51" s="646">
        <f>$C$20/1.1/$C$8</f>
        <v/>
      </c>
      <c r="L51" s="516">
        <f>K51-M51-N51</f>
        <v/>
      </c>
      <c r="M51" s="517">
        <f>$C$12/$C$8</f>
        <v/>
      </c>
      <c r="N51" s="518">
        <f>$C$13/$C$8</f>
        <v/>
      </c>
      <c r="O51" s="518">
        <f>$C$14/$C$8</f>
        <v/>
      </c>
      <c r="P51" s="515">
        <f>Q51+U51</f>
        <v/>
      </c>
      <c r="Q51" s="646">
        <f>$C$41/1.1/$C$8</f>
        <v/>
      </c>
      <c r="R51" s="516">
        <f>Q51-S51-T51</f>
        <v/>
      </c>
      <c r="S51" s="500">
        <f>M51</f>
        <v/>
      </c>
      <c r="T51" s="519">
        <f>N51</f>
        <v/>
      </c>
      <c r="U51" s="500">
        <f>O51</f>
        <v/>
      </c>
      <c r="V51" s="515" t="n"/>
      <c r="W51" s="573" t="n"/>
      <c r="X51" s="573" t="n"/>
      <c r="Y51" s="516" t="n"/>
      <c r="Z51" s="500" t="n"/>
      <c r="AA51" s="519" t="n"/>
      <c r="AB51" s="196" t="n"/>
      <c r="AC51" s="196" t="n"/>
      <c r="AD51" s="92" t="n"/>
      <c r="AH51" s="94" t="n"/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K52+O52</f>
        <v/>
      </c>
      <c r="K52" s="646">
        <f>$C$20/1.1/$C$8</f>
        <v/>
      </c>
      <c r="L52" s="516">
        <f>K52-M52-N52</f>
        <v/>
      </c>
      <c r="M52" s="517">
        <f>$C$12/$C$8</f>
        <v/>
      </c>
      <c r="N52" s="518">
        <f>$C$13/$C$8</f>
        <v/>
      </c>
      <c r="O52" s="518">
        <f>$C$14/$C$8</f>
        <v/>
      </c>
      <c r="P52" s="515">
        <f>Q52+U52</f>
        <v/>
      </c>
      <c r="Q52" s="646">
        <f>$C$41/1.1/$C$8</f>
        <v/>
      </c>
      <c r="R52" s="516">
        <f>Q52-S52-T52</f>
        <v/>
      </c>
      <c r="S52" s="500">
        <f>M52</f>
        <v/>
      </c>
      <c r="T52" s="519">
        <f>N52</f>
        <v/>
      </c>
      <c r="U52" s="500">
        <f>O52</f>
        <v/>
      </c>
      <c r="V52" s="515" t="n"/>
      <c r="W52" s="573" t="n"/>
      <c r="X52" s="573" t="n"/>
      <c r="Y52" s="516" t="n"/>
      <c r="Z52" s="500" t="n"/>
      <c r="AA52" s="519" t="n"/>
      <c r="AB52" s="196" t="n"/>
      <c r="AC52" s="196" t="n"/>
      <c r="AD52" s="92" t="n"/>
      <c r="AH52" s="94" t="n"/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K53+O53</f>
        <v/>
      </c>
      <c r="K53" s="646">
        <f>$C$20/1.1/$C$8</f>
        <v/>
      </c>
      <c r="L53" s="516">
        <f>K53-M53-N53</f>
        <v/>
      </c>
      <c r="M53" s="517">
        <f>$C$12/$C$8</f>
        <v/>
      </c>
      <c r="N53" s="518">
        <f>$C$13/$C$8</f>
        <v/>
      </c>
      <c r="O53" s="518">
        <f>$C$14/$C$8</f>
        <v/>
      </c>
      <c r="P53" s="515">
        <f>Q53+U53</f>
        <v/>
      </c>
      <c r="Q53" s="646">
        <f>$C$41/1.1/$C$8</f>
        <v/>
      </c>
      <c r="R53" s="516">
        <f>Q53-S53-T53</f>
        <v/>
      </c>
      <c r="S53" s="500">
        <f>M53</f>
        <v/>
      </c>
      <c r="T53" s="519">
        <f>N53</f>
        <v/>
      </c>
      <c r="U53" s="500">
        <f>O53</f>
        <v/>
      </c>
      <c r="V53" s="515" t="n"/>
      <c r="W53" s="573" t="n"/>
      <c r="X53" s="573" t="n"/>
      <c r="Y53" s="516" t="n"/>
      <c r="Z53" s="500" t="n"/>
      <c r="AA53" s="519" t="n"/>
      <c r="AB53" s="196" t="n"/>
      <c r="AC53" s="196" t="n"/>
      <c r="AD53" s="92" t="n"/>
      <c r="AH53" s="94" t="n"/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K54+O54</f>
        <v/>
      </c>
      <c r="K54" s="646">
        <f>$C$20/1.1/$C$8-K6</f>
        <v/>
      </c>
      <c r="L54" s="516">
        <f>K54-M54-N54</f>
        <v/>
      </c>
      <c r="M54" s="517">
        <f>$C$12/$C$8</f>
        <v/>
      </c>
      <c r="N54" s="518">
        <f>$C$13/$C$8-N6</f>
        <v/>
      </c>
      <c r="O54" s="518">
        <f>$C$14/$C$8-O6</f>
        <v/>
      </c>
      <c r="P54" s="515">
        <f>Q54+U54</f>
        <v/>
      </c>
      <c r="Q54" s="646">
        <f>$C$41/1.1/$C$8-Q6</f>
        <v/>
      </c>
      <c r="R54" s="516">
        <f>Q54-S54-T54</f>
        <v/>
      </c>
      <c r="S54" s="500">
        <f>M54</f>
        <v/>
      </c>
      <c r="T54" s="519">
        <f>N54</f>
        <v/>
      </c>
      <c r="U54" s="500">
        <f>O54</f>
        <v/>
      </c>
      <c r="V54" s="515" t="n"/>
      <c r="W54" s="573" t="n"/>
      <c r="X54" s="573" t="n"/>
      <c r="Y54" s="516" t="n"/>
      <c r="Z54" s="500" t="n"/>
      <c r="AA54" s="519" t="n"/>
      <c r="AB54" s="196" t="n"/>
      <c r="AC54" s="196" t="n"/>
      <c r="AD54" s="92" t="n"/>
      <c r="AH54" s="94" t="n"/>
    </row>
    <row r="55">
      <c r="F55" s="101" t="n"/>
      <c r="G55" s="102" t="n"/>
      <c r="H55" s="102" t="n"/>
      <c r="I55" s="103" t="n"/>
      <c r="J55" s="515" t="n"/>
      <c r="K55" s="646" t="n"/>
      <c r="L55" s="516" t="n"/>
      <c r="M55" s="517" t="n"/>
      <c r="N55" s="518" t="n"/>
      <c r="O55" s="518" t="n"/>
      <c r="P55" s="515" t="n"/>
      <c r="Q55" s="646" t="n"/>
      <c r="R55" s="516" t="n"/>
      <c r="S55" s="500" t="n"/>
      <c r="T55" s="519" t="n"/>
      <c r="U55" s="500" t="n"/>
      <c r="V55" s="515" t="n"/>
      <c r="W55" s="573" t="n"/>
      <c r="X55" s="573" t="n"/>
      <c r="Y55" s="516" t="n"/>
      <c r="Z55" s="500" t="n"/>
      <c r="AA55" s="519" t="n"/>
      <c r="AB55" s="196" t="n"/>
      <c r="AC55" s="196" t="n"/>
      <c r="AD55" s="92" t="n"/>
      <c r="AH55" s="94" t="n"/>
    </row>
    <row r="56">
      <c r="F56" s="101" t="n"/>
      <c r="G56" s="102" t="n"/>
      <c r="H56" s="102" t="n"/>
      <c r="I56" s="103" t="n"/>
      <c r="J56" s="515" t="n"/>
      <c r="K56" s="646" t="n"/>
      <c r="L56" s="516" t="n"/>
      <c r="M56" s="517" t="n"/>
      <c r="N56" s="518" t="n"/>
      <c r="O56" s="518" t="n"/>
      <c r="P56" s="515" t="n"/>
      <c r="Q56" s="646" t="n"/>
      <c r="R56" s="516" t="n"/>
      <c r="S56" s="500" t="n"/>
      <c r="T56" s="519" t="n"/>
      <c r="U56" s="500" t="n"/>
      <c r="V56" s="515" t="n"/>
      <c r="W56" s="573" t="n"/>
      <c r="X56" s="573" t="n"/>
      <c r="Y56" s="516" t="n"/>
      <c r="Z56" s="500" t="n"/>
      <c r="AA56" s="519" t="n"/>
      <c r="AB56" s="196" t="n"/>
      <c r="AC56" s="196" t="n"/>
      <c r="AD56" s="92" t="n"/>
      <c r="AH56" s="94" t="n"/>
    </row>
    <row r="57">
      <c r="F57" s="101" t="n"/>
      <c r="G57" s="102" t="n"/>
      <c r="H57" s="102" t="n"/>
      <c r="I57" s="103" t="n"/>
      <c r="J57" s="515" t="n"/>
      <c r="K57" s="646" t="n"/>
      <c r="L57" s="516" t="n"/>
      <c r="M57" s="517" t="n"/>
      <c r="N57" s="518" t="n"/>
      <c r="O57" s="518" t="n"/>
      <c r="P57" s="515" t="n"/>
      <c r="Q57" s="646" t="n"/>
      <c r="R57" s="516" t="n"/>
      <c r="S57" s="500" t="n"/>
      <c r="T57" s="519" t="n"/>
      <c r="U57" s="500" t="n"/>
      <c r="V57" s="515" t="n"/>
      <c r="W57" s="573" t="n"/>
      <c r="X57" s="573" t="n"/>
      <c r="Y57" s="516" t="n"/>
      <c r="Z57" s="500" t="n"/>
      <c r="AA57" s="519" t="n"/>
      <c r="AB57" s="196" t="n"/>
      <c r="AC57" s="196" t="n"/>
      <c r="AD57" s="92" t="n"/>
      <c r="AH57" s="94" t="n"/>
    </row>
    <row r="58">
      <c r="F58" s="101" t="n"/>
      <c r="G58" s="102" t="n"/>
      <c r="H58" s="102" t="n"/>
      <c r="I58" s="103" t="n"/>
      <c r="J58" s="515" t="n"/>
      <c r="K58" s="646" t="n"/>
      <c r="L58" s="516" t="n"/>
      <c r="M58" s="517" t="n"/>
      <c r="N58" s="518" t="n"/>
      <c r="O58" s="518" t="n"/>
      <c r="P58" s="515" t="n"/>
      <c r="Q58" s="646" t="n"/>
      <c r="R58" s="516" t="n"/>
      <c r="S58" s="500" t="n"/>
      <c r="T58" s="519" t="n"/>
      <c r="U58" s="500" t="n"/>
      <c r="V58" s="515" t="n"/>
      <c r="W58" s="573" t="n"/>
      <c r="X58" s="573" t="n"/>
      <c r="Y58" s="516" t="n"/>
      <c r="Z58" s="500" t="n"/>
      <c r="AA58" s="519" t="n"/>
      <c r="AB58" s="196" t="n"/>
      <c r="AC58" s="196" t="n"/>
      <c r="AD58" s="92" t="n"/>
      <c r="AH58" s="94" t="n"/>
    </row>
    <row r="59">
      <c r="F59" s="101" t="n"/>
      <c r="G59" s="102" t="n"/>
      <c r="H59" s="102" t="n"/>
      <c r="I59" s="103" t="n"/>
      <c r="J59" s="515" t="n"/>
      <c r="K59" s="646" t="n"/>
      <c r="L59" s="516" t="n"/>
      <c r="M59" s="517" t="n"/>
      <c r="N59" s="518" t="n"/>
      <c r="O59" s="518" t="n"/>
      <c r="P59" s="515" t="n"/>
      <c r="Q59" s="646" t="n"/>
      <c r="R59" s="516" t="n"/>
      <c r="S59" s="500" t="n"/>
      <c r="T59" s="519" t="n"/>
      <c r="U59" s="500" t="n"/>
      <c r="V59" s="515" t="n"/>
      <c r="W59" s="573" t="n"/>
      <c r="X59" s="573" t="n"/>
      <c r="Y59" s="516" t="n"/>
      <c r="Z59" s="500" t="n"/>
      <c r="AA59" s="519" t="n"/>
      <c r="AB59" s="196" t="n"/>
      <c r="AC59" s="196" t="n"/>
      <c r="AD59" s="92" t="n"/>
      <c r="AH59" s="94" t="n"/>
    </row>
    <row r="60">
      <c r="F60" s="101" t="n"/>
      <c r="G60" s="102" t="n"/>
      <c r="H60" s="102" t="n"/>
      <c r="I60" s="103" t="n"/>
      <c r="J60" s="515" t="n"/>
      <c r="K60" s="646" t="n"/>
      <c r="L60" s="516" t="n"/>
      <c r="M60" s="517" t="n"/>
      <c r="N60" s="518" t="n"/>
      <c r="O60" s="518" t="n"/>
      <c r="P60" s="515" t="n"/>
      <c r="Q60" s="646" t="n"/>
      <c r="R60" s="516" t="n"/>
      <c r="S60" s="500" t="n"/>
      <c r="T60" s="519" t="n"/>
      <c r="U60" s="500" t="n"/>
      <c r="V60" s="515" t="n"/>
      <c r="W60" s="573" t="n"/>
      <c r="X60" s="573" t="n"/>
      <c r="Y60" s="516" t="n"/>
      <c r="Z60" s="500" t="n"/>
      <c r="AA60" s="519" t="n"/>
      <c r="AB60" s="196" t="n"/>
      <c r="AC60" s="196" t="n"/>
      <c r="AD60" s="92" t="n"/>
      <c r="AH60" s="94" t="n"/>
    </row>
    <row r="61">
      <c r="F61" s="101" t="n"/>
      <c r="G61" s="102" t="n"/>
      <c r="H61" s="102" t="n"/>
      <c r="I61" s="103" t="n"/>
      <c r="J61" s="515" t="n"/>
      <c r="K61" s="646" t="n"/>
      <c r="L61" s="516" t="n"/>
      <c r="M61" s="517" t="n"/>
      <c r="N61" s="518" t="n"/>
      <c r="O61" s="518" t="n"/>
      <c r="P61" s="515" t="n"/>
      <c r="Q61" s="646" t="n"/>
      <c r="R61" s="516" t="n"/>
      <c r="S61" s="500" t="n"/>
      <c r="T61" s="519" t="n"/>
      <c r="U61" s="500" t="n"/>
      <c r="V61" s="515" t="n"/>
      <c r="W61" s="573" t="n"/>
      <c r="X61" s="573" t="n"/>
      <c r="Y61" s="516" t="n"/>
      <c r="Z61" s="500" t="n"/>
      <c r="AA61" s="519" t="n"/>
      <c r="AB61" s="196" t="n"/>
      <c r="AC61" s="196" t="n"/>
      <c r="AD61" s="92" t="n"/>
      <c r="AH61" s="94" t="n"/>
    </row>
    <row r="62">
      <c r="F62" s="101" t="n"/>
      <c r="G62" s="102" t="n"/>
      <c r="H62" s="102" t="n"/>
      <c r="I62" s="103" t="n"/>
      <c r="J62" s="515" t="n"/>
      <c r="K62" s="646" t="n"/>
      <c r="L62" s="516" t="n"/>
      <c r="M62" s="517" t="n"/>
      <c r="N62" s="518" t="n"/>
      <c r="O62" s="518" t="n"/>
      <c r="P62" s="515" t="n"/>
      <c r="Q62" s="646" t="n"/>
      <c r="R62" s="516" t="n"/>
      <c r="S62" s="500" t="n"/>
      <c r="T62" s="519" t="n"/>
      <c r="U62" s="500" t="n"/>
      <c r="V62" s="515" t="n"/>
      <c r="W62" s="573" t="n"/>
      <c r="X62" s="573" t="n"/>
      <c r="Y62" s="516" t="n"/>
      <c r="Z62" s="500" t="n"/>
      <c r="AA62" s="519" t="n"/>
      <c r="AB62" s="196" t="n"/>
      <c r="AC62" s="196" t="n"/>
      <c r="AD62" s="92" t="n"/>
      <c r="AH62" s="94" t="n"/>
    </row>
    <row r="63">
      <c r="F63" s="101" t="n"/>
      <c r="G63" s="102" t="n"/>
      <c r="H63" s="102" t="n"/>
      <c r="I63" s="103" t="n"/>
      <c r="J63" s="515" t="n"/>
      <c r="K63" s="646" t="n"/>
      <c r="L63" s="516" t="n"/>
      <c r="M63" s="517" t="n"/>
      <c r="N63" s="518" t="n"/>
      <c r="O63" s="518" t="n"/>
      <c r="P63" s="515" t="n"/>
      <c r="Q63" s="646" t="n"/>
      <c r="R63" s="516" t="n"/>
      <c r="S63" s="500" t="n"/>
      <c r="T63" s="519" t="n"/>
      <c r="U63" s="500" t="n"/>
      <c r="V63" s="515" t="n"/>
      <c r="W63" s="573" t="n"/>
      <c r="X63" s="573" t="n"/>
      <c r="Y63" s="516" t="n"/>
      <c r="Z63" s="500" t="n"/>
      <c r="AA63" s="519" t="n"/>
      <c r="AB63" s="196" t="n"/>
      <c r="AC63" s="196" t="n"/>
      <c r="AD63" s="92" t="n"/>
      <c r="AH63" s="94" t="n"/>
    </row>
    <row r="64">
      <c r="F64" s="101" t="n"/>
      <c r="G64" s="102" t="n"/>
      <c r="H64" s="102" t="n"/>
      <c r="I64" s="103" t="n"/>
      <c r="J64" s="515" t="n"/>
      <c r="K64" s="646" t="n"/>
      <c r="L64" s="516" t="n"/>
      <c r="M64" s="517" t="n"/>
      <c r="N64" s="518" t="n"/>
      <c r="O64" s="518" t="n"/>
      <c r="P64" s="515" t="n"/>
      <c r="Q64" s="646" t="n"/>
      <c r="R64" s="516" t="n"/>
      <c r="S64" s="500" t="n"/>
      <c r="T64" s="519" t="n"/>
      <c r="U64" s="500" t="n"/>
      <c r="V64" s="515" t="n"/>
      <c r="W64" s="573" t="n"/>
      <c r="X64" s="573" t="n"/>
      <c r="Y64" s="516" t="n"/>
      <c r="Z64" s="500" t="n"/>
      <c r="AA64" s="519" t="n"/>
      <c r="AB64" s="196" t="n"/>
      <c r="AC64" s="196" t="n"/>
      <c r="AD64" s="92" t="n"/>
      <c r="AH64" s="94" t="n"/>
    </row>
    <row r="65">
      <c r="F65" s="101" t="n"/>
      <c r="G65" s="102" t="n"/>
      <c r="H65" s="102" t="n"/>
      <c r="I65" s="103" t="n"/>
      <c r="J65" s="515" t="n"/>
      <c r="K65" s="646" t="n"/>
      <c r="L65" s="516" t="n"/>
      <c r="M65" s="517" t="n"/>
      <c r="N65" s="518" t="n"/>
      <c r="O65" s="518" t="n"/>
      <c r="P65" s="515" t="n"/>
      <c r="Q65" s="646" t="n"/>
      <c r="R65" s="516" t="n"/>
      <c r="S65" s="500" t="n"/>
      <c r="T65" s="519" t="n"/>
      <c r="U65" s="500" t="n"/>
      <c r="V65" s="515" t="n"/>
      <c r="W65" s="573" t="n"/>
      <c r="X65" s="573" t="n"/>
      <c r="Y65" s="516" t="n"/>
      <c r="Z65" s="500" t="n"/>
      <c r="AA65" s="519" t="n"/>
      <c r="AB65" s="196" t="n"/>
      <c r="AC65" s="196" t="n"/>
      <c r="AD65" s="92" t="n"/>
      <c r="AH65" s="94" t="n"/>
    </row>
    <row r="66">
      <c r="F66" s="101" t="n"/>
      <c r="G66" s="102" t="n"/>
      <c r="H66" s="102" t="n"/>
      <c r="I66" s="103" t="n"/>
      <c r="J66" s="515" t="n"/>
      <c r="K66" s="646" t="n"/>
      <c r="L66" s="516" t="n"/>
      <c r="M66" s="517" t="n"/>
      <c r="N66" s="518" t="n"/>
      <c r="O66" s="518" t="n"/>
      <c r="P66" s="515" t="n"/>
      <c r="Q66" s="646" t="n"/>
      <c r="R66" s="516" t="n"/>
      <c r="S66" s="500" t="n"/>
      <c r="T66" s="519" t="n"/>
      <c r="U66" s="500" t="n"/>
      <c r="V66" s="515" t="n"/>
      <c r="W66" s="573" t="n"/>
      <c r="X66" s="573" t="n"/>
      <c r="Y66" s="516" t="n"/>
      <c r="Z66" s="500" t="n"/>
      <c r="AA66" s="519" t="n"/>
      <c r="AB66" s="196" t="n"/>
      <c r="AC66" s="196" t="n"/>
      <c r="AD66" s="92" t="n"/>
      <c r="AH66" s="94" t="n"/>
    </row>
    <row r="67">
      <c r="F67" s="101" t="n"/>
      <c r="G67" s="102" t="n"/>
      <c r="H67" s="102" t="n"/>
      <c r="I67" s="103" t="n"/>
      <c r="J67" s="515" t="n"/>
      <c r="K67" s="646" t="n"/>
      <c r="L67" s="516" t="n"/>
      <c r="M67" s="517" t="n"/>
      <c r="N67" s="518" t="n"/>
      <c r="O67" s="518" t="n"/>
      <c r="P67" s="515" t="n"/>
      <c r="Q67" s="646" t="n"/>
      <c r="R67" s="516" t="n"/>
      <c r="S67" s="500" t="n"/>
      <c r="T67" s="519" t="n"/>
      <c r="U67" s="500" t="n"/>
      <c r="V67" s="515" t="n"/>
      <c r="W67" s="573" t="n"/>
      <c r="X67" s="573" t="n"/>
      <c r="Y67" s="516" t="n"/>
      <c r="Z67" s="500" t="n"/>
      <c r="AA67" s="519" t="n"/>
      <c r="AB67" s="196" t="n"/>
      <c r="AC67" s="196" t="n"/>
      <c r="AD67" s="92" t="n"/>
      <c r="AH67" s="94" t="n"/>
    </row>
    <row r="68">
      <c r="F68" s="101" t="n"/>
      <c r="G68" s="102" t="n"/>
      <c r="H68" s="102" t="n"/>
      <c r="I68" s="103" t="n"/>
      <c r="J68" s="515" t="n"/>
      <c r="K68" s="646" t="n"/>
      <c r="L68" s="516" t="n"/>
      <c r="M68" s="517" t="n"/>
      <c r="N68" s="518" t="n"/>
      <c r="O68" s="518" t="n"/>
      <c r="P68" s="515" t="n"/>
      <c r="Q68" s="646" t="n"/>
      <c r="R68" s="516" t="n"/>
      <c r="S68" s="500" t="n"/>
      <c r="T68" s="519" t="n"/>
      <c r="U68" s="500" t="n"/>
      <c r="V68" s="515" t="n"/>
      <c r="W68" s="573" t="n"/>
      <c r="X68" s="573" t="n"/>
      <c r="Y68" s="516" t="n"/>
      <c r="Z68" s="500" t="n"/>
      <c r="AA68" s="519" t="n"/>
      <c r="AB68" s="196" t="n"/>
      <c r="AC68" s="196" t="n"/>
      <c r="AD68" s="92" t="n"/>
      <c r="AH68" s="94" t="n"/>
    </row>
    <row r="69">
      <c r="F69" s="101" t="n"/>
      <c r="G69" s="102" t="n"/>
      <c r="H69" s="102" t="n"/>
      <c r="I69" s="103" t="n"/>
      <c r="J69" s="515" t="n"/>
      <c r="K69" s="646" t="n"/>
      <c r="L69" s="516" t="n"/>
      <c r="M69" s="517" t="n"/>
      <c r="N69" s="518" t="n"/>
      <c r="O69" s="518" t="n"/>
      <c r="P69" s="515" t="n"/>
      <c r="Q69" s="646" t="n"/>
      <c r="R69" s="516" t="n"/>
      <c r="S69" s="500" t="n"/>
      <c r="T69" s="519" t="n"/>
      <c r="U69" s="500" t="n"/>
      <c r="V69" s="515" t="n"/>
      <c r="W69" s="573" t="n"/>
      <c r="X69" s="573" t="n"/>
      <c r="Y69" s="516" t="n"/>
      <c r="Z69" s="500" t="n"/>
      <c r="AA69" s="519" t="n"/>
      <c r="AB69" s="196" t="n"/>
      <c r="AC69" s="196" t="n"/>
      <c r="AD69" s="92" t="n"/>
      <c r="AH69" s="94" t="n"/>
    </row>
    <row r="70">
      <c r="F70" s="101" t="n"/>
      <c r="G70" s="102" t="n"/>
      <c r="H70" s="102" t="n"/>
      <c r="I70" s="103" t="n"/>
      <c r="J70" s="515" t="n"/>
      <c r="K70" s="646" t="n"/>
      <c r="L70" s="516" t="n"/>
      <c r="M70" s="517" t="n"/>
      <c r="N70" s="518" t="n"/>
      <c r="O70" s="518" t="n"/>
      <c r="P70" s="515" t="n"/>
      <c r="Q70" s="646" t="n"/>
      <c r="R70" s="516" t="n"/>
      <c r="S70" s="500" t="n"/>
      <c r="T70" s="519" t="n"/>
      <c r="U70" s="500" t="n"/>
      <c r="V70" s="515" t="n"/>
      <c r="W70" s="573" t="n"/>
      <c r="X70" s="573" t="n"/>
      <c r="Y70" s="516" t="n"/>
      <c r="Z70" s="500" t="n"/>
      <c r="AA70" s="519" t="n"/>
      <c r="AB70" s="196" t="n"/>
      <c r="AC70" s="196" t="n"/>
      <c r="AD70" s="92" t="n"/>
      <c r="AH70" s="94" t="n"/>
    </row>
    <row r="71">
      <c r="F71" s="101" t="n"/>
      <c r="G71" s="102" t="n"/>
      <c r="H71" s="102" t="n"/>
      <c r="I71" s="103" t="n"/>
      <c r="J71" s="515" t="n"/>
      <c r="K71" s="646" t="n"/>
      <c r="L71" s="516" t="n"/>
      <c r="M71" s="517" t="n"/>
      <c r="N71" s="518" t="n"/>
      <c r="O71" s="518" t="n"/>
      <c r="P71" s="515" t="n"/>
      <c r="Q71" s="646" t="n"/>
      <c r="R71" s="516" t="n"/>
      <c r="S71" s="500" t="n"/>
      <c r="T71" s="519" t="n"/>
      <c r="U71" s="500" t="n"/>
      <c r="V71" s="515" t="n"/>
      <c r="W71" s="573" t="n"/>
      <c r="X71" s="573" t="n"/>
      <c r="Y71" s="516" t="n"/>
      <c r="Z71" s="500" t="n"/>
      <c r="AA71" s="519" t="n"/>
      <c r="AB71" s="196" t="n"/>
      <c r="AC71" s="196" t="n"/>
      <c r="AD71" s="92" t="n"/>
      <c r="AH71" s="94" t="n"/>
    </row>
    <row r="72">
      <c r="F72" s="101" t="n"/>
      <c r="G72" s="102" t="n"/>
      <c r="H72" s="102" t="n"/>
      <c r="I72" s="103" t="n"/>
      <c r="J72" s="515" t="n"/>
      <c r="K72" s="646" t="n"/>
      <c r="L72" s="516" t="n"/>
      <c r="M72" s="517" t="n"/>
      <c r="N72" s="518" t="n"/>
      <c r="O72" s="518" t="n"/>
      <c r="P72" s="515" t="n"/>
      <c r="Q72" s="646" t="n"/>
      <c r="R72" s="516" t="n"/>
      <c r="S72" s="500" t="n"/>
      <c r="T72" s="519" t="n"/>
      <c r="U72" s="500" t="n"/>
      <c r="V72" s="515" t="n"/>
      <c r="W72" s="573" t="n"/>
      <c r="X72" s="573" t="n"/>
      <c r="Y72" s="516" t="n"/>
      <c r="Z72" s="500" t="n"/>
      <c r="AA72" s="519" t="n"/>
      <c r="AB72" s="196" t="n"/>
      <c r="AC72" s="196" t="n"/>
      <c r="AD72" s="92" t="n"/>
      <c r="AH72" s="94" t="n"/>
    </row>
    <row r="73">
      <c r="F73" s="101" t="n"/>
      <c r="G73" s="102" t="n"/>
      <c r="H73" s="102" t="n"/>
      <c r="I73" s="103" t="n"/>
      <c r="J73" s="515" t="n"/>
      <c r="K73" s="646" t="n"/>
      <c r="L73" s="516" t="n"/>
      <c r="M73" s="517" t="n"/>
      <c r="N73" s="518" t="n"/>
      <c r="O73" s="518" t="n"/>
      <c r="P73" s="515" t="n"/>
      <c r="Q73" s="646" t="n"/>
      <c r="R73" s="516" t="n"/>
      <c r="S73" s="500" t="n"/>
      <c r="T73" s="519" t="n"/>
      <c r="U73" s="500" t="n"/>
      <c r="V73" s="515" t="n"/>
      <c r="W73" s="573" t="n"/>
      <c r="X73" s="573" t="n"/>
      <c r="Y73" s="516" t="n"/>
      <c r="Z73" s="500" t="n"/>
      <c r="AA73" s="519" t="n"/>
      <c r="AB73" s="196" t="n"/>
      <c r="AC73" s="196" t="n"/>
      <c r="AD73" s="92" t="n"/>
      <c r="AH73" s="94" t="n"/>
    </row>
    <row r="74">
      <c r="F74" s="101" t="n"/>
      <c r="G74" s="102" t="n"/>
      <c r="H74" s="102" t="n"/>
      <c r="I74" s="103" t="n"/>
      <c r="J74" s="515" t="n"/>
      <c r="K74" s="646" t="n"/>
      <c r="L74" s="516" t="n"/>
      <c r="M74" s="517" t="n"/>
      <c r="N74" s="518" t="n"/>
      <c r="O74" s="518" t="n"/>
      <c r="P74" s="515" t="n"/>
      <c r="Q74" s="646" t="n"/>
      <c r="R74" s="516" t="n"/>
      <c r="S74" s="500" t="n"/>
      <c r="T74" s="519" t="n"/>
      <c r="U74" s="500" t="n"/>
      <c r="V74" s="515" t="n"/>
      <c r="W74" s="573" t="n"/>
      <c r="X74" s="573" t="n"/>
      <c r="Y74" s="516" t="n"/>
      <c r="Z74" s="500" t="n"/>
      <c r="AA74" s="519" t="n"/>
      <c r="AB74" s="196" t="n"/>
      <c r="AC74" s="196" t="n"/>
      <c r="AD74" s="92" t="n"/>
      <c r="AH74" s="94" t="n"/>
    </row>
    <row r="75">
      <c r="F75" s="101" t="n"/>
      <c r="G75" s="102" t="n"/>
      <c r="H75" s="102" t="n"/>
      <c r="I75" s="103" t="n"/>
      <c r="J75" s="515" t="n"/>
      <c r="K75" s="646" t="n"/>
      <c r="L75" s="516" t="n"/>
      <c r="M75" s="517" t="n"/>
      <c r="N75" s="518" t="n"/>
      <c r="O75" s="518" t="n"/>
      <c r="P75" s="515" t="n"/>
      <c r="Q75" s="646" t="n"/>
      <c r="R75" s="516" t="n"/>
      <c r="S75" s="500" t="n"/>
      <c r="T75" s="519" t="n"/>
      <c r="U75" s="500" t="n"/>
      <c r="V75" s="515" t="n"/>
      <c r="W75" s="573" t="n"/>
      <c r="X75" s="573" t="n"/>
      <c r="Y75" s="516" t="n"/>
      <c r="Z75" s="500" t="n"/>
      <c r="AA75" s="519" t="n"/>
      <c r="AB75" s="196" t="n"/>
      <c r="AC75" s="196" t="n"/>
      <c r="AD75" s="92" t="n"/>
      <c r="AH75" s="94" t="n"/>
    </row>
    <row r="76">
      <c r="F76" s="101" t="n"/>
      <c r="G76" s="102" t="n"/>
      <c r="H76" s="102" t="n"/>
      <c r="I76" s="103" t="n"/>
      <c r="J76" s="515" t="n"/>
      <c r="K76" s="646" t="n"/>
      <c r="L76" s="516" t="n"/>
      <c r="M76" s="517" t="n"/>
      <c r="N76" s="518" t="n"/>
      <c r="O76" s="518" t="n"/>
      <c r="P76" s="515" t="n"/>
      <c r="Q76" s="646" t="n"/>
      <c r="R76" s="516" t="n"/>
      <c r="S76" s="500" t="n"/>
      <c r="T76" s="519" t="n"/>
      <c r="U76" s="500" t="n"/>
      <c r="V76" s="515" t="n"/>
      <c r="W76" s="573" t="n"/>
      <c r="X76" s="573" t="n"/>
      <c r="Y76" s="516" t="n"/>
      <c r="Z76" s="500" t="n"/>
      <c r="AA76" s="519" t="n"/>
      <c r="AB76" s="196" t="n"/>
      <c r="AC76" s="196" t="n"/>
      <c r="AD76" s="92" t="n"/>
      <c r="AH76" s="94" t="n"/>
    </row>
    <row r="77">
      <c r="F77" s="101" t="n"/>
      <c r="G77" s="102" t="n"/>
      <c r="H77" s="102" t="n"/>
      <c r="I77" s="103" t="n"/>
      <c r="J77" s="515" t="n"/>
      <c r="K77" s="646" t="n"/>
      <c r="L77" s="516" t="n"/>
      <c r="M77" s="517" t="n"/>
      <c r="N77" s="518" t="n"/>
      <c r="O77" s="518" t="n"/>
      <c r="P77" s="515" t="n"/>
      <c r="Q77" s="646" t="n"/>
      <c r="R77" s="516" t="n"/>
      <c r="S77" s="500" t="n"/>
      <c r="T77" s="519" t="n"/>
      <c r="U77" s="500" t="n"/>
      <c r="V77" s="515" t="n"/>
      <c r="W77" s="573" t="n"/>
      <c r="X77" s="573" t="n"/>
      <c r="Y77" s="516" t="n"/>
      <c r="Z77" s="500" t="n"/>
      <c r="AA77" s="519" t="n"/>
      <c r="AB77" s="196" t="n"/>
      <c r="AC77" s="196" t="n"/>
      <c r="AD77" s="92" t="n"/>
      <c r="AH77" s="94" t="n"/>
    </row>
    <row r="78">
      <c r="F78" s="276" t="n"/>
      <c r="G78" s="277" t="n"/>
      <c r="H78" s="277" t="n"/>
      <c r="I78" s="278" t="n"/>
      <c r="J78" s="581" t="n"/>
      <c r="K78" s="653" t="n"/>
      <c r="L78" s="588" t="n"/>
      <c r="M78" s="640" t="n"/>
      <c r="N78" s="641" t="n"/>
      <c r="O78" s="641" t="n"/>
      <c r="P78" s="581" t="n"/>
      <c r="Q78" s="653" t="n"/>
      <c r="R78" s="588" t="n"/>
      <c r="S78" s="589" t="n"/>
      <c r="T78" s="642" t="n"/>
      <c r="U78" s="589" t="n"/>
      <c r="V78" s="581" t="n"/>
      <c r="W78" s="590" t="n"/>
      <c r="X78" s="590" t="n"/>
      <c r="Y78" s="588" t="n"/>
      <c r="Z78" s="589" t="n"/>
      <c r="AA78" s="642" t="n"/>
      <c r="AB78" s="12" t="n"/>
      <c r="AC78" s="12" t="n"/>
      <c r="AD78" s="59" t="n"/>
      <c r="AE78" s="95" t="n"/>
      <c r="AF78" s="95" t="n"/>
      <c r="AG78" s="95" t="n"/>
      <c r="AH78" s="97" t="n"/>
    </row>
    <row r="79">
      <c r="R79" s="500" t="n"/>
    </row>
  </sheetData>
  <mergeCells count="1">
    <mergeCell ref="AK5:AM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tabColor rgb="00A6A6A6"/>
    <outlinePr summaryBelow="1" summaryRight="1"/>
    <pageSetUpPr/>
  </sheetPr>
  <dimension ref="A2:AF78"/>
  <sheetViews>
    <sheetView showGridLines="0" zoomScale="70" zoomScaleNormal="70" workbookViewId="0">
      <selection activeCell="C48" sqref="C48"/>
    </sheetView>
  </sheetViews>
  <sheetFormatPr baseColWidth="8" defaultRowHeight="16.9"/>
  <cols>
    <col width="8" customWidth="1" style="497" min="1" max="1"/>
    <col width="44.375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customWidth="1" style="185" min="6" max="6"/>
    <col width="11.125" customWidth="1" style="185" min="7" max="9"/>
    <col width="13.375" customWidth="1" style="497" min="10" max="11"/>
    <col width="12.125" customWidth="1" style="497" min="12" max="12"/>
    <col width="10.5" customWidth="1" style="497" min="13" max="13"/>
    <col width="15.875" customWidth="1" style="497" min="14" max="15"/>
    <col width="11.6875" bestFit="1" customWidth="1" style="497" min="16" max="16"/>
    <col width="10.1875" bestFit="1" customWidth="1" style="497" min="17" max="17"/>
    <col width="18.6875" bestFit="1" customWidth="1" style="497" min="18" max="18"/>
    <col width="9.375" customWidth="1" style="497" min="19" max="19"/>
    <col width="13.5" customWidth="1" style="497" min="20" max="20"/>
    <col width="18.6875" customWidth="1" style="497" min="21" max="23"/>
    <col width="12.1875" bestFit="1" customWidth="1" style="497" min="24" max="24"/>
    <col width="7.375" bestFit="1" customWidth="1" style="497" min="25" max="25"/>
    <col width="13.5" bestFit="1" customWidth="1" style="497" min="26" max="26"/>
    <col width="11.875" bestFit="1" customWidth="1" style="497" min="27" max="28"/>
    <col width="11.875" customWidth="1" style="497" min="29" max="29"/>
    <col width="14.125" bestFit="1" customWidth="1" style="497" min="30" max="30"/>
    <col width="14" bestFit="1" customWidth="1" style="497" min="31" max="31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 t="n"/>
      <c r="S2" s="500" t="n"/>
      <c r="T2" s="500" t="inlineStr">
        <is>
          <t>* 연체이자는 비과세로 V+기준으로 계산</t>
        </is>
      </c>
      <c r="U2" s="500" t="n"/>
      <c r="V2" s="500" t="n"/>
      <c r="W2" s="500" t="n"/>
      <c r="Z2" s="206" t="inlineStr">
        <is>
          <t>* 위약금은 비과세로 V+기준으로 계산</t>
        </is>
      </c>
      <c r="AC2" s="500" t="inlineStr">
        <is>
          <t>* 연체이자는 비과세로 V+기준으로 계산</t>
        </is>
      </c>
      <c r="AD2" s="500" t="n"/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선납+선납할인+단품+결합할인 시 (v-)</t>
        </is>
      </c>
      <c r="O3" s="76" t="n"/>
      <c r="P3" s="76" t="n"/>
      <c r="Q3" s="76" t="n"/>
      <c r="R3" s="75" t="inlineStr">
        <is>
          <t>연체 누적 시 (V-)</t>
        </is>
      </c>
      <c r="S3" s="75" t="n"/>
      <c r="T3" s="76" t="n"/>
      <c r="U3" s="75" t="n"/>
      <c r="V3" s="76" t="n"/>
      <c r="W3" s="137" t="n"/>
      <c r="X3" s="75" t="inlineStr">
        <is>
          <t>연체3개월 초과 강제해지 (v-)</t>
        </is>
      </c>
      <c r="Y3" s="70" t="n"/>
      <c r="Z3" s="70" t="n"/>
      <c r="AA3" s="70" t="n"/>
      <c r="AB3" s="70" t="n"/>
      <c r="AC3" s="70" t="n"/>
      <c r="AD3" s="70" t="n"/>
      <c r="AE3" s="71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구독료(연체료)청구</t>
        </is>
      </c>
      <c r="S4" s="9" t="inlineStr">
        <is>
          <t>납부여부</t>
        </is>
      </c>
      <c r="T4" s="63" t="inlineStr">
        <is>
          <t>누적 연체이자</t>
        </is>
      </c>
      <c r="U4" s="154" t="inlineStr">
        <is>
          <t>연체 1회</t>
        </is>
      </c>
      <c r="V4" s="136" t="inlineStr">
        <is>
          <t>연체 2회</t>
        </is>
      </c>
      <c r="W4" s="155" t="inlineStr">
        <is>
          <t>연체 3회</t>
        </is>
      </c>
      <c r="X4" s="9" t="inlineStr">
        <is>
          <t>계약중지</t>
        </is>
      </c>
      <c r="Y4" s="9" t="inlineStr">
        <is>
          <t>경과일</t>
        </is>
      </c>
      <c r="Z4" s="26" t="inlineStr">
        <is>
          <t>위약금</t>
        </is>
      </c>
      <c r="AA4" s="15" t="inlineStr">
        <is>
          <t>사용분 청구</t>
        </is>
      </c>
      <c r="AB4" s="15" t="inlineStr">
        <is>
          <t>할인금 회수</t>
        </is>
      </c>
      <c r="AC4" s="136" t="inlineStr">
        <is>
          <t>연체이자</t>
        </is>
      </c>
      <c r="AD4" s="15" t="inlineStr">
        <is>
          <t>선납잔액 환불</t>
        </is>
      </c>
      <c r="AE4" s="27" t="inlineStr">
        <is>
          <t>등록비 청구</t>
        </is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08">
        <f>ROUNDDOWN(($C$58/$C$7)*($H5-$G5+1)/DAY($H5),-2)</f>
        <v/>
      </c>
      <c r="O5" s="509">
        <f>N5-P5-Q5</f>
        <v/>
      </c>
      <c r="P5" s="512">
        <f>L5</f>
        <v/>
      </c>
      <c r="Q5" s="513">
        <f>M5</f>
        <v/>
      </c>
      <c r="R5" s="515">
        <f>N5</f>
        <v/>
      </c>
      <c r="S5" s="573" t="n"/>
      <c r="T5" s="573" t="n"/>
      <c r="U5" s="516" t="n"/>
      <c r="V5" s="500" t="n"/>
      <c r="W5" s="519" t="n"/>
      <c r="X5" s="54" t="n"/>
      <c r="Y5" s="280">
        <f>H5-G5+1</f>
        <v/>
      </c>
      <c r="Z5" s="55" t="n"/>
      <c r="AA5" s="626" t="n"/>
      <c r="AB5" s="627" t="n"/>
      <c r="AC5" s="627" t="n"/>
      <c r="AD5" s="627" t="n"/>
      <c r="AE5" s="91" t="n"/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$C$57</f>
        <v/>
      </c>
      <c r="O6" s="516">
        <f>N6-P6-Q6</f>
        <v/>
      </c>
      <c r="P6" s="500">
        <f>L6</f>
        <v/>
      </c>
      <c r="Q6" s="519">
        <f>M6</f>
        <v/>
      </c>
      <c r="R6" s="515">
        <f>N6</f>
        <v/>
      </c>
      <c r="S6" s="573" t="n"/>
      <c r="T6" s="573" t="n"/>
      <c r="U6" s="516" t="n"/>
      <c r="V6" s="500" t="n"/>
      <c r="W6" s="519" t="n"/>
      <c r="X6" s="196" t="n"/>
      <c r="Y6" s="281">
        <f>H6-G6+1</f>
        <v/>
      </c>
      <c r="Z6" s="92" t="n"/>
      <c r="AA6" s="206" t="n"/>
      <c r="AB6" s="206" t="n"/>
      <c r="AC6" s="206" t="n"/>
      <c r="AD6" s="206" t="n"/>
      <c r="AE6" s="94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$C$57</f>
        <v/>
      </c>
      <c r="O7" s="516">
        <f>N7-P7-Q7</f>
        <v/>
      </c>
      <c r="P7" s="500">
        <f>L7</f>
        <v/>
      </c>
      <c r="Q7" s="519">
        <f>M7</f>
        <v/>
      </c>
      <c r="R7" s="515">
        <f>N7</f>
        <v/>
      </c>
      <c r="S7" s="573" t="n"/>
      <c r="T7" s="573" t="n"/>
      <c r="U7" s="516" t="n"/>
      <c r="V7" s="500" t="n"/>
      <c r="W7" s="519" t="n"/>
      <c r="X7" s="196" t="n"/>
      <c r="Y7" s="281">
        <f>H7-G7+1</f>
        <v/>
      </c>
      <c r="Z7" s="92" t="n"/>
      <c r="AA7" s="206" t="n"/>
      <c r="AB7" s="206" t="n"/>
      <c r="AC7" s="206" t="n"/>
      <c r="AD7" s="206" t="n"/>
      <c r="AE7" s="94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$C$57</f>
        <v/>
      </c>
      <c r="O8" s="516">
        <f>N8-P8-Q8</f>
        <v/>
      </c>
      <c r="P8" s="500">
        <f>L8</f>
        <v/>
      </c>
      <c r="Q8" s="519">
        <f>M8</f>
        <v/>
      </c>
      <c r="R8" s="515">
        <f>N8</f>
        <v/>
      </c>
      <c r="S8" s="573" t="n"/>
      <c r="T8" s="573" t="n"/>
      <c r="U8" s="516" t="n"/>
      <c r="V8" s="500" t="n"/>
      <c r="W8" s="519" t="n"/>
      <c r="X8" s="196" t="n"/>
      <c r="Y8" s="281">
        <f>H8-G8+1</f>
        <v/>
      </c>
      <c r="Z8" s="92" t="n"/>
      <c r="AA8" s="206" t="n"/>
      <c r="AB8" s="206" t="n"/>
      <c r="AC8" s="206" t="n"/>
      <c r="AD8" s="206" t="n"/>
      <c r="AE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$C$57</f>
        <v/>
      </c>
      <c r="O9" s="516">
        <f>N9-P9-Q9</f>
        <v/>
      </c>
      <c r="P9" s="500">
        <f>L9</f>
        <v/>
      </c>
      <c r="Q9" s="519">
        <f>M9</f>
        <v/>
      </c>
      <c r="R9" s="515">
        <f>N9</f>
        <v/>
      </c>
      <c r="S9" s="573" t="n"/>
      <c r="T9" s="573" t="n"/>
      <c r="U9" s="516" t="n"/>
      <c r="V9" s="500" t="n"/>
      <c r="W9" s="519" t="n"/>
      <c r="X9" s="196" t="n"/>
      <c r="Y9" s="281">
        <f>H9-G9+1</f>
        <v/>
      </c>
      <c r="Z9" s="92" t="n"/>
      <c r="AA9" s="206" t="n"/>
      <c r="AB9" s="206" t="n"/>
      <c r="AC9" s="206" t="n"/>
      <c r="AD9" s="206" t="n"/>
      <c r="AE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$C$57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N10</f>
        <v/>
      </c>
      <c r="S10" s="573" t="n"/>
      <c r="T10" s="573" t="n"/>
      <c r="U10" s="516" t="n"/>
      <c r="V10" s="500" t="n"/>
      <c r="W10" s="519" t="n"/>
      <c r="X10" s="196" t="n"/>
      <c r="Y10" s="281">
        <f>H10-G10+1</f>
        <v/>
      </c>
      <c r="Z10" s="92" t="n"/>
      <c r="AA10" s="206" t="n"/>
      <c r="AB10" s="206" t="n"/>
      <c r="AC10" s="206" t="n"/>
      <c r="AD10" s="206" t="n"/>
      <c r="AE10" s="94" t="n"/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$C$57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N11</f>
        <v/>
      </c>
      <c r="S11" s="573" t="n"/>
      <c r="T11" s="573" t="n"/>
      <c r="U11" s="516" t="n"/>
      <c r="V11" s="500" t="n"/>
      <c r="W11" s="519" t="n"/>
      <c r="X11" s="196" t="n"/>
      <c r="Y11" s="281">
        <f>H11-G11+1</f>
        <v/>
      </c>
      <c r="Z11" s="92" t="n"/>
      <c r="AA11" s="206" t="n"/>
      <c r="AB11" s="206" t="n"/>
      <c r="AC11" s="206" t="n"/>
      <c r="AD11" s="206" t="n"/>
      <c r="AE11" s="94" t="n"/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$C$57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N12</f>
        <v/>
      </c>
      <c r="S12" s="573" t="n"/>
      <c r="T12" s="573" t="n"/>
      <c r="U12" s="516" t="n"/>
      <c r="V12" s="500" t="n"/>
      <c r="W12" s="519" t="n"/>
      <c r="X12" s="196" t="n"/>
      <c r="Y12" s="281">
        <f>H12-G12+1</f>
        <v/>
      </c>
      <c r="Z12" s="92" t="n"/>
      <c r="AA12" s="206" t="n"/>
      <c r="AB12" s="206" t="n"/>
      <c r="AC12" s="206" t="n"/>
      <c r="AD12" s="206" t="n"/>
      <c r="AE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$C$57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N13</f>
        <v/>
      </c>
      <c r="S13" s="573" t="n"/>
      <c r="T13" s="573" t="n"/>
      <c r="U13" s="516" t="n"/>
      <c r="V13" s="500" t="n"/>
      <c r="W13" s="519" t="n"/>
      <c r="X13" s="196" t="n"/>
      <c r="Y13" s="281">
        <f>H13-G13+1</f>
        <v/>
      </c>
      <c r="Z13" s="92" t="n"/>
      <c r="AA13" s="206" t="n"/>
      <c r="AB13" s="206" t="n"/>
      <c r="AC13" s="206" t="n"/>
      <c r="AD13" s="206" t="n"/>
      <c r="AE13" s="94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$C$57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N14</f>
        <v/>
      </c>
      <c r="S14" s="573" t="n"/>
      <c r="T14" s="573" t="n"/>
      <c r="U14" s="516" t="n"/>
      <c r="V14" s="500" t="n"/>
      <c r="W14" s="519" t="n"/>
      <c r="X14" s="196" t="n"/>
      <c r="Y14" s="281">
        <f>H14-G14+1</f>
        <v/>
      </c>
      <c r="Z14" s="92" t="n"/>
      <c r="AA14" s="206" t="n"/>
      <c r="AB14" s="206" t="n"/>
      <c r="AC14" s="206" t="n"/>
      <c r="AD14" s="206" t="n"/>
      <c r="AE14" s="94" t="n"/>
    </row>
    <row r="15">
      <c r="B15" s="9" t="inlineStr">
        <is>
          <t>월구독료(v-)</t>
        </is>
      </c>
      <c r="C15" s="526" t="n">
        <v>163300</v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$C$57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N15</f>
        <v/>
      </c>
      <c r="S15" s="573" t="n"/>
      <c r="T15" s="573" t="n"/>
      <c r="U15" s="516" t="n"/>
      <c r="V15" s="500" t="n"/>
      <c r="W15" s="519" t="n"/>
      <c r="X15" s="196" t="n"/>
      <c r="Y15" s="281">
        <f>H15-G15+1</f>
        <v/>
      </c>
      <c r="Z15" s="92" t="n"/>
      <c r="AA15" s="206" t="n"/>
      <c r="AB15" s="206" t="n"/>
      <c r="AC15" s="206" t="n"/>
      <c r="AD15" s="206" t="n"/>
      <c r="AE15" s="94" t="n"/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$C$57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N16</f>
        <v/>
      </c>
      <c r="S16" s="573" t="n"/>
      <c r="T16" s="573" t="n"/>
      <c r="U16" s="516" t="n"/>
      <c r="V16" s="500" t="n"/>
      <c r="W16" s="519" t="n"/>
      <c r="X16" s="196" t="n"/>
      <c r="Y16" s="281">
        <f>H16-G16+1</f>
        <v/>
      </c>
      <c r="Z16" s="92" t="n"/>
      <c r="AA16" s="206" t="n"/>
      <c r="AB16" s="206" t="n"/>
      <c r="AC16" s="206" t="n"/>
      <c r="AD16" s="206" t="n"/>
      <c r="AE16" s="94" t="n"/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$C$57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N17</f>
        <v/>
      </c>
      <c r="S17" s="573" t="n"/>
      <c r="T17" s="573" t="n"/>
      <c r="U17" s="516" t="n"/>
      <c r="V17" s="500" t="n"/>
      <c r="W17" s="519" t="n"/>
      <c r="X17" s="196" t="n"/>
      <c r="Y17" s="281">
        <f>H17-G17+1</f>
        <v/>
      </c>
      <c r="Z17" s="92" t="n"/>
      <c r="AA17" s="206" t="n"/>
      <c r="AB17" s="206" t="n"/>
      <c r="AC17" s="206" t="n"/>
      <c r="AD17" s="206" t="n"/>
      <c r="AE17" s="94" t="n"/>
    </row>
    <row r="18" ht="17.45" customHeight="1" s="497">
      <c r="A18" s="176" t="n"/>
      <c r="B18" s="314" t="inlineStr">
        <is>
          <t>선납금 %</t>
        </is>
      </c>
      <c r="C18" s="349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$C$57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N18</f>
        <v/>
      </c>
      <c r="S18" s="573" t="n"/>
      <c r="T18" s="573" t="n"/>
      <c r="U18" s="516" t="n"/>
      <c r="V18" s="500" t="n"/>
      <c r="W18" s="519" t="n"/>
      <c r="X18" s="196" t="n"/>
      <c r="Y18" s="281">
        <f>H18-G18+1</f>
        <v/>
      </c>
      <c r="Z18" s="92" t="n"/>
      <c r="AA18" s="206" t="n"/>
      <c r="AB18" s="206" t="n"/>
      <c r="AC18" s="206" t="n"/>
      <c r="AD18" s="206" t="n"/>
      <c r="AE18" s="94" t="n"/>
    </row>
    <row r="19">
      <c r="A19" s="176" t="n"/>
      <c r="B19" s="9" t="inlineStr">
        <is>
          <t>(계산용) 선납금(V+)</t>
        </is>
      </c>
      <c r="C19" s="506">
        <f>C16*C18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$C$57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N19</f>
        <v/>
      </c>
      <c r="S19" s="573" t="n"/>
      <c r="T19" s="573" t="n"/>
      <c r="U19" s="516" t="inlineStr">
        <is>
          <t>* 연체 발생 이후 익월 청구일부터 가산이자 발생</t>
        </is>
      </c>
      <c r="V19" s="500" t="n"/>
      <c r="W19" s="519" t="n"/>
      <c r="X19" s="196" t="n"/>
      <c r="Y19" s="281">
        <f>H19-G19+1</f>
        <v/>
      </c>
      <c r="Z19" s="92" t="n"/>
      <c r="AA19" s="206" t="n"/>
      <c r="AB19" s="206" t="n"/>
      <c r="AC19" s="206" t="n"/>
      <c r="AD19" s="206" t="n"/>
      <c r="AE19" s="94" t="n"/>
    </row>
    <row r="20">
      <c r="A20" s="176" t="n"/>
      <c r="B20" s="9" t="inlineStr">
        <is>
          <t>(계산용) 선납금(V-)</t>
        </is>
      </c>
      <c r="C20" s="506">
        <f>+C19/1.1</f>
        <v/>
      </c>
      <c r="F20" s="141" t="inlineStr">
        <is>
          <t>16회차</t>
        </is>
      </c>
      <c r="G20" s="142">
        <f>H19+1</f>
        <v/>
      </c>
      <c r="H20" s="142">
        <f>EOMONTH(G20,0)</f>
        <v/>
      </c>
      <c r="I20" s="143">
        <f>EDATE(I19,1)</f>
        <v/>
      </c>
      <c r="J20" s="720">
        <f>$C$15</f>
        <v/>
      </c>
      <c r="K20" s="721">
        <f>$C$13/$C$7</f>
        <v/>
      </c>
      <c r="L20" s="722">
        <f>$C$11/$C$7</f>
        <v/>
      </c>
      <c r="M20" s="723">
        <f>$C$12/$C$7</f>
        <v/>
      </c>
      <c r="N20" s="720">
        <f>$C$57</f>
        <v/>
      </c>
      <c r="O20" s="721">
        <f>N20-P20-Q20</f>
        <v/>
      </c>
      <c r="P20" s="724">
        <f>L20</f>
        <v/>
      </c>
      <c r="Q20" s="725">
        <f>M20</f>
        <v/>
      </c>
      <c r="R20" s="720">
        <f>N20</f>
        <v/>
      </c>
      <c r="S20" s="141" t="inlineStr">
        <is>
          <t>연체</t>
        </is>
      </c>
      <c r="T20" s="726" t="n"/>
      <c r="U20" s="721" t="n"/>
      <c r="V20" s="724" t="n"/>
      <c r="W20" s="725" t="n"/>
      <c r="X20" s="158" t="n"/>
      <c r="Y20" s="159">
        <f>H20-G20+1</f>
        <v/>
      </c>
      <c r="Z20" s="160" t="n"/>
      <c r="AA20" s="724">
        <f>N20</f>
        <v/>
      </c>
      <c r="AB20" s="282" t="n"/>
      <c r="AC20" s="282" t="n"/>
      <c r="AD20" s="282" t="n"/>
      <c r="AE20" s="161" t="n"/>
    </row>
    <row r="21">
      <c r="A21" s="176" t="n"/>
      <c r="B21" s="9" t="inlineStr">
        <is>
          <t>(계산용) 월 선납금(V-)</t>
        </is>
      </c>
      <c r="C21" s="506">
        <f>+ROUND(C20/C7,-2)</f>
        <v/>
      </c>
      <c r="F21" s="141" t="inlineStr">
        <is>
          <t>17회차</t>
        </is>
      </c>
      <c r="G21" s="142">
        <f>H20+1</f>
        <v/>
      </c>
      <c r="H21" s="142">
        <f>EOMONTH(G21,0)</f>
        <v/>
      </c>
      <c r="I21" s="143">
        <f>EDATE(I20,1)</f>
        <v/>
      </c>
      <c r="J21" s="720">
        <f>$C$15</f>
        <v/>
      </c>
      <c r="K21" s="721">
        <f>$C$13/$C$7</f>
        <v/>
      </c>
      <c r="L21" s="722">
        <f>$C$11/$C$7</f>
        <v/>
      </c>
      <c r="M21" s="723">
        <f>$C$12/$C$7</f>
        <v/>
      </c>
      <c r="N21" s="720">
        <f>$C$57</f>
        <v/>
      </c>
      <c r="O21" s="721">
        <f>N21-P21-Q21</f>
        <v/>
      </c>
      <c r="P21" s="724">
        <f>L21</f>
        <v/>
      </c>
      <c r="Q21" s="725">
        <f>M21</f>
        <v/>
      </c>
      <c r="R21" s="727">
        <f>N21+T21</f>
        <v/>
      </c>
      <c r="S21" s="141" t="inlineStr">
        <is>
          <t>연체</t>
        </is>
      </c>
      <c r="T21" s="726">
        <f>SUM(U21:W21)</f>
        <v/>
      </c>
      <c r="U21" s="728">
        <f>ROUNDDOWN((N20*1.1)*6%*(I21-I20-1)/365,-1)</f>
        <v/>
      </c>
      <c r="V21" s="724" t="n"/>
      <c r="W21" s="725" t="n"/>
      <c r="X21" s="158" t="n"/>
      <c r="Y21" s="159">
        <f>H21-G21+1</f>
        <v/>
      </c>
      <c r="Z21" s="160" t="n"/>
      <c r="AA21" s="724">
        <f>N21</f>
        <v/>
      </c>
      <c r="AB21" s="282" t="n"/>
      <c r="AC21" s="729" t="n"/>
      <c r="AD21" s="729" t="n"/>
      <c r="AE21" s="161" t="n"/>
    </row>
    <row r="22">
      <c r="A22" s="176" t="n"/>
      <c r="B22" s="9" t="inlineStr">
        <is>
          <t>(최종) 선납금 (V-)</t>
        </is>
      </c>
      <c r="C22" s="506">
        <f>+C21*C7</f>
        <v/>
      </c>
      <c r="F22" s="141" t="inlineStr">
        <is>
          <t>18회차</t>
        </is>
      </c>
      <c r="G22" s="142">
        <f>H21+1</f>
        <v/>
      </c>
      <c r="H22" s="142">
        <f>EOMONTH(G22,0)</f>
        <v/>
      </c>
      <c r="I22" s="143">
        <f>EDATE(I21,1)</f>
        <v/>
      </c>
      <c r="J22" s="720">
        <f>$C$15</f>
        <v/>
      </c>
      <c r="K22" s="721">
        <f>$C$13/$C$7</f>
        <v/>
      </c>
      <c r="L22" s="722">
        <f>$C$11/$C$7</f>
        <v/>
      </c>
      <c r="M22" s="723">
        <f>$C$12/$C$7</f>
        <v/>
      </c>
      <c r="N22" s="720">
        <f>$C$57</f>
        <v/>
      </c>
      <c r="O22" s="721">
        <f>N22-P22-Q22</f>
        <v/>
      </c>
      <c r="P22" s="724">
        <f>L22</f>
        <v/>
      </c>
      <c r="Q22" s="725">
        <f>M22</f>
        <v/>
      </c>
      <c r="R22" s="727">
        <f>N22+T22</f>
        <v/>
      </c>
      <c r="S22" s="141" t="inlineStr">
        <is>
          <t>연체</t>
        </is>
      </c>
      <c r="T22" s="726">
        <f>SUM(U22:W22)</f>
        <v/>
      </c>
      <c r="U22" s="728">
        <f>ROUNDDOWN((N20*1.1)*6%*(I22-I20-1)/365,-1)</f>
        <v/>
      </c>
      <c r="V22" s="729">
        <f>ROUNDDOWN((N21*1.1)*6%*(I22-I21-1)/365,-1)</f>
        <v/>
      </c>
      <c r="W22" s="725" t="n"/>
      <c r="X22" s="158" t="n"/>
      <c r="Y22" s="159">
        <f>H22-G22+1</f>
        <v/>
      </c>
      <c r="Z22" s="160" t="n"/>
      <c r="AA22" s="724">
        <f>N22</f>
        <v/>
      </c>
      <c r="AB22" s="282" t="n"/>
      <c r="AC22" s="729" t="n"/>
      <c r="AD22" s="729" t="n"/>
      <c r="AE22" s="161" t="n"/>
    </row>
    <row r="23">
      <c r="A23" s="176" t="n"/>
      <c r="B23" s="9" t="inlineStr">
        <is>
          <t>(최종) 월 선납금 (V-)</t>
        </is>
      </c>
      <c r="C23" s="506">
        <f>+C22/C7</f>
        <v/>
      </c>
      <c r="F23" s="141" t="inlineStr">
        <is>
          <t>19회차</t>
        </is>
      </c>
      <c r="G23" s="142">
        <f>H22+1</f>
        <v/>
      </c>
      <c r="H23" s="142">
        <f>EOMONTH(G23,0)</f>
        <v/>
      </c>
      <c r="I23" s="143">
        <f>EDATE(I22,1)</f>
        <v/>
      </c>
      <c r="J23" s="720">
        <f>$C$15</f>
        <v/>
      </c>
      <c r="K23" s="721">
        <f>$C$13/$C$7</f>
        <v/>
      </c>
      <c r="L23" s="722">
        <f>$C$11/$C$7</f>
        <v/>
      </c>
      <c r="M23" s="723">
        <f>$C$12/$C$7</f>
        <v/>
      </c>
      <c r="N23" s="720">
        <f>$C$57</f>
        <v/>
      </c>
      <c r="O23" s="721">
        <f>N23-P23-Q23</f>
        <v/>
      </c>
      <c r="P23" s="724">
        <f>L23</f>
        <v/>
      </c>
      <c r="Q23" s="725">
        <f>M23</f>
        <v/>
      </c>
      <c r="R23" s="727">
        <f>N23+T23</f>
        <v/>
      </c>
      <c r="S23" s="141" t="inlineStr">
        <is>
          <t>연체</t>
        </is>
      </c>
      <c r="T23" s="726">
        <f>SUM(U23:W23)</f>
        <v/>
      </c>
      <c r="U23" s="728">
        <f>ROUNDDOWN((N20*1.1)*6%*(I23-I20-1)/365,-1)</f>
        <v/>
      </c>
      <c r="V23" s="729">
        <f>ROUNDDOWN((N21*1.1)*6%*(I23-I21-1)/365,-1)</f>
        <v/>
      </c>
      <c r="W23" s="730">
        <f>ROUNDDOWN((N22*1.1)*6%*(I23-I22-1)/365,-1)</f>
        <v/>
      </c>
      <c r="X23" s="158" t="n"/>
      <c r="Y23" s="159">
        <f>H23-G23+1</f>
        <v/>
      </c>
      <c r="Z23" s="160" t="n"/>
      <c r="AA23" s="724">
        <f>N23</f>
        <v/>
      </c>
      <c r="AB23" s="282" t="n"/>
      <c r="AC23" s="729">
        <f>T23</f>
        <v/>
      </c>
      <c r="AD23" s="729" t="n"/>
      <c r="AE23" s="161" t="n"/>
    </row>
    <row r="24">
      <c r="B24" s="9" t="inlineStr">
        <is>
          <t>(최종) 선납금 반영 월 구독료 (V+)</t>
        </is>
      </c>
      <c r="C24" s="506">
        <f>+(C15-C23)*1.1</f>
        <v/>
      </c>
      <c r="D24" s="505">
        <f>C22*1.1=C26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$C$57</f>
        <v/>
      </c>
      <c r="O24" s="516">
        <f>N24-P24-Q24</f>
        <v/>
      </c>
      <c r="P24" s="500">
        <f>L24</f>
        <v/>
      </c>
      <c r="Q24" s="519">
        <f>M24</f>
        <v/>
      </c>
      <c r="R24" s="646" t="n"/>
      <c r="S24" s="731" t="n"/>
      <c r="T24" s="573" t="n"/>
      <c r="U24" s="516" t="inlineStr">
        <is>
          <t xml:space="preserve">* CE는 구독료(v-)*1.1을 적용하여 구독료(v+)를 구할 수 있지만 </t>
        </is>
      </c>
      <c r="V24" s="500" t="n"/>
      <c r="W24" s="519" t="n"/>
      <c r="X24" s="162">
        <f>I23+DAY(2)</f>
        <v/>
      </c>
      <c r="Y24" s="222">
        <f>X24-G24</f>
        <v/>
      </c>
      <c r="Z24" s="732">
        <f>ROUNDDOWN(((C16)*(C8-SUM(Y5:Y24))/C8)*20%,-1)</f>
        <v/>
      </c>
      <c r="AA24" s="648">
        <f>SUM(AA20:AA23)+ROUNDDOWN(N24*Y24/DAY(H24),-2)</f>
        <v/>
      </c>
      <c r="AB24" s="648">
        <f>ROUNDDOWN(C41*SUM(Y5:Y24)/C8,-2)+ROUNDDOWN(C51*SUM(Y5:Y24)/C8,-2)+ROUNDDOWN(C31*SUM(Y5:Y24)/C8,-2)</f>
        <v/>
      </c>
      <c r="AC24" s="733">
        <f>AC23</f>
        <v/>
      </c>
      <c r="AD24" s="648">
        <f>-ROUNDUP((C22*(C8-SUM(Y5:Y24))/C8),-2)</f>
        <v/>
      </c>
      <c r="AE24" s="734">
        <f>ROUNDDOWN(100000/1.1*SUM(Y5:Y24)/C8,-2)</f>
        <v/>
      </c>
      <c r="AF24" s="206" t="inlineStr">
        <is>
          <t>* 위약금, 할인회수, 선납잔액 환불, 등록비 청구 기준: 일수비율</t>
        </is>
      </c>
    </row>
    <row r="25">
      <c r="B25" s="9" t="inlineStr">
        <is>
          <t>(최종) 선납금 반영 총 구독료 (V+)</t>
        </is>
      </c>
      <c r="C25" s="506">
        <f>+C24*C7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$C$57</f>
        <v/>
      </c>
      <c r="O25" s="516">
        <f>N25-P25-Q25</f>
        <v/>
      </c>
      <c r="P25" s="500">
        <f>L25</f>
        <v/>
      </c>
      <c r="Q25" s="519">
        <f>M25</f>
        <v/>
      </c>
      <c r="R25" s="515" t="n"/>
      <c r="S25" s="573" t="n"/>
      <c r="T25" s="573" t="n"/>
      <c r="U25" s="516" t="inlineStr">
        <is>
          <t>MX는 피과세 파손보험 포함으로 단순*1.1 적용 불가</t>
        </is>
      </c>
      <c r="V25" s="500" t="n"/>
      <c r="W25" s="519" t="n"/>
      <c r="X25" s="196" t="inlineStr">
        <is>
          <t xml:space="preserve">* 4회차 정기청구일+2일 '중지' </t>
        </is>
      </c>
      <c r="Y25" s="196" t="n"/>
      <c r="Z25" s="92" t="n"/>
      <c r="AA25" s="500" t="n"/>
      <c r="AB25" s="206" t="n"/>
      <c r="AC25" s="206" t="n"/>
      <c r="AD25" s="206" t="n"/>
      <c r="AE25" s="94" t="n"/>
    </row>
    <row r="26" ht="17.25" customHeight="1" s="497" thickBot="1">
      <c r="B26" s="9" t="inlineStr">
        <is>
          <t>(최종) 선납금 (V+)</t>
        </is>
      </c>
      <c r="C26" s="506">
        <f>+C16-C25</f>
        <v/>
      </c>
      <c r="D26" s="348" t="inlineStr">
        <is>
          <t>* 정책별 할인율</t>
        </is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$C$57</f>
        <v/>
      </c>
      <c r="O26" s="516">
        <f>N26-P26-Q26</f>
        <v/>
      </c>
      <c r="P26" s="500">
        <f>L26</f>
        <v/>
      </c>
      <c r="Q26" s="519">
        <f>M26</f>
        <v/>
      </c>
      <c r="R26" s="515" t="n"/>
      <c r="S26" s="573" t="n"/>
      <c r="T26" s="573" t="n"/>
      <c r="U26" s="516" t="n"/>
      <c r="V26" s="500" t="n"/>
      <c r="W26" s="519" t="n"/>
      <c r="X26" s="196" t="n"/>
      <c r="Y26" s="196" t="n"/>
      <c r="Z26" s="92" t="n"/>
      <c r="AA26" s="500" t="n"/>
      <c r="AB26" s="206" t="n"/>
      <c r="AC26" s="206" t="n"/>
      <c r="AD26" s="206" t="n"/>
      <c r="AE26" s="94" t="n"/>
    </row>
    <row r="27">
      <c r="A27" s="176" t="n"/>
      <c r="B27" s="296" t="inlineStr">
        <is>
          <t>(계산용) 선납 할인금 (V+)</t>
        </is>
      </c>
      <c r="C27" s="528">
        <f>C16*D27</f>
        <v/>
      </c>
      <c r="D27" s="529" t="n">
        <v>0.04</v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$C$57</f>
        <v/>
      </c>
      <c r="O27" s="516">
        <f>N27-P27-Q27</f>
        <v/>
      </c>
      <c r="P27" s="500">
        <f>L27</f>
        <v/>
      </c>
      <c r="Q27" s="519">
        <f>M27</f>
        <v/>
      </c>
      <c r="R27" s="515" t="n"/>
      <c r="S27" s="573" t="n"/>
      <c r="T27" s="573" t="n"/>
      <c r="U27" s="516" t="n"/>
      <c r="V27" s="500" t="n"/>
      <c r="W27" s="519" t="n"/>
      <c r="X27" s="196" t="n"/>
      <c r="Y27" s="196" t="n"/>
      <c r="Z27" s="92" t="n"/>
      <c r="AA27" s="206" t="n"/>
      <c r="AB27" s="206" t="n"/>
      <c r="AC27" s="206" t="n"/>
      <c r="AD27" s="206" t="n"/>
      <c r="AE27" s="94" t="n"/>
    </row>
    <row r="28">
      <c r="B28" s="298" t="inlineStr">
        <is>
          <t>(계산용) 선납 할인금 (V-)</t>
        </is>
      </c>
      <c r="C28" s="530">
        <f>+C27/1.1</f>
        <v/>
      </c>
      <c r="D28" s="531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$C$57</f>
        <v/>
      </c>
      <c r="O28" s="516">
        <f>N28-P28-Q28</f>
        <v/>
      </c>
      <c r="P28" s="500">
        <f>L28</f>
        <v/>
      </c>
      <c r="Q28" s="519">
        <f>M28</f>
        <v/>
      </c>
      <c r="R28" s="515" t="n"/>
      <c r="S28" s="573" t="n"/>
      <c r="T28" s="573" t="n"/>
      <c r="U28" s="516" t="n"/>
      <c r="V28" s="500" t="n"/>
      <c r="W28" s="519" t="n"/>
      <c r="X28" s="196" t="n"/>
      <c r="Y28" s="196" t="n"/>
      <c r="Z28" s="92" t="n"/>
      <c r="AA28" s="206" t="n"/>
      <c r="AB28" s="206" t="n"/>
      <c r="AC28" s="206" t="n"/>
      <c r="AD28" s="206" t="n"/>
      <c r="AE28" s="94" t="n"/>
    </row>
    <row r="29">
      <c r="B29" s="298" t="inlineStr">
        <is>
          <t>(계산용) 선납 월할인금 (V-)</t>
        </is>
      </c>
      <c r="C29" s="532">
        <f>+ROUNDUP(C28/C7,-2)</f>
        <v/>
      </c>
      <c r="D29" s="531" t="n"/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$C$57</f>
        <v/>
      </c>
      <c r="O29" s="516">
        <f>N29-P29-Q29</f>
        <v/>
      </c>
      <c r="P29" s="500">
        <f>L29</f>
        <v/>
      </c>
      <c r="Q29" s="519">
        <f>M29</f>
        <v/>
      </c>
      <c r="R29" s="515" t="n"/>
      <c r="S29" s="573" t="n"/>
      <c r="T29" s="573" t="n"/>
      <c r="U29" s="516" t="n"/>
      <c r="V29" s="500" t="n"/>
      <c r="W29" s="519" t="n"/>
      <c r="X29" s="196" t="n"/>
      <c r="Y29" s="196" t="n"/>
      <c r="Z29" s="92" t="n"/>
      <c r="AA29" s="206" t="n"/>
      <c r="AB29" s="206" t="n"/>
      <c r="AC29" s="206" t="n"/>
      <c r="AD29" s="206" t="n"/>
      <c r="AE29" s="94" t="n"/>
    </row>
    <row r="30" ht="17.25" customHeight="1" s="497" thickBot="1">
      <c r="B30" s="301" t="inlineStr">
        <is>
          <t>(계산용) 선납 월할인금 (V+)</t>
        </is>
      </c>
      <c r="C30" s="533">
        <f>+C29*1.1</f>
        <v/>
      </c>
      <c r="D30" s="534" t="n"/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$C$57</f>
        <v/>
      </c>
      <c r="O30" s="516">
        <f>N30-P30-Q30</f>
        <v/>
      </c>
      <c r="P30" s="500">
        <f>L30</f>
        <v/>
      </c>
      <c r="Q30" s="519">
        <f>M30</f>
        <v/>
      </c>
      <c r="R30" s="515" t="n"/>
      <c r="S30" s="573" t="n"/>
      <c r="T30" s="573" t="n"/>
      <c r="U30" s="516" t="n"/>
      <c r="V30" s="500" t="n"/>
      <c r="W30" s="519" t="n"/>
      <c r="X30" s="196" t="n"/>
      <c r="Y30" s="196" t="n"/>
      <c r="Z30" s="92" t="n"/>
      <c r="AA30" s="206" t="n"/>
      <c r="AB30" s="206" t="n"/>
      <c r="AC30" s="206" t="n"/>
      <c r="AD30" s="206" t="n"/>
      <c r="AE30" s="94" t="n"/>
    </row>
    <row r="31">
      <c r="B31" s="265" t="inlineStr">
        <is>
          <t>(최종) 선납 할인금 (V-)</t>
        </is>
      </c>
      <c r="C31" s="506">
        <f>+C29*C7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$C$57</f>
        <v/>
      </c>
      <c r="O31" s="516">
        <f>N31-P31-Q31</f>
        <v/>
      </c>
      <c r="P31" s="500">
        <f>L31</f>
        <v/>
      </c>
      <c r="Q31" s="519">
        <f>M31</f>
        <v/>
      </c>
      <c r="R31" s="515" t="n"/>
      <c r="S31" s="573" t="n"/>
      <c r="T31" s="573" t="n"/>
      <c r="U31" s="516" t="n"/>
      <c r="V31" s="500" t="n"/>
      <c r="W31" s="519" t="n"/>
      <c r="X31" s="196" t="n"/>
      <c r="Y31" s="196" t="n"/>
      <c r="Z31" s="92" t="n"/>
      <c r="AA31" s="206" t="n"/>
      <c r="AB31" s="206" t="n"/>
      <c r="AC31" s="206" t="n"/>
      <c r="AD31" s="206" t="n"/>
      <c r="AE31" s="94" t="n"/>
    </row>
    <row r="32" ht="17.25" customHeight="1" s="497" thickBot="1">
      <c r="B32" s="9" t="inlineStr">
        <is>
          <t>(최종) 선납 할인금 (V+)</t>
        </is>
      </c>
      <c r="C32" s="506">
        <f>+C30*C7</f>
        <v/>
      </c>
      <c r="D32" s="535">
        <f>C31*1.1=C32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$C$57</f>
        <v/>
      </c>
      <c r="O32" s="516">
        <f>N32-P32-Q32</f>
        <v/>
      </c>
      <c r="P32" s="500">
        <f>L32</f>
        <v/>
      </c>
      <c r="Q32" s="519">
        <f>M32</f>
        <v/>
      </c>
      <c r="R32" s="515" t="n"/>
      <c r="S32" s="573" t="n"/>
      <c r="T32" s="573" t="n"/>
      <c r="U32" s="516" t="n"/>
      <c r="V32" s="500" t="n"/>
      <c r="W32" s="519" t="n"/>
      <c r="X32" s="196" t="n"/>
      <c r="Y32" s="196" t="n"/>
      <c r="Z32" s="92" t="n"/>
      <c r="AA32" s="206" t="n"/>
      <c r="AB32" s="206" t="n"/>
      <c r="AC32" s="206" t="n"/>
      <c r="AD32" s="206" t="n"/>
      <c r="AE32" s="94" t="n"/>
    </row>
    <row r="33">
      <c r="B33" s="293" t="inlineStr">
        <is>
          <t>(최종) 선납금+선납 할인 반영 월 구독료 (V-)</t>
        </is>
      </c>
      <c r="C33" s="536">
        <f>+(C14-C31-C22)/C7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$C$57</f>
        <v/>
      </c>
      <c r="O33" s="516">
        <f>N33-P33-Q33</f>
        <v/>
      </c>
      <c r="P33" s="500">
        <f>L33</f>
        <v/>
      </c>
      <c r="Q33" s="519">
        <f>M33</f>
        <v/>
      </c>
      <c r="R33" s="515" t="n"/>
      <c r="S33" s="573" t="n"/>
      <c r="T33" s="573" t="n"/>
      <c r="U33" s="516" t="n"/>
      <c r="V33" s="500" t="n"/>
      <c r="W33" s="519" t="n"/>
      <c r="X33" s="196" t="n"/>
      <c r="Y33" s="196" t="n"/>
      <c r="Z33" s="92" t="n"/>
      <c r="AA33" s="206" t="n"/>
      <c r="AB33" s="206" t="n"/>
      <c r="AC33" s="206" t="n"/>
      <c r="AD33" s="206" t="n"/>
      <c r="AE33" s="94" t="n"/>
    </row>
    <row r="34" ht="17.25" customHeight="1" s="497" thickBot="1">
      <c r="B34" s="294" t="inlineStr">
        <is>
          <t>(최종) 선납금+선납 할인 반영 총 구독료 (V-)</t>
        </is>
      </c>
      <c r="C34" s="537">
        <f>C33*C7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$C$57</f>
        <v/>
      </c>
      <c r="O34" s="516">
        <f>N34-P34-Q34</f>
        <v/>
      </c>
      <c r="P34" s="500">
        <f>L34</f>
        <v/>
      </c>
      <c r="Q34" s="519">
        <f>M34</f>
        <v/>
      </c>
      <c r="R34" s="515" t="n"/>
      <c r="S34" s="573" t="n"/>
      <c r="T34" s="573" t="n"/>
      <c r="U34" s="516" t="n"/>
      <c r="V34" s="500" t="n"/>
      <c r="W34" s="519" t="n"/>
      <c r="X34" s="196" t="n"/>
      <c r="Y34" s="196" t="n"/>
      <c r="Z34" s="92" t="n"/>
      <c r="AA34" s="206" t="n"/>
      <c r="AB34" s="206" t="n"/>
      <c r="AC34" s="206" t="n"/>
      <c r="AD34" s="206" t="n"/>
      <c r="AE34" s="94" t="n"/>
    </row>
    <row r="35">
      <c r="B35" s="295" t="inlineStr">
        <is>
          <t>(최종) 선납금+선납 할인 반영 월 구독료 (V+)</t>
        </is>
      </c>
      <c r="C35" s="538">
        <f>+(C16-C22*1.1-C32)/C7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$C$57</f>
        <v/>
      </c>
      <c r="O35" s="516">
        <f>N35-P35-Q35</f>
        <v/>
      </c>
      <c r="P35" s="500">
        <f>L35</f>
        <v/>
      </c>
      <c r="Q35" s="519">
        <f>M35</f>
        <v/>
      </c>
      <c r="R35" s="515" t="n"/>
      <c r="S35" s="573" t="n"/>
      <c r="T35" s="573" t="n"/>
      <c r="U35" s="516" t="n"/>
      <c r="V35" s="500" t="n"/>
      <c r="W35" s="519" t="n"/>
      <c r="X35" s="196" t="n"/>
      <c r="Y35" s="196" t="n"/>
      <c r="Z35" s="92" t="n"/>
      <c r="AA35" s="206" t="n"/>
      <c r="AB35" s="206" t="n"/>
      <c r="AC35" s="206" t="n"/>
      <c r="AD35" s="206" t="n"/>
      <c r="AE35" s="94" t="n"/>
    </row>
    <row r="36" ht="17.25" customHeight="1" s="497" thickBot="1">
      <c r="B36" s="294" t="inlineStr">
        <is>
          <t>(최종) 선납금+선납 할인 반영 총 구독료 (V+)</t>
        </is>
      </c>
      <c r="C36" s="537">
        <f>C35*C7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$C$57</f>
        <v/>
      </c>
      <c r="O36" s="516">
        <f>N36-P36-Q36</f>
        <v/>
      </c>
      <c r="P36" s="500">
        <f>L36</f>
        <v/>
      </c>
      <c r="Q36" s="519">
        <f>M36</f>
        <v/>
      </c>
      <c r="R36" s="515" t="n"/>
      <c r="S36" s="573" t="n"/>
      <c r="T36" s="573" t="n"/>
      <c r="U36" s="516" t="n"/>
      <c r="V36" s="500" t="n"/>
      <c r="W36" s="519" t="n"/>
      <c r="X36" s="196" t="n"/>
      <c r="Y36" s="196" t="n"/>
      <c r="Z36" s="92" t="n"/>
      <c r="AA36" s="206" t="n"/>
      <c r="AB36" s="206" t="n"/>
      <c r="AC36" s="206" t="n"/>
      <c r="AD36" s="206" t="n"/>
      <c r="AE36" s="94" t="n"/>
    </row>
    <row r="37">
      <c r="B37" s="296" t="inlineStr">
        <is>
          <t>(계산용) 단품 할인금 (V+)</t>
        </is>
      </c>
      <c r="C37" s="528">
        <f>C16*D37</f>
        <v/>
      </c>
      <c r="D37" s="540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$C$57</f>
        <v/>
      </c>
      <c r="O37" s="516">
        <f>N37-P37-Q37</f>
        <v/>
      </c>
      <c r="P37" s="500">
        <f>L37</f>
        <v/>
      </c>
      <c r="Q37" s="519">
        <f>M37</f>
        <v/>
      </c>
      <c r="R37" s="515" t="n"/>
      <c r="S37" s="573" t="n"/>
      <c r="T37" s="573" t="n"/>
      <c r="U37" s="516" t="n"/>
      <c r="V37" s="500" t="n"/>
      <c r="W37" s="519" t="n"/>
      <c r="X37" s="196" t="n"/>
      <c r="Y37" s="196" t="n"/>
      <c r="Z37" s="92" t="n"/>
      <c r="AA37" s="206" t="n"/>
      <c r="AB37" s="206" t="n"/>
      <c r="AC37" s="206" t="n"/>
      <c r="AD37" s="206" t="n"/>
      <c r="AE37" s="94" t="n"/>
    </row>
    <row r="38">
      <c r="B38" s="298" t="inlineStr">
        <is>
          <t>(계산용) 단품 할인금 (V-)</t>
        </is>
      </c>
      <c r="C38" s="530">
        <f>+C37/1.1</f>
        <v/>
      </c>
      <c r="D38" s="531" t="n"/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$C$57</f>
        <v/>
      </c>
      <c r="O38" s="516">
        <f>N38-P38-Q38</f>
        <v/>
      </c>
      <c r="P38" s="500">
        <f>L38</f>
        <v/>
      </c>
      <c r="Q38" s="519">
        <f>M38</f>
        <v/>
      </c>
      <c r="R38" s="515" t="n"/>
      <c r="S38" s="573" t="n"/>
      <c r="T38" s="573" t="n"/>
      <c r="U38" s="516" t="n"/>
      <c r="V38" s="500" t="n"/>
      <c r="W38" s="519" t="n"/>
      <c r="X38" s="196" t="n"/>
      <c r="Y38" s="196" t="n"/>
      <c r="Z38" s="92" t="n"/>
      <c r="AA38" s="206" t="n"/>
      <c r="AB38" s="206" t="n"/>
      <c r="AC38" s="206" t="n"/>
      <c r="AD38" s="206" t="n"/>
      <c r="AE38" s="94" t="n"/>
    </row>
    <row r="39">
      <c r="B39" s="298" t="inlineStr">
        <is>
          <t>(계산용) 단품 월할인금 (V-)</t>
        </is>
      </c>
      <c r="C39" s="532">
        <f>+ROUNDUP(C38/C7,-2)</f>
        <v/>
      </c>
      <c r="D39" s="531" t="n"/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$C$57</f>
        <v/>
      </c>
      <c r="O39" s="516">
        <f>N39-P39-Q39</f>
        <v/>
      </c>
      <c r="P39" s="500">
        <f>L39</f>
        <v/>
      </c>
      <c r="Q39" s="519">
        <f>M39</f>
        <v/>
      </c>
      <c r="R39" s="515" t="n"/>
      <c r="S39" s="573" t="n"/>
      <c r="T39" s="573" t="n"/>
      <c r="U39" s="516" t="n"/>
      <c r="V39" s="500" t="n"/>
      <c r="W39" s="519" t="n"/>
      <c r="X39" s="196" t="n"/>
      <c r="Y39" s="196" t="n"/>
      <c r="Z39" s="92" t="n"/>
      <c r="AA39" s="206" t="n"/>
      <c r="AB39" s="206" t="n"/>
      <c r="AC39" s="206" t="n"/>
      <c r="AD39" s="206" t="n"/>
      <c r="AE39" s="94" t="n"/>
    </row>
    <row r="40" ht="17.25" customHeight="1" s="497" thickBot="1">
      <c r="B40" s="301" t="inlineStr">
        <is>
          <t>(계산용) 단품 월할인금 (V+)</t>
        </is>
      </c>
      <c r="C40" s="533">
        <f>+C39*1.1</f>
        <v/>
      </c>
      <c r="D40" s="541" t="n"/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$C$57</f>
        <v/>
      </c>
      <c r="O40" s="516">
        <f>N40-P40-Q40</f>
        <v/>
      </c>
      <c r="P40" s="500">
        <f>L40</f>
        <v/>
      </c>
      <c r="Q40" s="519">
        <f>M40</f>
        <v/>
      </c>
      <c r="R40" s="515" t="n"/>
      <c r="S40" s="573" t="n"/>
      <c r="T40" s="573" t="n"/>
      <c r="U40" s="516" t="n"/>
      <c r="V40" s="500" t="n"/>
      <c r="W40" s="519" t="n"/>
      <c r="X40" s="196" t="n"/>
      <c r="Y40" s="196" t="n"/>
      <c r="Z40" s="92" t="n"/>
      <c r="AA40" s="206" t="n"/>
      <c r="AB40" s="206" t="n"/>
      <c r="AC40" s="206" t="n"/>
      <c r="AD40" s="206" t="n"/>
      <c r="AE40" s="94" t="n"/>
    </row>
    <row r="41">
      <c r="B41" s="265" t="inlineStr">
        <is>
          <t>(최종) 단품 할인금 (V-)</t>
        </is>
      </c>
      <c r="C41" s="506">
        <f>+C39*C7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$C$57</f>
        <v/>
      </c>
      <c r="O41" s="516">
        <f>N41-P41-Q41</f>
        <v/>
      </c>
      <c r="P41" s="500">
        <f>L41</f>
        <v/>
      </c>
      <c r="Q41" s="519">
        <f>M41</f>
        <v/>
      </c>
      <c r="R41" s="515" t="n"/>
      <c r="S41" s="573" t="n"/>
      <c r="T41" s="573" t="n"/>
      <c r="U41" s="516" t="n"/>
      <c r="V41" s="500" t="n"/>
      <c r="W41" s="519" t="n"/>
      <c r="X41" s="196" t="n"/>
      <c r="Y41" s="196" t="n"/>
      <c r="Z41" s="92" t="n"/>
      <c r="AA41" s="206" t="n"/>
      <c r="AB41" s="206" t="n"/>
      <c r="AC41" s="206" t="n"/>
      <c r="AD41" s="206" t="n"/>
      <c r="AE41" s="94" t="n"/>
    </row>
    <row r="42" ht="17.25" customHeight="1" s="497" thickBot="1">
      <c r="B42" s="9" t="inlineStr">
        <is>
          <t>(최종) 단품 할인금 (V+)</t>
        </is>
      </c>
      <c r="C42" s="506">
        <f>+C40*C7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$C$57</f>
        <v/>
      </c>
      <c r="O42" s="516">
        <f>N42-P42-Q42</f>
        <v/>
      </c>
      <c r="P42" s="500">
        <f>L42</f>
        <v/>
      </c>
      <c r="Q42" s="519">
        <f>M42</f>
        <v/>
      </c>
      <c r="R42" s="515" t="n"/>
      <c r="S42" s="573" t="n"/>
      <c r="T42" s="573" t="n"/>
      <c r="U42" s="516" t="n"/>
      <c r="V42" s="500" t="n"/>
      <c r="W42" s="519" t="n"/>
      <c r="X42" s="196" t="n"/>
      <c r="Y42" s="196" t="n"/>
      <c r="Z42" s="92" t="n"/>
      <c r="AA42" s="206" t="n"/>
      <c r="AB42" s="206" t="n"/>
      <c r="AC42" s="206" t="n"/>
      <c r="AD42" s="206" t="n"/>
      <c r="AE42" s="94" t="n"/>
    </row>
    <row r="43">
      <c r="B43" s="293" t="inlineStr">
        <is>
          <t>(최종) 단품 할인 반영 월 구독료 (V-)</t>
        </is>
      </c>
      <c r="C43" s="536">
        <f>+(C14-C41)/C7</f>
        <v/>
      </c>
      <c r="D43" s="343">
        <f>+C15-C39=C43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$C$57</f>
        <v/>
      </c>
      <c r="O43" s="516">
        <f>N43-P43-Q43</f>
        <v/>
      </c>
      <c r="P43" s="500">
        <f>L43</f>
        <v/>
      </c>
      <c r="Q43" s="519">
        <f>M43</f>
        <v/>
      </c>
      <c r="R43" s="515" t="n"/>
      <c r="S43" s="573" t="n"/>
      <c r="T43" s="573" t="n"/>
      <c r="U43" s="516" t="n"/>
      <c r="V43" s="500" t="n"/>
      <c r="W43" s="519" t="n"/>
      <c r="X43" s="196" t="n"/>
      <c r="Y43" s="196" t="n"/>
      <c r="Z43" s="92" t="n"/>
      <c r="AA43" s="206" t="n"/>
      <c r="AB43" s="206" t="n"/>
      <c r="AC43" s="206" t="n"/>
      <c r="AD43" s="206" t="n"/>
      <c r="AE43" s="94" t="n"/>
    </row>
    <row r="44" ht="17.25" customHeight="1" s="497" thickBot="1">
      <c r="B44" s="294" t="inlineStr">
        <is>
          <t>(최종) 단품 할인 반영 총 구독료 (V-)</t>
        </is>
      </c>
      <c r="C44" s="537">
        <f>C43*C7</f>
        <v/>
      </c>
      <c r="D44" s="343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$C$57</f>
        <v/>
      </c>
      <c r="O44" s="516">
        <f>N44-P44-Q44</f>
        <v/>
      </c>
      <c r="P44" s="500">
        <f>L44</f>
        <v/>
      </c>
      <c r="Q44" s="519">
        <f>M44</f>
        <v/>
      </c>
      <c r="R44" s="515" t="n"/>
      <c r="S44" s="573" t="n"/>
      <c r="T44" s="573" t="n"/>
      <c r="U44" s="516" t="n"/>
      <c r="V44" s="500" t="n"/>
      <c r="W44" s="519" t="n"/>
      <c r="X44" s="196" t="n"/>
      <c r="Y44" s="196" t="n"/>
      <c r="Z44" s="92" t="n"/>
      <c r="AA44" s="206" t="n"/>
      <c r="AB44" s="206" t="n"/>
      <c r="AC44" s="206" t="n"/>
      <c r="AD44" s="206" t="n"/>
      <c r="AE44" s="94" t="n"/>
    </row>
    <row r="45">
      <c r="B45" s="295" t="inlineStr">
        <is>
          <t>(최종) 단품 할인 반영 월 구독료 (V+)</t>
        </is>
      </c>
      <c r="C45" s="538">
        <f>+C43*1.1</f>
        <v/>
      </c>
      <c r="D45" s="343">
        <f>+C15*1.1-C40=C45</f>
        <v/>
      </c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$C$57</f>
        <v/>
      </c>
      <c r="O45" s="516">
        <f>N45-P45-Q45</f>
        <v/>
      </c>
      <c r="P45" s="500">
        <f>L45</f>
        <v/>
      </c>
      <c r="Q45" s="519">
        <f>M45</f>
        <v/>
      </c>
      <c r="R45" s="515" t="n"/>
      <c r="S45" s="573" t="n"/>
      <c r="T45" s="573" t="n"/>
      <c r="U45" s="516" t="n"/>
      <c r="V45" s="500" t="n"/>
      <c r="W45" s="519" t="n"/>
      <c r="X45" s="196" t="n"/>
      <c r="Y45" s="196" t="n"/>
      <c r="Z45" s="92" t="n"/>
      <c r="AA45" s="206" t="n"/>
      <c r="AB45" s="206" t="n"/>
      <c r="AC45" s="206" t="n"/>
      <c r="AD45" s="206" t="n"/>
      <c r="AE45" s="94" t="n"/>
    </row>
    <row r="46" ht="17.25" customHeight="1" s="497" thickBot="1">
      <c r="B46" s="294" t="inlineStr">
        <is>
          <t>(최종) 단품 할인 반영 총 구독료 (V+)</t>
        </is>
      </c>
      <c r="C46" s="537">
        <f>+C45*C7</f>
        <v/>
      </c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$C$57</f>
        <v/>
      </c>
      <c r="O46" s="516">
        <f>N46-P46-Q46</f>
        <v/>
      </c>
      <c r="P46" s="500">
        <f>L46</f>
        <v/>
      </c>
      <c r="Q46" s="519">
        <f>M46</f>
        <v/>
      </c>
      <c r="R46" s="515" t="n"/>
      <c r="S46" s="573" t="n"/>
      <c r="T46" s="573" t="n"/>
      <c r="U46" s="516" t="n"/>
      <c r="V46" s="500" t="n"/>
      <c r="W46" s="519" t="n"/>
      <c r="X46" s="196" t="n"/>
      <c r="Y46" s="196" t="n"/>
      <c r="Z46" s="92" t="n"/>
      <c r="AA46" s="206" t="n"/>
      <c r="AB46" s="206" t="n"/>
      <c r="AC46" s="206" t="n"/>
      <c r="AD46" s="206" t="n"/>
      <c r="AE46" s="94" t="n"/>
    </row>
    <row r="47">
      <c r="B47" s="296" t="inlineStr">
        <is>
          <t>(계산용) 결합 할인금 (V+)</t>
        </is>
      </c>
      <c r="C47" s="528">
        <f>C16*D47</f>
        <v/>
      </c>
      <c r="D47" s="540" t="n">
        <v>0.05</v>
      </c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$C$57</f>
        <v/>
      </c>
      <c r="O47" s="516">
        <f>N47-P47-Q47</f>
        <v/>
      </c>
      <c r="P47" s="500">
        <f>L47</f>
        <v/>
      </c>
      <c r="Q47" s="519">
        <f>M47</f>
        <v/>
      </c>
      <c r="R47" s="515" t="n"/>
      <c r="S47" s="573" t="n"/>
      <c r="T47" s="573" t="n"/>
      <c r="U47" s="516" t="n"/>
      <c r="V47" s="500" t="n"/>
      <c r="W47" s="519" t="n"/>
      <c r="X47" s="196" t="n"/>
      <c r="Y47" s="196" t="n"/>
      <c r="Z47" s="92" t="n"/>
      <c r="AA47" s="206" t="n"/>
      <c r="AB47" s="206" t="n"/>
      <c r="AC47" s="206" t="n"/>
      <c r="AD47" s="206" t="n"/>
      <c r="AE47" s="94" t="n"/>
    </row>
    <row r="48">
      <c r="B48" s="298" t="inlineStr">
        <is>
          <t>(계산용) 결합 할인금 (V-)</t>
        </is>
      </c>
      <c r="C48" s="530">
        <f>+C47/1.1</f>
        <v/>
      </c>
      <c r="D48" s="531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$C$57</f>
        <v/>
      </c>
      <c r="O48" s="516">
        <f>N48-P48-Q48</f>
        <v/>
      </c>
      <c r="P48" s="500">
        <f>L48</f>
        <v/>
      </c>
      <c r="Q48" s="519">
        <f>M48</f>
        <v/>
      </c>
      <c r="R48" s="515" t="n"/>
      <c r="S48" s="573" t="n"/>
      <c r="T48" s="573" t="n"/>
      <c r="U48" s="516" t="n"/>
      <c r="V48" s="500" t="n"/>
      <c r="W48" s="519" t="n"/>
      <c r="X48" s="196" t="n"/>
      <c r="Y48" s="196" t="n"/>
      <c r="Z48" s="92" t="n"/>
      <c r="AA48" s="206" t="n"/>
      <c r="AB48" s="206" t="n"/>
      <c r="AC48" s="206" t="n"/>
      <c r="AD48" s="206" t="n"/>
      <c r="AE48" s="94" t="n"/>
    </row>
    <row r="49">
      <c r="B49" s="298" t="inlineStr">
        <is>
          <t>(계산용) 결합 월할인금 (V-)</t>
        </is>
      </c>
      <c r="C49" s="532">
        <f>+ROUNDUP(C48/C7,-2)</f>
        <v/>
      </c>
      <c r="D49" s="531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$C$57</f>
        <v/>
      </c>
      <c r="O49" s="516">
        <f>N49-P49-Q49</f>
        <v/>
      </c>
      <c r="P49" s="500">
        <f>L49</f>
        <v/>
      </c>
      <c r="Q49" s="519">
        <f>M49</f>
        <v/>
      </c>
      <c r="R49" s="515" t="n"/>
      <c r="S49" s="573" t="n"/>
      <c r="T49" s="573" t="n"/>
      <c r="U49" s="516" t="n"/>
      <c r="V49" s="500" t="n"/>
      <c r="W49" s="519" t="n"/>
      <c r="X49" s="196" t="n"/>
      <c r="Y49" s="196" t="n"/>
      <c r="Z49" s="92" t="n"/>
      <c r="AA49" s="206" t="n"/>
      <c r="AB49" s="206" t="n"/>
      <c r="AC49" s="206" t="n"/>
      <c r="AD49" s="206" t="n"/>
      <c r="AE49" s="94" t="n"/>
    </row>
    <row r="50" ht="17.25" customHeight="1" s="497" thickBot="1">
      <c r="B50" s="301" t="inlineStr">
        <is>
          <t>(계산용) 결합 월할인금 (V+)</t>
        </is>
      </c>
      <c r="C50" s="533">
        <f>+C49*1.1</f>
        <v/>
      </c>
      <c r="D50" s="541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$C$57</f>
        <v/>
      </c>
      <c r="O50" s="516">
        <f>N50-P50-Q50</f>
        <v/>
      </c>
      <c r="P50" s="500">
        <f>L50</f>
        <v/>
      </c>
      <c r="Q50" s="519">
        <f>M50</f>
        <v/>
      </c>
      <c r="R50" s="515" t="n"/>
      <c r="S50" s="573" t="n"/>
      <c r="T50" s="573" t="n"/>
      <c r="U50" s="516" t="n"/>
      <c r="V50" s="500" t="n"/>
      <c r="W50" s="519" t="n"/>
      <c r="X50" s="196" t="n"/>
      <c r="Y50" s="196" t="n"/>
      <c r="Z50" s="92" t="n"/>
      <c r="AA50" s="206" t="n"/>
      <c r="AB50" s="206" t="n"/>
      <c r="AC50" s="206" t="n"/>
      <c r="AD50" s="206" t="n"/>
      <c r="AE50" s="94" t="n"/>
    </row>
    <row r="51">
      <c r="B51" s="265" t="inlineStr">
        <is>
          <t>(최종) 결합 할인금 (V-)</t>
        </is>
      </c>
      <c r="C51" s="506">
        <f>+C49*C7</f>
        <v/>
      </c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$C$57</f>
        <v/>
      </c>
      <c r="O51" s="516">
        <f>N51-P51-Q51</f>
        <v/>
      </c>
      <c r="P51" s="500">
        <f>L51</f>
        <v/>
      </c>
      <c r="Q51" s="519">
        <f>M51</f>
        <v/>
      </c>
      <c r="R51" s="515" t="n"/>
      <c r="S51" s="573" t="n"/>
      <c r="T51" s="573" t="n"/>
      <c r="U51" s="516" t="n"/>
      <c r="V51" s="500" t="n"/>
      <c r="W51" s="519" t="n"/>
      <c r="X51" s="196" t="n"/>
      <c r="Y51" s="196" t="n"/>
      <c r="Z51" s="92" t="n"/>
      <c r="AA51" s="206" t="n"/>
      <c r="AB51" s="206" t="n"/>
      <c r="AC51" s="206" t="n"/>
      <c r="AD51" s="206" t="n"/>
      <c r="AE51" s="94" t="n"/>
    </row>
    <row r="52" ht="17.25" customHeight="1" s="497" thickBot="1">
      <c r="B52" s="9" t="inlineStr">
        <is>
          <t>(최종) 결합 할인금 (V+)</t>
        </is>
      </c>
      <c r="C52" s="506">
        <f>+C50*C7</f>
        <v/>
      </c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$C$57</f>
        <v/>
      </c>
      <c r="O52" s="516">
        <f>N52-P52-Q52</f>
        <v/>
      </c>
      <c r="P52" s="500">
        <f>L52</f>
        <v/>
      </c>
      <c r="Q52" s="519">
        <f>M52</f>
        <v/>
      </c>
      <c r="R52" s="515" t="n"/>
      <c r="S52" s="573" t="n"/>
      <c r="T52" s="573" t="n"/>
      <c r="U52" s="516" t="n"/>
      <c r="V52" s="500" t="n"/>
      <c r="W52" s="519" t="n"/>
      <c r="X52" s="196" t="n"/>
      <c r="Y52" s="196" t="n"/>
      <c r="Z52" s="92" t="n"/>
      <c r="AA52" s="206" t="n"/>
      <c r="AB52" s="206" t="n"/>
      <c r="AC52" s="206" t="n"/>
      <c r="AD52" s="206" t="n"/>
      <c r="AE52" s="94" t="n"/>
    </row>
    <row r="53">
      <c r="B53" s="293" t="inlineStr">
        <is>
          <t>(최종) 결합 할인 반영 월 구독료 (V-)</t>
        </is>
      </c>
      <c r="C53" s="536">
        <f>+(C14-C51)/C7</f>
        <v/>
      </c>
      <c r="D53" s="343">
        <f>+C15-C49=C53</f>
        <v/>
      </c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$C$57</f>
        <v/>
      </c>
      <c r="O53" s="516">
        <f>N53-P53-Q53</f>
        <v/>
      </c>
      <c r="P53" s="500">
        <f>L53</f>
        <v/>
      </c>
      <c r="Q53" s="519">
        <f>M53</f>
        <v/>
      </c>
      <c r="R53" s="515" t="n"/>
      <c r="S53" s="573" t="n"/>
      <c r="T53" s="573" t="n"/>
      <c r="U53" s="516" t="n"/>
      <c r="V53" s="500" t="n"/>
      <c r="W53" s="519" t="n"/>
      <c r="X53" s="196" t="n"/>
      <c r="Y53" s="196" t="n"/>
      <c r="Z53" s="92" t="n"/>
      <c r="AA53" s="206" t="n"/>
      <c r="AB53" s="206" t="n"/>
      <c r="AC53" s="206" t="n"/>
      <c r="AD53" s="206" t="n"/>
      <c r="AE53" s="94" t="n"/>
    </row>
    <row r="54" ht="17.25" customHeight="1" s="497" thickBot="1">
      <c r="B54" s="294" t="inlineStr">
        <is>
          <t>(최종) 결합 할인 반영 총 구독료 (V-)</t>
        </is>
      </c>
      <c r="C54" s="537">
        <f>C53*C7</f>
        <v/>
      </c>
      <c r="D54" s="343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$C$57</f>
        <v/>
      </c>
      <c r="O54" s="516">
        <f>N54-P54-Q54</f>
        <v/>
      </c>
      <c r="P54" s="500">
        <f>L54</f>
        <v/>
      </c>
      <c r="Q54" s="519">
        <f>M54</f>
        <v/>
      </c>
      <c r="R54" s="515" t="n"/>
      <c r="S54" s="573" t="n"/>
      <c r="T54" s="573" t="n"/>
      <c r="U54" s="516" t="n"/>
      <c r="V54" s="500" t="n"/>
      <c r="W54" s="519" t="n"/>
      <c r="X54" s="196" t="n"/>
      <c r="Y54" s="196" t="n"/>
      <c r="Z54" s="92" t="n"/>
      <c r="AA54" s="206" t="n"/>
      <c r="AB54" s="206" t="n"/>
      <c r="AC54" s="206" t="n"/>
      <c r="AD54" s="206" t="n"/>
      <c r="AE54" s="94" t="n"/>
    </row>
    <row r="55">
      <c r="B55" s="295" t="inlineStr">
        <is>
          <t>(최종) 결합 할인 반영 월 구독료 (V+)</t>
        </is>
      </c>
      <c r="C55" s="538">
        <f>+C53*1.1</f>
        <v/>
      </c>
      <c r="D55" s="343">
        <f>+C15*1.1-C50=C55</f>
        <v/>
      </c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$C$57</f>
        <v/>
      </c>
      <c r="O55" s="516">
        <f>N55-P55-Q55</f>
        <v/>
      </c>
      <c r="P55" s="500">
        <f>L55</f>
        <v/>
      </c>
      <c r="Q55" s="519">
        <f>M55</f>
        <v/>
      </c>
      <c r="R55" s="515" t="n"/>
      <c r="S55" s="573" t="n"/>
      <c r="T55" s="573" t="n"/>
      <c r="U55" s="516" t="n"/>
      <c r="V55" s="500" t="n"/>
      <c r="W55" s="519" t="n"/>
      <c r="X55" s="196" t="n"/>
      <c r="Y55" s="196" t="n"/>
      <c r="Z55" s="92" t="n"/>
      <c r="AA55" s="206" t="n"/>
      <c r="AB55" s="206" t="n"/>
      <c r="AC55" s="206" t="n"/>
      <c r="AD55" s="206" t="n"/>
      <c r="AE55" s="94" t="n"/>
    </row>
    <row r="56" ht="17.25" customHeight="1" s="497" thickBot="1">
      <c r="B56" s="294" t="inlineStr">
        <is>
          <t>(최종) 결합 할인 반영 총 구독료 (V+)</t>
        </is>
      </c>
      <c r="C56" s="537">
        <f>+C55*C7</f>
        <v/>
      </c>
      <c r="D56" s="343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$C$57</f>
        <v/>
      </c>
      <c r="O56" s="516">
        <f>N56-P56-Q56</f>
        <v/>
      </c>
      <c r="P56" s="500">
        <f>L56</f>
        <v/>
      </c>
      <c r="Q56" s="519">
        <f>M56</f>
        <v/>
      </c>
      <c r="R56" s="515" t="n"/>
      <c r="S56" s="573" t="n"/>
      <c r="T56" s="573" t="n"/>
      <c r="U56" s="516" t="n"/>
      <c r="V56" s="500" t="n"/>
      <c r="W56" s="519" t="n"/>
      <c r="X56" s="196" t="n"/>
      <c r="Y56" s="196" t="n"/>
      <c r="Z56" s="92" t="n"/>
      <c r="AA56" s="206" t="n"/>
      <c r="AB56" s="206" t="n"/>
      <c r="AC56" s="206" t="n"/>
      <c r="AD56" s="206" t="n"/>
      <c r="AE56" s="94" t="n"/>
    </row>
    <row r="57">
      <c r="B57" s="320" t="inlineStr">
        <is>
          <t>(최종) 선납+단품+결합 할인 반영 월 구독료 (V-)</t>
        </is>
      </c>
      <c r="C57" s="542">
        <f>+(C14-C26/1.1-C41-C31-C51)/C7</f>
        <v/>
      </c>
      <c r="D57" s="543">
        <f>+C15-C39-C29-C26/1.1/C7-C49=C57</f>
        <v/>
      </c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$C$57</f>
        <v/>
      </c>
      <c r="O57" s="516">
        <f>N57-P57-Q57</f>
        <v/>
      </c>
      <c r="P57" s="500">
        <f>L57</f>
        <v/>
      </c>
      <c r="Q57" s="519">
        <f>M57</f>
        <v/>
      </c>
      <c r="R57" s="515" t="n"/>
      <c r="S57" s="573" t="n"/>
      <c r="T57" s="573" t="n"/>
      <c r="U57" s="516" t="n"/>
      <c r="V57" s="500" t="n"/>
      <c r="W57" s="519" t="n"/>
      <c r="X57" s="196" t="n"/>
      <c r="Y57" s="196" t="n"/>
      <c r="Z57" s="92" t="n"/>
      <c r="AA57" s="206" t="n"/>
      <c r="AB57" s="206" t="n"/>
      <c r="AC57" s="206" t="n"/>
      <c r="AD57" s="206" t="n"/>
      <c r="AE57" s="94" t="n"/>
    </row>
    <row r="58" ht="17.25" customHeight="1" s="497" thickBot="1">
      <c r="B58" s="322" t="inlineStr">
        <is>
          <t>(최종) 선납+단품+결합 할인 반영 총 구독료 (V-)</t>
        </is>
      </c>
      <c r="C58" s="544">
        <f>+C57*C7</f>
        <v/>
      </c>
      <c r="D58" s="343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$C$57</f>
        <v/>
      </c>
      <c r="O58" s="516">
        <f>N58-P58-Q58</f>
        <v/>
      </c>
      <c r="P58" s="500">
        <f>L58</f>
        <v/>
      </c>
      <c r="Q58" s="519">
        <f>M58</f>
        <v/>
      </c>
      <c r="R58" s="515" t="n"/>
      <c r="S58" s="573" t="n"/>
      <c r="T58" s="573" t="n"/>
      <c r="U58" s="516" t="n"/>
      <c r="V58" s="500" t="n"/>
      <c r="W58" s="519" t="n"/>
      <c r="X58" s="196" t="n"/>
      <c r="Y58" s="196" t="n"/>
      <c r="Z58" s="92" t="n"/>
      <c r="AA58" s="206" t="n"/>
      <c r="AB58" s="206" t="n"/>
      <c r="AC58" s="206" t="n"/>
      <c r="AD58" s="206" t="n"/>
      <c r="AE58" s="94" t="n"/>
    </row>
    <row r="59">
      <c r="B59" s="324" t="inlineStr">
        <is>
          <t>(최종) 선납+단품+결합 할인 반영 월 구독료 (V+)</t>
        </is>
      </c>
      <c r="C59" s="545">
        <f>+C57*1.1</f>
        <v/>
      </c>
      <c r="D59" s="343">
        <f>+C15*1.1-C30-C40-C26/C7-C50=C59</f>
        <v/>
      </c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$C$57</f>
        <v/>
      </c>
      <c r="O59" s="516">
        <f>N59-P59-Q59</f>
        <v/>
      </c>
      <c r="P59" s="500">
        <f>L59</f>
        <v/>
      </c>
      <c r="Q59" s="519">
        <f>M59</f>
        <v/>
      </c>
      <c r="R59" s="515" t="n"/>
      <c r="S59" s="573" t="n"/>
      <c r="T59" s="573" t="n"/>
      <c r="U59" s="516" t="n"/>
      <c r="V59" s="500" t="n"/>
      <c r="W59" s="519" t="n"/>
      <c r="X59" s="196" t="n"/>
      <c r="Y59" s="196" t="n"/>
      <c r="Z59" s="92" t="n"/>
      <c r="AA59" s="206" t="n"/>
      <c r="AB59" s="206" t="n"/>
      <c r="AC59" s="206" t="n"/>
      <c r="AD59" s="206" t="n"/>
      <c r="AE59" s="94" t="n"/>
    </row>
    <row r="60" ht="17.25" customHeight="1" s="497" thickBot="1">
      <c r="B60" s="322" t="inlineStr">
        <is>
          <t>(최종) 선납+단품+결합 할인 반영 총 구독료 (V+)</t>
        </is>
      </c>
      <c r="C60" s="544">
        <f>+C59*C7</f>
        <v/>
      </c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$C$57</f>
        <v/>
      </c>
      <c r="O60" s="516">
        <f>N60-P60-Q60</f>
        <v/>
      </c>
      <c r="P60" s="500">
        <f>L60</f>
        <v/>
      </c>
      <c r="Q60" s="519">
        <f>M60</f>
        <v/>
      </c>
      <c r="R60" s="515" t="n"/>
      <c r="S60" s="573" t="n"/>
      <c r="T60" s="573" t="n"/>
      <c r="U60" s="516" t="n"/>
      <c r="V60" s="500" t="n"/>
      <c r="W60" s="519" t="n"/>
      <c r="X60" s="196" t="n"/>
      <c r="Y60" s="196" t="n"/>
      <c r="Z60" s="92" t="n"/>
      <c r="AA60" s="206" t="n"/>
      <c r="AB60" s="206" t="n"/>
      <c r="AC60" s="206" t="n"/>
      <c r="AD60" s="206" t="n"/>
      <c r="AE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$C$57</f>
        <v/>
      </c>
      <c r="O61" s="516">
        <f>N61-P61-Q61</f>
        <v/>
      </c>
      <c r="P61" s="500">
        <f>L61</f>
        <v/>
      </c>
      <c r="Q61" s="519">
        <f>M61</f>
        <v/>
      </c>
      <c r="R61" s="515" t="n"/>
      <c r="S61" s="573" t="n"/>
      <c r="T61" s="573" t="n"/>
      <c r="U61" s="516" t="n"/>
      <c r="V61" s="500" t="n"/>
      <c r="W61" s="519" t="n"/>
      <c r="X61" s="196" t="n"/>
      <c r="Y61" s="196" t="n"/>
      <c r="Z61" s="92" t="n"/>
      <c r="AA61" s="206" t="n"/>
      <c r="AB61" s="206" t="n"/>
      <c r="AC61" s="206" t="n"/>
      <c r="AD61" s="206" t="n"/>
      <c r="AE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$C$57</f>
        <v/>
      </c>
      <c r="O62" s="516">
        <f>N62-P62-Q62</f>
        <v/>
      </c>
      <c r="P62" s="500">
        <f>L62</f>
        <v/>
      </c>
      <c r="Q62" s="519">
        <f>M62</f>
        <v/>
      </c>
      <c r="R62" s="515" t="n"/>
      <c r="S62" s="573" t="n"/>
      <c r="T62" s="573" t="n"/>
      <c r="U62" s="516" t="n"/>
      <c r="V62" s="500" t="n"/>
      <c r="W62" s="519" t="n"/>
      <c r="X62" s="196" t="n"/>
      <c r="Y62" s="196" t="n"/>
      <c r="Z62" s="92" t="n"/>
      <c r="AA62" s="206" t="n"/>
      <c r="AB62" s="206" t="n"/>
      <c r="AC62" s="206" t="n"/>
      <c r="AD62" s="206" t="n"/>
      <c r="AE62" s="94" t="n"/>
    </row>
    <row r="63">
      <c r="C63" s="505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$C$57</f>
        <v/>
      </c>
      <c r="O63" s="516">
        <f>N63-P63-Q63</f>
        <v/>
      </c>
      <c r="P63" s="500">
        <f>L63</f>
        <v/>
      </c>
      <c r="Q63" s="519">
        <f>M63</f>
        <v/>
      </c>
      <c r="R63" s="515" t="n"/>
      <c r="S63" s="573" t="n"/>
      <c r="T63" s="573" t="n"/>
      <c r="U63" s="516" t="n"/>
      <c r="V63" s="500" t="n"/>
      <c r="W63" s="519" t="n"/>
      <c r="X63" s="196" t="n"/>
      <c r="Y63" s="196" t="n"/>
      <c r="Z63" s="92" t="n"/>
      <c r="AA63" s="206" t="n"/>
      <c r="AB63" s="206" t="n"/>
      <c r="AC63" s="206" t="n"/>
      <c r="AD63" s="206" t="n"/>
      <c r="AE63" s="94" t="n"/>
    </row>
    <row r="64">
      <c r="B64" s="9" t="inlineStr">
        <is>
          <t>선납+단품+결합 할인 반영 순수 구독료 (V-)</t>
        </is>
      </c>
      <c r="C64" s="506">
        <f>C58-C11-C12</f>
        <v/>
      </c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$C$57</f>
        <v/>
      </c>
      <c r="O64" s="516">
        <f>N64-P64-Q64</f>
        <v/>
      </c>
      <c r="P64" s="500">
        <f>L64</f>
        <v/>
      </c>
      <c r="Q64" s="519">
        <f>M64</f>
        <v/>
      </c>
      <c r="R64" s="515" t="n"/>
      <c r="S64" s="573" t="n"/>
      <c r="T64" s="573" t="n"/>
      <c r="U64" s="516" t="n"/>
      <c r="V64" s="500" t="n"/>
      <c r="W64" s="519" t="n"/>
      <c r="X64" s="196" t="n"/>
      <c r="Y64" s="196" t="n"/>
      <c r="Z64" s="92" t="n"/>
      <c r="AA64" s="206" t="n"/>
      <c r="AB64" s="206" t="n"/>
      <c r="AC64" s="206" t="n"/>
      <c r="AD64" s="206" t="n"/>
      <c r="AE64" s="94" t="n"/>
    </row>
    <row r="65">
      <c r="B65" s="9" t="inlineStr">
        <is>
          <t>선납+단품+결합 할인 반영 순수 구독료 월할 (V-)</t>
        </is>
      </c>
      <c r="C65" s="506">
        <f>C64/C7</f>
        <v/>
      </c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$C$57</f>
        <v/>
      </c>
      <c r="O65" s="516">
        <f>N65-P65-Q65</f>
        <v/>
      </c>
      <c r="P65" s="500">
        <f>L65</f>
        <v/>
      </c>
      <c r="Q65" s="519">
        <f>M65</f>
        <v/>
      </c>
      <c r="R65" s="515" t="n"/>
      <c r="S65" s="573" t="n"/>
      <c r="T65" s="573" t="n"/>
      <c r="U65" s="516" t="n"/>
      <c r="V65" s="500" t="n"/>
      <c r="W65" s="519" t="n"/>
      <c r="X65" s="196" t="n"/>
      <c r="Y65" s="196" t="n"/>
      <c r="Z65" s="92" t="n"/>
      <c r="AA65" s="206" t="n"/>
      <c r="AB65" s="206" t="n"/>
      <c r="AC65" s="206" t="n"/>
      <c r="AD65" s="206" t="n"/>
      <c r="AE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$C$57</f>
        <v/>
      </c>
      <c r="O66" s="516">
        <f>N66-P66-Q66</f>
        <v/>
      </c>
      <c r="P66" s="500">
        <f>L66</f>
        <v/>
      </c>
      <c r="Q66" s="519">
        <f>M66</f>
        <v/>
      </c>
      <c r="R66" s="515" t="n"/>
      <c r="S66" s="573" t="n"/>
      <c r="T66" s="573" t="n"/>
      <c r="U66" s="516" t="n"/>
      <c r="V66" s="500" t="n"/>
      <c r="W66" s="519" t="n"/>
      <c r="X66" s="196" t="n"/>
      <c r="Y66" s="196" t="n"/>
      <c r="Z66" s="92" t="n"/>
      <c r="AA66" s="206" t="n"/>
      <c r="AB66" s="206" t="n"/>
      <c r="AC66" s="206" t="n"/>
      <c r="AD66" s="206" t="n"/>
      <c r="AE66" s="94" t="n"/>
    </row>
    <row r="67">
      <c r="C67" s="505">
        <f>(C15*1.1)*5%/1.1</f>
        <v/>
      </c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$C$57</f>
        <v/>
      </c>
      <c r="O67" s="516">
        <f>N67-P67-Q67</f>
        <v/>
      </c>
      <c r="P67" s="500">
        <f>L67</f>
        <v/>
      </c>
      <c r="Q67" s="519">
        <f>M67</f>
        <v/>
      </c>
      <c r="R67" s="515" t="n"/>
      <c r="S67" s="573" t="n"/>
      <c r="T67" s="573" t="n"/>
      <c r="U67" s="516" t="n"/>
      <c r="V67" s="500" t="n"/>
      <c r="W67" s="519" t="n"/>
      <c r="X67" s="196" t="n"/>
      <c r="Y67" s="196" t="n"/>
      <c r="Z67" s="92" t="n"/>
      <c r="AA67" s="206" t="n"/>
      <c r="AB67" s="206" t="n"/>
      <c r="AC67" s="206" t="n"/>
      <c r="AD67" s="206" t="n"/>
      <c r="AE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$C$57</f>
        <v/>
      </c>
      <c r="O68" s="516">
        <f>N68-P68-Q68</f>
        <v/>
      </c>
      <c r="P68" s="500">
        <f>L68</f>
        <v/>
      </c>
      <c r="Q68" s="519">
        <f>M68</f>
        <v/>
      </c>
      <c r="R68" s="515" t="n"/>
      <c r="S68" s="573" t="n"/>
      <c r="T68" s="573" t="n"/>
      <c r="U68" s="516" t="n"/>
      <c r="V68" s="500" t="n"/>
      <c r="W68" s="519" t="n"/>
      <c r="X68" s="196" t="n"/>
      <c r="Y68" s="196" t="n"/>
      <c r="Z68" s="92" t="n"/>
      <c r="AA68" s="206" t="n"/>
      <c r="AB68" s="206" t="n"/>
      <c r="AC68" s="206" t="n"/>
      <c r="AD68" s="206" t="n"/>
      <c r="AE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$C$57</f>
        <v/>
      </c>
      <c r="O69" s="516">
        <f>N69-P69-Q69</f>
        <v/>
      </c>
      <c r="P69" s="500">
        <f>L69</f>
        <v/>
      </c>
      <c r="Q69" s="519">
        <f>M69</f>
        <v/>
      </c>
      <c r="R69" s="515" t="n"/>
      <c r="S69" s="573" t="n"/>
      <c r="T69" s="573" t="n"/>
      <c r="U69" s="516" t="n"/>
      <c r="V69" s="500" t="n"/>
      <c r="W69" s="519" t="n"/>
      <c r="X69" s="196" t="n"/>
      <c r="Y69" s="196" t="n"/>
      <c r="Z69" s="92" t="n"/>
      <c r="AA69" s="206" t="n"/>
      <c r="AB69" s="206" t="n"/>
      <c r="AC69" s="206" t="n"/>
      <c r="AD69" s="206" t="n"/>
      <c r="AE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$C$57</f>
        <v/>
      </c>
      <c r="O70" s="516">
        <f>N70-P70-Q70</f>
        <v/>
      </c>
      <c r="P70" s="500">
        <f>L70</f>
        <v/>
      </c>
      <c r="Q70" s="519">
        <f>M70</f>
        <v/>
      </c>
      <c r="R70" s="515" t="n"/>
      <c r="S70" s="573" t="n"/>
      <c r="T70" s="573" t="n"/>
      <c r="U70" s="516" t="n"/>
      <c r="V70" s="500" t="n"/>
      <c r="W70" s="519" t="n"/>
      <c r="X70" s="196" t="n"/>
      <c r="Y70" s="196" t="n"/>
      <c r="Z70" s="92" t="n"/>
      <c r="AA70" s="206" t="n"/>
      <c r="AB70" s="206" t="n"/>
      <c r="AC70" s="206" t="n"/>
      <c r="AD70" s="206" t="n"/>
      <c r="AE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$C$57</f>
        <v/>
      </c>
      <c r="O71" s="516">
        <f>N71-P71-Q71</f>
        <v/>
      </c>
      <c r="P71" s="500">
        <f>L71</f>
        <v/>
      </c>
      <c r="Q71" s="519">
        <f>M71</f>
        <v/>
      </c>
      <c r="R71" s="515" t="n"/>
      <c r="S71" s="573" t="n"/>
      <c r="T71" s="573" t="n"/>
      <c r="U71" s="516" t="n"/>
      <c r="V71" s="500" t="n"/>
      <c r="W71" s="519" t="n"/>
      <c r="X71" s="196" t="n"/>
      <c r="Y71" s="196" t="n"/>
      <c r="Z71" s="92" t="n"/>
      <c r="AA71" s="206" t="n"/>
      <c r="AB71" s="206" t="n"/>
      <c r="AC71" s="206" t="n"/>
      <c r="AD71" s="206" t="n"/>
      <c r="AE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$C$57</f>
        <v/>
      </c>
      <c r="O72" s="516">
        <f>N72-P72-Q72</f>
        <v/>
      </c>
      <c r="P72" s="500">
        <f>L72</f>
        <v/>
      </c>
      <c r="Q72" s="519">
        <f>M72</f>
        <v/>
      </c>
      <c r="R72" s="515" t="n"/>
      <c r="S72" s="573" t="n"/>
      <c r="T72" s="573" t="n"/>
      <c r="U72" s="516" t="n"/>
      <c r="V72" s="500" t="n"/>
      <c r="W72" s="519" t="n"/>
      <c r="X72" s="196" t="n"/>
      <c r="Y72" s="196" t="n"/>
      <c r="Z72" s="92" t="n"/>
      <c r="AA72" s="206" t="n"/>
      <c r="AB72" s="206" t="n"/>
      <c r="AC72" s="206" t="n"/>
      <c r="AD72" s="206" t="n"/>
      <c r="AE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$C$57</f>
        <v/>
      </c>
      <c r="O73" s="516">
        <f>N73-P73-Q73</f>
        <v/>
      </c>
      <c r="P73" s="500">
        <f>L73</f>
        <v/>
      </c>
      <c r="Q73" s="519">
        <f>M73</f>
        <v/>
      </c>
      <c r="R73" s="515" t="n"/>
      <c r="S73" s="573" t="n"/>
      <c r="T73" s="573" t="n"/>
      <c r="U73" s="516" t="n"/>
      <c r="V73" s="500" t="n"/>
      <c r="W73" s="519" t="n"/>
      <c r="X73" s="196" t="n"/>
      <c r="Y73" s="196" t="n"/>
      <c r="Z73" s="92" t="n"/>
      <c r="AA73" s="206" t="n"/>
      <c r="AB73" s="206" t="n"/>
      <c r="AC73" s="206" t="n"/>
      <c r="AD73" s="206" t="n"/>
      <c r="AE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$C$57</f>
        <v/>
      </c>
      <c r="O74" s="516">
        <f>N74-P74-Q74</f>
        <v/>
      </c>
      <c r="P74" s="500">
        <f>L74</f>
        <v/>
      </c>
      <c r="Q74" s="519">
        <f>M74</f>
        <v/>
      </c>
      <c r="R74" s="515" t="n"/>
      <c r="S74" s="573" t="n"/>
      <c r="T74" s="573" t="n"/>
      <c r="U74" s="516" t="n"/>
      <c r="V74" s="500" t="n"/>
      <c r="W74" s="519" t="n"/>
      <c r="X74" s="196" t="n"/>
      <c r="Y74" s="196" t="n"/>
      <c r="Z74" s="92" t="n"/>
      <c r="AA74" s="206" t="n"/>
      <c r="AB74" s="206" t="n"/>
      <c r="AC74" s="206" t="n"/>
      <c r="AD74" s="206" t="n"/>
      <c r="AE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$C$57</f>
        <v/>
      </c>
      <c r="O75" s="516">
        <f>N75-P75-Q75</f>
        <v/>
      </c>
      <c r="P75" s="500">
        <f>L75</f>
        <v/>
      </c>
      <c r="Q75" s="519">
        <f>M75</f>
        <v/>
      </c>
      <c r="R75" s="515" t="n"/>
      <c r="S75" s="573" t="n"/>
      <c r="T75" s="573" t="n"/>
      <c r="U75" s="516" t="n"/>
      <c r="V75" s="500" t="n"/>
      <c r="W75" s="519" t="n"/>
      <c r="X75" s="196" t="n"/>
      <c r="Y75" s="196" t="n"/>
      <c r="Z75" s="92" t="n"/>
      <c r="AA75" s="206" t="n"/>
      <c r="AB75" s="206" t="n"/>
      <c r="AC75" s="206" t="n"/>
      <c r="AD75" s="206" t="n"/>
      <c r="AE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$C$57</f>
        <v/>
      </c>
      <c r="O76" s="516">
        <f>N76-P76-Q76</f>
        <v/>
      </c>
      <c r="P76" s="500">
        <f>L76</f>
        <v/>
      </c>
      <c r="Q76" s="519">
        <f>M76</f>
        <v/>
      </c>
      <c r="R76" s="515" t="n"/>
      <c r="S76" s="573" t="n"/>
      <c r="T76" s="573" t="n"/>
      <c r="U76" s="516" t="n"/>
      <c r="V76" s="500" t="n"/>
      <c r="W76" s="519" t="n"/>
      <c r="X76" s="196" t="n"/>
      <c r="Y76" s="196" t="n"/>
      <c r="Z76" s="92" t="n"/>
      <c r="AA76" s="206" t="n"/>
      <c r="AB76" s="206" t="n"/>
      <c r="AC76" s="206" t="n"/>
      <c r="AD76" s="206" t="n"/>
      <c r="AE76" s="94" t="n"/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46">
        <f>$C$57-N5</f>
        <v/>
      </c>
      <c r="O77" s="547">
        <f>N77-P77-Q77</f>
        <v/>
      </c>
      <c r="P77" s="550">
        <f>L77</f>
        <v/>
      </c>
      <c r="Q77" s="551">
        <f>M77</f>
        <v/>
      </c>
      <c r="R77" s="581" t="n"/>
      <c r="S77" s="590" t="n"/>
      <c r="T77" s="590" t="n"/>
      <c r="U77" s="588" t="n"/>
      <c r="V77" s="589" t="n"/>
      <c r="W77" s="642" t="n"/>
      <c r="X77" s="12" t="n"/>
      <c r="Y77" s="12" t="n"/>
      <c r="Z77" s="59" t="n"/>
      <c r="AA77" s="95" t="n"/>
      <c r="AB77" s="95" t="n"/>
      <c r="AC77" s="95" t="n"/>
      <c r="AD77" s="95" t="n"/>
      <c r="AE77" s="97" t="n"/>
    </row>
    <row r="78">
      <c r="O78" s="500" t="n"/>
    </row>
  </sheetData>
  <mergeCells count="3">
    <mergeCell ref="D47:D50"/>
    <mergeCell ref="D27:D30"/>
    <mergeCell ref="D37:D40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tabColor rgb="00A6A6A6"/>
    <outlinePr summaryBelow="1" summaryRight="1"/>
    <pageSetUpPr/>
  </sheetPr>
  <dimension ref="A1:AN89"/>
  <sheetViews>
    <sheetView showGridLines="0" topLeftCell="A10" zoomScale="70" zoomScaleNormal="70" workbookViewId="0">
      <selection activeCell="E25" sqref="E25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0.875" bestFit="1" customWidth="1" style="497" min="4" max="4"/>
    <col width="26.5" bestFit="1" customWidth="1" style="497" min="5" max="5"/>
    <col width="9.1875" bestFit="1" customWidth="1" style="185" min="6" max="6"/>
    <col width="11.125" bestFit="1" customWidth="1" style="185" min="7" max="9"/>
    <col width="11.875" customWidth="1" style="497" min="10" max="17"/>
    <col width="12.1875" customWidth="1" style="497" min="18" max="19"/>
    <col width="11.875" customWidth="1" style="497" min="20" max="25"/>
    <col width="13" customWidth="1" style="497" min="26" max="26"/>
    <col width="7.1875" bestFit="1" customWidth="1" style="497" min="27" max="27"/>
    <col width="17.375" customWidth="1" style="497" min="28" max="28"/>
    <col width="26.875" customWidth="1" style="497" min="29" max="29"/>
    <col width="18.125" customWidth="1" style="497" min="30" max="30"/>
    <col width="7.375" customWidth="1" style="497" min="31" max="31"/>
    <col width="10.375" customWidth="1" style="497" min="32" max="32"/>
    <col width="12" customWidth="1" style="497" min="33" max="33"/>
    <col width="12.125" customWidth="1" style="497" min="34" max="34"/>
    <col width="14.125" customWidth="1" style="497" min="35" max="35"/>
    <col width="10.1875" bestFit="1" customWidth="1" style="497" min="37" max="37"/>
  </cols>
  <sheetData>
    <row r="1">
      <c r="O1" s="500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  <c r="V2" s="500">
        <f>SUM(V5:V77)</f>
        <v/>
      </c>
      <c r="W2" s="500">
        <f>SUM(W5:W77)</f>
        <v/>
      </c>
      <c r="X2" s="500">
        <f>SUM(X5:X77)</f>
        <v/>
      </c>
      <c r="Y2" s="500">
        <f>SUM(Y5:Y77)</f>
        <v/>
      </c>
      <c r="Z2" s="500" t="n"/>
      <c r="AA2" s="500" t="n"/>
      <c r="AB2" s="500" t="n"/>
      <c r="AC2" s="500" t="n"/>
      <c r="AF2" s="206" t="inlineStr">
        <is>
          <t>* 위약금은 비과세로 총구독료(v+)기준으로 계산</t>
        </is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75" t="inlineStr">
        <is>
          <t>선납+선납할인</t>
        </is>
      </c>
      <c r="O3" s="76" t="n"/>
      <c r="P3" s="76" t="n"/>
      <c r="Q3" s="137" t="n"/>
      <c r="R3" s="501" t="inlineStr">
        <is>
          <t>(기존) 선납+선납할인+다품목 할인</t>
        </is>
      </c>
      <c r="S3" s="502" t="n"/>
      <c r="T3" s="502" t="n"/>
      <c r="U3" s="503" t="n"/>
      <c r="V3" s="501" t="inlineStr">
        <is>
          <t>(변경) 선납+선납할인 (유지), 다품목 할인 원복</t>
        </is>
      </c>
      <c r="W3" s="502" t="n"/>
      <c r="X3" s="502" t="n"/>
      <c r="Y3" s="503" t="n"/>
      <c r="Z3" s="502" t="inlineStr">
        <is>
          <t>다품목 할인 원복 시(v-)</t>
        </is>
      </c>
      <c r="AA3" s="502" t="n"/>
      <c r="AB3" s="690" t="n"/>
      <c r="AC3" s="502" t="n"/>
      <c r="AD3" s="75" t="inlineStr">
        <is>
          <t>다품목 할인 원복 후 중도해지 시 (v-)</t>
        </is>
      </c>
      <c r="AE3" s="70" t="n"/>
      <c r="AF3" s="70" t="n"/>
      <c r="AG3" s="70" t="n"/>
      <c r="AH3" s="70" t="n"/>
      <c r="AI3" s="71" t="n"/>
      <c r="AK3" s="273" t="inlineStr">
        <is>
          <t>사용분 청구 (v-)</t>
        </is>
      </c>
      <c r="AL3" s="274" t="n"/>
      <c r="AM3" s="274" t="n"/>
      <c r="AN3" s="124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9" t="inlineStr">
        <is>
          <t>구독료청구</t>
        </is>
      </c>
      <c r="W4" s="26" t="inlineStr">
        <is>
          <t>제품</t>
        </is>
      </c>
      <c r="X4" s="15" t="inlineStr">
        <is>
          <t>케어</t>
        </is>
      </c>
      <c r="Y4" s="27" t="inlineStr">
        <is>
          <t>보증</t>
        </is>
      </c>
      <c r="Z4" s="15" t="inlineStr">
        <is>
          <t>결합해지일</t>
        </is>
      </c>
      <c r="AA4" s="26" t="inlineStr">
        <is>
          <t>경과일</t>
        </is>
      </c>
      <c r="AB4" s="26" t="inlineStr">
        <is>
          <t>사용분 청구</t>
        </is>
      </c>
      <c r="AC4" s="27" t="inlineStr">
        <is>
          <t>할인금 회수</t>
        </is>
      </c>
      <c r="AD4" s="26" t="inlineStr">
        <is>
          <t>제품판정일</t>
        </is>
      </c>
      <c r="AE4" s="9" t="inlineStr">
        <is>
          <t>경과일</t>
        </is>
      </c>
      <c r="AF4" s="26" t="inlineStr">
        <is>
          <t>위약금</t>
        </is>
      </c>
      <c r="AG4" s="15" t="inlineStr">
        <is>
          <t>사용분 청구</t>
        </is>
      </c>
      <c r="AH4" s="15" t="inlineStr">
        <is>
          <t>할인금 회수</t>
        </is>
      </c>
      <c r="AI4" s="27" t="inlineStr">
        <is>
          <t>선납잔액 환불</t>
        </is>
      </c>
      <c r="AK4" s="130" t="n"/>
      <c r="AL4" s="9" t="inlineStr">
        <is>
          <t>제품</t>
        </is>
      </c>
      <c r="AM4" s="9" t="inlineStr">
        <is>
          <t>케어</t>
        </is>
      </c>
      <c r="AN4" s="9" t="inlineStr">
        <is>
          <t>보증</t>
        </is>
      </c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>
        <f>EOMONTH(G5,0)</f>
        <v/>
      </c>
      <c r="I5" s="103">
        <f>EOMONTH(G5,0)+15</f>
        <v/>
      </c>
      <c r="J5" s="515">
        <f>ROUNDDOWN($C$15*(H5-G5+1)/DAY(H5),-2)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ROUNDDOWN($C$31*(H5-G5+1)/DAY(H5),-2)</f>
        <v/>
      </c>
      <c r="O5" s="516">
        <f>N5-P5-Q5</f>
        <v/>
      </c>
      <c r="P5" s="500">
        <f>L5</f>
        <v/>
      </c>
      <c r="Q5" s="519">
        <f>M5</f>
        <v/>
      </c>
      <c r="R5" s="515">
        <f>ROUNDDOWN($C$42*(H5-G5+1)/DAY(H5),-2)</f>
        <v/>
      </c>
      <c r="S5" s="516">
        <f>R5-T5-U5</f>
        <v/>
      </c>
      <c r="T5" s="517">
        <f>L5</f>
        <v/>
      </c>
      <c r="U5" s="518">
        <f>M5</f>
        <v/>
      </c>
      <c r="V5" s="515" t="n"/>
      <c r="W5" s="516" t="n"/>
      <c r="X5" s="517" t="n"/>
      <c r="Y5" s="518" t="n"/>
      <c r="Z5" s="517" t="n"/>
      <c r="AA5" s="646">
        <f>H5-G5+1</f>
        <v/>
      </c>
      <c r="AB5" s="646" t="n"/>
      <c r="AC5" s="518" t="n"/>
      <c r="AD5" s="55" t="n"/>
      <c r="AE5" s="54">
        <f>H5-G5+1</f>
        <v/>
      </c>
      <c r="AF5" s="55" t="n"/>
      <c r="AG5" s="626" t="n"/>
      <c r="AH5" s="627" t="n"/>
      <c r="AI5" s="91" t="n"/>
      <c r="AK5" s="527">
        <f>AB24</f>
        <v/>
      </c>
      <c r="AL5" s="527">
        <f>AK5-AM5-AN5</f>
        <v/>
      </c>
      <c r="AM5" s="2">
        <f>C11/C7</f>
        <v/>
      </c>
      <c r="AN5" s="2">
        <f>C12/C7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515">
        <f>$C$42</f>
        <v/>
      </c>
      <c r="S6" s="516">
        <f>R6-T6-U6</f>
        <v/>
      </c>
      <c r="T6" s="517">
        <f>L6</f>
        <v/>
      </c>
      <c r="U6" s="518">
        <f>M6</f>
        <v/>
      </c>
      <c r="V6" s="515" t="n"/>
      <c r="W6" s="516" t="n"/>
      <c r="X6" s="517" t="n"/>
      <c r="Y6" s="518" t="n"/>
      <c r="Z6" s="517" t="n"/>
      <c r="AA6" s="646">
        <f>H6-G6+1</f>
        <v/>
      </c>
      <c r="AB6" s="646" t="n"/>
      <c r="AC6" s="518" t="n"/>
      <c r="AD6" s="92" t="n"/>
      <c r="AE6" s="196">
        <f>H6-G6+1</f>
        <v/>
      </c>
      <c r="AF6" s="92" t="n"/>
      <c r="AG6" s="206" t="n"/>
      <c r="AH6" s="206" t="n"/>
      <c r="AI6" s="94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515">
        <f>$C$42</f>
        <v/>
      </c>
      <c r="S7" s="516">
        <f>R7-T7-U7</f>
        <v/>
      </c>
      <c r="T7" s="517">
        <f>L7</f>
        <v/>
      </c>
      <c r="U7" s="518">
        <f>M7</f>
        <v/>
      </c>
      <c r="V7" s="515" t="n"/>
      <c r="W7" s="516" t="n"/>
      <c r="X7" s="517" t="n"/>
      <c r="Y7" s="518" t="n"/>
      <c r="Z7" s="517" t="n"/>
      <c r="AA7" s="646">
        <f>H7-G7+1</f>
        <v/>
      </c>
      <c r="AB7" s="646" t="n"/>
      <c r="AC7" s="518" t="n"/>
      <c r="AD7" s="92" t="n"/>
      <c r="AE7" s="196">
        <f>H7-G7+1</f>
        <v/>
      </c>
      <c r="AF7" s="92" t="n"/>
      <c r="AG7" s="206" t="n"/>
      <c r="AH7" s="206" t="n"/>
      <c r="AI7" s="94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515">
        <f>$C$42</f>
        <v/>
      </c>
      <c r="S8" s="516">
        <f>R8-T8-U8</f>
        <v/>
      </c>
      <c r="T8" s="517">
        <f>L8</f>
        <v/>
      </c>
      <c r="U8" s="518">
        <f>M8</f>
        <v/>
      </c>
      <c r="V8" s="515" t="n"/>
      <c r="W8" s="516" t="n"/>
      <c r="X8" s="517" t="n"/>
      <c r="Y8" s="518" t="n"/>
      <c r="Z8" s="517" t="n"/>
      <c r="AA8" s="646">
        <f>H8-G8+1</f>
        <v/>
      </c>
      <c r="AB8" s="646" t="n"/>
      <c r="AC8" s="518" t="n"/>
      <c r="AD8" s="92" t="n"/>
      <c r="AE8" s="196">
        <f>H8-G8+1</f>
        <v/>
      </c>
      <c r="AF8" s="92" t="n"/>
      <c r="AG8" s="206" t="n"/>
      <c r="AH8" s="206" t="n"/>
      <c r="AI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515">
        <f>$C$42</f>
        <v/>
      </c>
      <c r="S9" s="516">
        <f>R9-T9-U9</f>
        <v/>
      </c>
      <c r="T9" s="517">
        <f>L9</f>
        <v/>
      </c>
      <c r="U9" s="518">
        <f>M9</f>
        <v/>
      </c>
      <c r="V9" s="515" t="n"/>
      <c r="W9" s="516" t="n"/>
      <c r="X9" s="517" t="n"/>
      <c r="Y9" s="518" t="n"/>
      <c r="Z9" s="517" t="n"/>
      <c r="AA9" s="646">
        <f>H9-G9+1</f>
        <v/>
      </c>
      <c r="AB9" s="646" t="n"/>
      <c r="AC9" s="518" t="n"/>
      <c r="AD9" s="92" t="n"/>
      <c r="AE9" s="196">
        <f>H9-G9+1</f>
        <v/>
      </c>
      <c r="AF9" s="92" t="n"/>
      <c r="AG9" s="206" t="n"/>
      <c r="AH9" s="206" t="n"/>
      <c r="AI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$C$42</f>
        <v/>
      </c>
      <c r="S10" s="516">
        <f>R10-T10-U10</f>
        <v/>
      </c>
      <c r="T10" s="517">
        <f>L10</f>
        <v/>
      </c>
      <c r="U10" s="518">
        <f>M10</f>
        <v/>
      </c>
      <c r="V10" s="515" t="n"/>
      <c r="W10" s="516" t="n"/>
      <c r="X10" s="517" t="n"/>
      <c r="Y10" s="518" t="n"/>
      <c r="Z10" s="517" t="n"/>
      <c r="AA10" s="646">
        <f>H10-G10+1</f>
        <v/>
      </c>
      <c r="AB10" s="646" t="n"/>
      <c r="AC10" s="518" t="n"/>
      <c r="AD10" s="92" t="n"/>
      <c r="AE10" s="196">
        <f>H10-G10+1</f>
        <v/>
      </c>
      <c r="AF10" s="92" t="n"/>
      <c r="AG10" s="206" t="n"/>
      <c r="AH10" s="206" t="n"/>
      <c r="AI10" s="94" t="n"/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$C$42</f>
        <v/>
      </c>
      <c r="S11" s="516">
        <f>R11-T11-U11</f>
        <v/>
      </c>
      <c r="T11" s="517">
        <f>L11</f>
        <v/>
      </c>
      <c r="U11" s="518">
        <f>M11</f>
        <v/>
      </c>
      <c r="V11" s="515" t="n"/>
      <c r="W11" s="516" t="n"/>
      <c r="X11" s="517" t="n"/>
      <c r="Y11" s="518" t="n"/>
      <c r="Z11" s="517" t="n"/>
      <c r="AA11" s="646">
        <f>H11-G11+1</f>
        <v/>
      </c>
      <c r="AB11" s="646" t="n"/>
      <c r="AC11" s="518" t="n"/>
      <c r="AD11" s="92" t="n"/>
      <c r="AE11" s="196">
        <f>H11-G11+1</f>
        <v/>
      </c>
      <c r="AF11" s="92" t="n"/>
      <c r="AG11" s="206" t="n"/>
      <c r="AH11" s="206" t="n"/>
      <c r="AI11" s="94" t="n"/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$C$42</f>
        <v/>
      </c>
      <c r="S12" s="516">
        <f>R12-T12-U12</f>
        <v/>
      </c>
      <c r="T12" s="517">
        <f>L12</f>
        <v/>
      </c>
      <c r="U12" s="518">
        <f>M12</f>
        <v/>
      </c>
      <c r="V12" s="515" t="n"/>
      <c r="W12" s="516" t="n"/>
      <c r="X12" s="517" t="n"/>
      <c r="Y12" s="518" t="n"/>
      <c r="Z12" s="517" t="n"/>
      <c r="AA12" s="646">
        <f>H12-G12+1</f>
        <v/>
      </c>
      <c r="AB12" s="646" t="n"/>
      <c r="AC12" s="518" t="n"/>
      <c r="AD12" s="92" t="n"/>
      <c r="AE12" s="196">
        <f>H12-G12+1</f>
        <v/>
      </c>
      <c r="AF12" s="92" t="n"/>
      <c r="AG12" s="206" t="n"/>
      <c r="AH12" s="206" t="n"/>
      <c r="AI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$C$42</f>
        <v/>
      </c>
      <c r="S13" s="516">
        <f>R13-T13-U13</f>
        <v/>
      </c>
      <c r="T13" s="517">
        <f>L13</f>
        <v/>
      </c>
      <c r="U13" s="518">
        <f>M13</f>
        <v/>
      </c>
      <c r="V13" s="515" t="n"/>
      <c r="W13" s="516" t="n"/>
      <c r="X13" s="517" t="n"/>
      <c r="Y13" s="518" t="n"/>
      <c r="Z13" s="517" t="n"/>
      <c r="AA13" s="646">
        <f>H13-G13+1</f>
        <v/>
      </c>
      <c r="AB13" s="646" t="n"/>
      <c r="AC13" s="518" t="n"/>
      <c r="AD13" s="92" t="n"/>
      <c r="AE13" s="196">
        <f>H13-G13+1</f>
        <v/>
      </c>
      <c r="AF13" s="92" t="n"/>
      <c r="AG13" s="206" t="n"/>
      <c r="AH13" s="206" t="n"/>
      <c r="AI13" s="94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$C$42</f>
        <v/>
      </c>
      <c r="S14" s="516">
        <f>R14-T14-U14</f>
        <v/>
      </c>
      <c r="T14" s="517">
        <f>L14</f>
        <v/>
      </c>
      <c r="U14" s="518">
        <f>M14</f>
        <v/>
      </c>
      <c r="V14" s="515" t="n"/>
      <c r="W14" s="516" t="n"/>
      <c r="X14" s="517" t="n"/>
      <c r="Y14" s="518" t="n"/>
      <c r="Z14" s="517" t="n"/>
      <c r="AA14" s="646">
        <f>H14-G14+1</f>
        <v/>
      </c>
      <c r="AB14" s="646" t="n"/>
      <c r="AC14" s="518" t="n"/>
      <c r="AD14" s="92" t="n"/>
      <c r="AE14" s="196">
        <f>H14-G14+1</f>
        <v/>
      </c>
      <c r="AF14" s="92" t="n"/>
      <c r="AG14" s="206" t="n"/>
      <c r="AH14" s="206" t="n"/>
      <c r="AI14" s="94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$C$42</f>
        <v/>
      </c>
      <c r="S15" s="516">
        <f>R15-T15-U15</f>
        <v/>
      </c>
      <c r="T15" s="517">
        <f>L15</f>
        <v/>
      </c>
      <c r="U15" s="518">
        <f>M15</f>
        <v/>
      </c>
      <c r="V15" s="515" t="n"/>
      <c r="W15" s="516" t="n"/>
      <c r="X15" s="517" t="n"/>
      <c r="Y15" s="518" t="n"/>
      <c r="Z15" s="517" t="n"/>
      <c r="AA15" s="646">
        <f>H15-G15+1</f>
        <v/>
      </c>
      <c r="AB15" s="646" t="n"/>
      <c r="AC15" s="518" t="n"/>
      <c r="AD15" s="92" t="n"/>
      <c r="AE15" s="196">
        <f>H15-G15+1</f>
        <v/>
      </c>
      <c r="AF15" s="92" t="n"/>
      <c r="AG15" s="206" t="n"/>
      <c r="AH15" s="206" t="n"/>
      <c r="AI15" s="94" t="n"/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$C$42</f>
        <v/>
      </c>
      <c r="S16" s="516">
        <f>R16-T16-U16</f>
        <v/>
      </c>
      <c r="T16" s="517">
        <f>L16</f>
        <v/>
      </c>
      <c r="U16" s="518">
        <f>M16</f>
        <v/>
      </c>
      <c r="V16" s="515" t="n"/>
      <c r="W16" s="516" t="n"/>
      <c r="X16" s="517" t="n"/>
      <c r="Y16" s="518" t="n"/>
      <c r="Z16" s="517" t="n"/>
      <c r="AA16" s="646">
        <f>H16-G16+1</f>
        <v/>
      </c>
      <c r="AB16" s="646" t="n"/>
      <c r="AC16" s="518" t="n"/>
      <c r="AD16" s="92" t="n"/>
      <c r="AE16" s="196">
        <f>H16-G16+1</f>
        <v/>
      </c>
      <c r="AF16" s="92" t="n"/>
      <c r="AG16" s="206" t="n"/>
      <c r="AH16" s="206" t="n"/>
      <c r="AI16" s="94" t="n"/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$C$42</f>
        <v/>
      </c>
      <c r="S17" s="516">
        <f>R17-T17-U17</f>
        <v/>
      </c>
      <c r="T17" s="517">
        <f>L17</f>
        <v/>
      </c>
      <c r="U17" s="518">
        <f>M17</f>
        <v/>
      </c>
      <c r="V17" s="515" t="n"/>
      <c r="W17" s="516" t="n"/>
      <c r="X17" s="517" t="n"/>
      <c r="Y17" s="518" t="n"/>
      <c r="Z17" s="517" t="n"/>
      <c r="AA17" s="646">
        <f>H17-G17+1</f>
        <v/>
      </c>
      <c r="AB17" s="646" t="n"/>
      <c r="AC17" s="518" t="n"/>
      <c r="AD17" s="92" t="n"/>
      <c r="AE17" s="196">
        <f>H17-G17+1</f>
        <v/>
      </c>
      <c r="AF17" s="92" t="n"/>
      <c r="AG17" s="206" t="n"/>
      <c r="AH17" s="206" t="n"/>
      <c r="AI17" s="94" t="n"/>
    </row>
    <row r="18">
      <c r="B18" s="495" t="n"/>
      <c r="C18" s="697" t="n"/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$C$42</f>
        <v/>
      </c>
      <c r="S18" s="516">
        <f>R18-T18-U18</f>
        <v/>
      </c>
      <c r="T18" s="517">
        <f>L18</f>
        <v/>
      </c>
      <c r="U18" s="518">
        <f>M18</f>
        <v/>
      </c>
      <c r="V18" s="515" t="n"/>
      <c r="W18" s="516" t="n"/>
      <c r="X18" s="517" t="n"/>
      <c r="Y18" s="518" t="n"/>
      <c r="Z18" s="517" t="n"/>
      <c r="AA18" s="646">
        <f>H18-G18+1</f>
        <v/>
      </c>
      <c r="AB18" s="646" t="n"/>
      <c r="AC18" s="518" t="n"/>
      <c r="AD18" s="92" t="n"/>
      <c r="AE18" s="196">
        <f>H18-G18+1</f>
        <v/>
      </c>
      <c r="AF18" s="92" t="n"/>
      <c r="AG18" s="206" t="n"/>
      <c r="AH18" s="206" t="n"/>
      <c r="AI18" s="94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$C$42</f>
        <v/>
      </c>
      <c r="S19" s="516">
        <f>R19-T19-U19</f>
        <v/>
      </c>
      <c r="T19" s="517">
        <f>L19</f>
        <v/>
      </c>
      <c r="U19" s="518">
        <f>M19</f>
        <v/>
      </c>
      <c r="V19" s="515" t="n"/>
      <c r="W19" s="516" t="n"/>
      <c r="X19" s="517" t="n"/>
      <c r="Y19" s="518" t="n"/>
      <c r="Z19" s="517" t="n"/>
      <c r="AA19" s="646">
        <f>H19-G19+1</f>
        <v/>
      </c>
      <c r="AB19" s="646" t="n"/>
      <c r="AC19" s="518" t="n"/>
      <c r="AD19" s="92" t="n"/>
      <c r="AE19" s="196">
        <f>H19-G19+1</f>
        <v/>
      </c>
      <c r="AF19" s="92" t="n"/>
      <c r="AG19" s="206" t="n"/>
      <c r="AH19" s="206" t="n"/>
      <c r="AI19" s="94" t="n"/>
    </row>
    <row r="20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L20</f>
        <v/>
      </c>
      <c r="Q20" s="519">
        <f>M20</f>
        <v/>
      </c>
      <c r="R20" s="515">
        <f>$C$42</f>
        <v/>
      </c>
      <c r="S20" s="516">
        <f>R20-T20-U20</f>
        <v/>
      </c>
      <c r="T20" s="517">
        <f>L20</f>
        <v/>
      </c>
      <c r="U20" s="518">
        <f>M20</f>
        <v/>
      </c>
      <c r="V20" s="515" t="n"/>
      <c r="W20" s="516" t="n"/>
      <c r="X20" s="517" t="n"/>
      <c r="Y20" s="518" t="n"/>
      <c r="Z20" s="517" t="n"/>
      <c r="AA20" s="646">
        <f>H20-G20+1</f>
        <v/>
      </c>
      <c r="AB20" s="646" t="n"/>
      <c r="AC20" s="518" t="n"/>
      <c r="AD20" s="92" t="n"/>
      <c r="AE20" s="196">
        <f>H20-G20+1</f>
        <v/>
      </c>
      <c r="AF20" s="92" t="n"/>
      <c r="AG20" s="206" t="n"/>
      <c r="AH20" s="206" t="n"/>
      <c r="AI20" s="94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L21</f>
        <v/>
      </c>
      <c r="Q21" s="519">
        <f>M21</f>
        <v/>
      </c>
      <c r="R21" s="515">
        <f>$C$42</f>
        <v/>
      </c>
      <c r="S21" s="516">
        <f>R21-T21-U21</f>
        <v/>
      </c>
      <c r="T21" s="517">
        <f>L21</f>
        <v/>
      </c>
      <c r="U21" s="518">
        <f>M21</f>
        <v/>
      </c>
      <c r="V21" s="515" t="n"/>
      <c r="W21" s="516" t="n"/>
      <c r="X21" s="517" t="n"/>
      <c r="Y21" s="518" t="n"/>
      <c r="Z21" s="517" t="n"/>
      <c r="AA21" s="646">
        <f>H21-G21+1</f>
        <v/>
      </c>
      <c r="AB21" s="646" t="n"/>
      <c r="AC21" s="518" t="n"/>
      <c r="AD21" s="92" t="n"/>
      <c r="AE21" s="196">
        <f>H21-G21+1</f>
        <v/>
      </c>
      <c r="AF21" s="92" t="n"/>
      <c r="AG21" s="206" t="n"/>
      <c r="AH21" s="206" t="n"/>
      <c r="AI21" s="94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L22</f>
        <v/>
      </c>
      <c r="Q22" s="519">
        <f>M22</f>
        <v/>
      </c>
      <c r="R22" s="515">
        <f>$C$42</f>
        <v/>
      </c>
      <c r="S22" s="516">
        <f>R22-T22-U22</f>
        <v/>
      </c>
      <c r="T22" s="517">
        <f>L22</f>
        <v/>
      </c>
      <c r="U22" s="518">
        <f>M22</f>
        <v/>
      </c>
      <c r="V22" s="515" t="n"/>
      <c r="W22" s="516" t="n"/>
      <c r="X22" s="517" t="n"/>
      <c r="Y22" s="518" t="n"/>
      <c r="Z22" s="517" t="n"/>
      <c r="AA22" s="646">
        <f>H22-G22+1</f>
        <v/>
      </c>
      <c r="AB22" s="646" t="n"/>
      <c r="AC22" s="518" t="n"/>
      <c r="AD22" s="92" t="n"/>
      <c r="AE22" s="196">
        <f>H22-G22+1</f>
        <v/>
      </c>
      <c r="AF22" s="92" t="n"/>
      <c r="AG22" s="206" t="n"/>
      <c r="AH22" s="206" t="n"/>
      <c r="AI22" s="94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L23</f>
        <v/>
      </c>
      <c r="Q23" s="519">
        <f>M23</f>
        <v/>
      </c>
      <c r="R23" s="515">
        <f>$C$42</f>
        <v/>
      </c>
      <c r="S23" s="516">
        <f>R23-T23-U23</f>
        <v/>
      </c>
      <c r="T23" s="517">
        <f>L23</f>
        <v/>
      </c>
      <c r="U23" s="518">
        <f>M23</f>
        <v/>
      </c>
      <c r="V23" s="742" t="n"/>
      <c r="W23" s="516" t="n"/>
      <c r="X23" s="517" t="n"/>
      <c r="Y23" s="518" t="n"/>
      <c r="Z23" s="517" t="n"/>
      <c r="AA23" s="646">
        <f>H23-G23+1</f>
        <v/>
      </c>
      <c r="AB23" s="646" t="n"/>
      <c r="AC23" s="518" t="n"/>
      <c r="AD23" s="92" t="n"/>
      <c r="AE23" s="196">
        <f>H23-G23+1</f>
        <v/>
      </c>
      <c r="AG23" s="206" t="n"/>
      <c r="AH23" s="206" t="n"/>
      <c r="AI23" s="94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E24" s="202" t="inlineStr">
        <is>
          <t>* 할인 원복상황 발생</t>
        </is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L24</f>
        <v/>
      </c>
      <c r="Q24" s="635">
        <f>M24</f>
        <v/>
      </c>
      <c r="R24" s="630">
        <f>$C$42</f>
        <v/>
      </c>
      <c r="S24" s="631">
        <f>R24-T24-U24</f>
        <v/>
      </c>
      <c r="T24" s="632">
        <f>L24</f>
        <v/>
      </c>
      <c r="U24" s="633">
        <f>M24</f>
        <v/>
      </c>
      <c r="V24" s="713" t="inlineStr">
        <is>
          <t>* 구독료 원복은 21회차 구독료 금액부터 적용</t>
        </is>
      </c>
      <c r="W24" s="631" t="n"/>
      <c r="X24" s="632" t="n"/>
      <c r="Y24" s="633" t="n"/>
      <c r="Z24" s="99" t="n">
        <v>46494</v>
      </c>
      <c r="AA24" s="714" t="n">
        <v>17</v>
      </c>
      <c r="AB24" s="647">
        <f>R24</f>
        <v/>
      </c>
      <c r="AC24" s="715" t="n">
        <v>0</v>
      </c>
      <c r="AD24" s="195" t="n"/>
      <c r="AE24" s="196">
        <f>H24-G24+1</f>
        <v/>
      </c>
      <c r="AF24" s="646" t="n"/>
      <c r="AG24" s="517" t="n"/>
      <c r="AH24" s="517" t="n"/>
      <c r="AI24" s="699" t="n"/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D25" s="206">
        <f>C24*C7=C25</f>
        <v/>
      </c>
      <c r="E25" s="202" t="n"/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743" t="inlineStr">
        <is>
          <t>* 차감성 할인 혜택 반영하여 20회차 구독료 금액 산출</t>
        </is>
      </c>
      <c r="S25" s="516" t="n"/>
      <c r="T25" s="517" t="n"/>
      <c r="U25" s="518" t="n"/>
      <c r="V25" s="515">
        <f>N25</f>
        <v/>
      </c>
      <c r="W25" s="516">
        <f>O25</f>
        <v/>
      </c>
      <c r="X25" s="517">
        <f>P25</f>
        <v/>
      </c>
      <c r="Y25" s="518">
        <f>Q25</f>
        <v/>
      </c>
      <c r="Z25" s="517" t="n"/>
      <c r="AA25" s="646" t="n"/>
      <c r="AB25" s="646" t="n"/>
      <c r="AC25" s="716" t="inlineStr">
        <is>
          <t>* 결합할인 풀리는 시점에 결합할인 혜택 회수</t>
        </is>
      </c>
      <c r="AD25" s="92" t="n"/>
      <c r="AE25" s="196">
        <f>H25-G25+1</f>
        <v/>
      </c>
      <c r="AF25" s="92" t="n"/>
      <c r="AG25" s="539" t="n"/>
      <c r="AH25" s="206" t="n"/>
      <c r="AI25" s="94" t="n"/>
    </row>
    <row r="26">
      <c r="A26" s="176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515" t="n"/>
      <c r="S26" s="516" t="n"/>
      <c r="T26" s="517" t="n"/>
      <c r="U26" s="518" t="n"/>
      <c r="V26" s="515">
        <f>N26</f>
        <v/>
      </c>
      <c r="W26" s="516">
        <f>O26</f>
        <v/>
      </c>
      <c r="X26" s="517">
        <f>P26</f>
        <v/>
      </c>
      <c r="Y26" s="518">
        <f>Q26</f>
        <v/>
      </c>
      <c r="Z26" s="517" t="n"/>
      <c r="AA26" s="646" t="n"/>
      <c r="AB26" s="646" t="n"/>
      <c r="AC26" s="701" t="n"/>
      <c r="AD26" s="92" t="n"/>
      <c r="AE26" s="196">
        <f>H26-G26+1</f>
        <v/>
      </c>
      <c r="AF26" s="92" t="n"/>
      <c r="AG26" s="206" t="n"/>
      <c r="AH26" s="206" t="n"/>
      <c r="AI26" s="94" t="n"/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515" t="n"/>
      <c r="S27" s="516" t="n"/>
      <c r="T27" s="517" t="n"/>
      <c r="U27" s="518" t="n"/>
      <c r="V27" s="515">
        <f>N27</f>
        <v/>
      </c>
      <c r="W27" s="516">
        <f>O27</f>
        <v/>
      </c>
      <c r="X27" s="517">
        <f>P27</f>
        <v/>
      </c>
      <c r="Y27" s="518">
        <f>Q27</f>
        <v/>
      </c>
      <c r="Z27" s="517" t="n"/>
      <c r="AA27" s="646" t="n"/>
      <c r="AB27" s="646" t="n"/>
      <c r="AC27" s="518" t="n"/>
      <c r="AD27" s="92" t="n"/>
      <c r="AE27" s="196">
        <f>H27-G27+1</f>
        <v/>
      </c>
      <c r="AF27" s="92" t="n"/>
      <c r="AG27" s="206" t="n"/>
      <c r="AH27" s="206" t="n"/>
      <c r="AI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515" t="n"/>
      <c r="S28" s="516" t="n"/>
      <c r="T28" s="517" t="n"/>
      <c r="U28" s="518" t="n"/>
      <c r="V28" s="515">
        <f>N28</f>
        <v/>
      </c>
      <c r="W28" s="516">
        <f>O28</f>
        <v/>
      </c>
      <c r="X28" s="517">
        <f>P28</f>
        <v/>
      </c>
      <c r="Y28" s="518">
        <f>Q28</f>
        <v/>
      </c>
      <c r="Z28" s="517" t="n"/>
      <c r="AA28" s="646" t="n"/>
      <c r="AB28" s="646" t="n"/>
      <c r="AC28" s="518" t="n"/>
      <c r="AD28" s="92" t="n"/>
      <c r="AE28" s="196">
        <f>H28-G28+1</f>
        <v/>
      </c>
      <c r="AF28" s="92" t="n"/>
      <c r="AG28" s="206" t="n"/>
      <c r="AH28" s="206" t="n"/>
      <c r="AI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515" t="n"/>
      <c r="S29" s="516" t="n"/>
      <c r="T29" s="517" t="n"/>
      <c r="U29" s="518" t="n"/>
      <c r="V29" s="515">
        <f>N29</f>
        <v/>
      </c>
      <c r="W29" s="516">
        <f>O29</f>
        <v/>
      </c>
      <c r="X29" s="517">
        <f>P29</f>
        <v/>
      </c>
      <c r="Y29" s="518">
        <f>Q29</f>
        <v/>
      </c>
      <c r="Z29" s="517" t="n"/>
      <c r="AA29" s="646" t="n"/>
      <c r="AB29" s="646" t="n"/>
      <c r="AC29" s="518" t="n"/>
      <c r="AD29" s="92" t="n"/>
      <c r="AE29" s="196">
        <f>H29-G29+1</f>
        <v/>
      </c>
      <c r="AF29" s="92" t="n"/>
      <c r="AG29" s="206" t="n"/>
      <c r="AH29" s="206" t="n"/>
      <c r="AI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515" t="n"/>
      <c r="S30" s="516" t="n"/>
      <c r="T30" s="517" t="n"/>
      <c r="U30" s="518" t="n"/>
      <c r="V30" s="515">
        <f>N30</f>
        <v/>
      </c>
      <c r="W30" s="516">
        <f>O30</f>
        <v/>
      </c>
      <c r="X30" s="517">
        <f>P30</f>
        <v/>
      </c>
      <c r="Y30" s="518">
        <f>Q30</f>
        <v/>
      </c>
      <c r="Z30" s="517" t="n"/>
      <c r="AA30" s="646" t="n"/>
      <c r="AB30" s="646" t="n"/>
      <c r="AC30" s="518" t="n"/>
      <c r="AD30" s="92" t="n"/>
      <c r="AE30" s="196">
        <f>H30-G30+1</f>
        <v/>
      </c>
      <c r="AF30" s="92" t="n"/>
      <c r="AG30" s="206" t="n"/>
      <c r="AH30" s="206" t="n"/>
      <c r="AI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515" t="n"/>
      <c r="S31" s="516" t="n"/>
      <c r="T31" s="517" t="n"/>
      <c r="U31" s="518" t="n"/>
      <c r="V31" s="515">
        <f>N31</f>
        <v/>
      </c>
      <c r="W31" s="516">
        <f>O31</f>
        <v/>
      </c>
      <c r="X31" s="517">
        <f>P31</f>
        <v/>
      </c>
      <c r="Y31" s="518">
        <f>Q31</f>
        <v/>
      </c>
      <c r="Z31" s="517" t="n"/>
      <c r="AA31" s="646" t="n"/>
      <c r="AB31" s="646" t="n"/>
      <c r="AC31" s="518" t="n"/>
      <c r="AD31" s="92" t="n"/>
      <c r="AE31" s="196">
        <f>H31-G31+1</f>
        <v/>
      </c>
      <c r="AF31" s="92" t="n"/>
      <c r="AG31" s="206" t="n"/>
      <c r="AH31" s="206" t="n"/>
      <c r="AI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515" t="n"/>
      <c r="S32" s="516" t="n"/>
      <c r="T32" s="517" t="n"/>
      <c r="U32" s="518" t="n"/>
      <c r="V32" s="515">
        <f>N32</f>
        <v/>
      </c>
      <c r="W32" s="516">
        <f>O32</f>
        <v/>
      </c>
      <c r="X32" s="517">
        <f>P32</f>
        <v/>
      </c>
      <c r="Y32" s="518">
        <f>Q32</f>
        <v/>
      </c>
      <c r="Z32" s="517" t="n"/>
      <c r="AA32" s="646" t="n"/>
      <c r="AB32" s="646" t="n"/>
      <c r="AC32" s="518" t="n"/>
      <c r="AD32" s="92" t="n"/>
      <c r="AE32" s="196">
        <f>H32-G32+1</f>
        <v/>
      </c>
      <c r="AF32" s="92" t="n"/>
      <c r="AG32" s="206" t="n"/>
      <c r="AH32" s="206" t="n"/>
      <c r="AI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515" t="n"/>
      <c r="S33" s="516" t="n"/>
      <c r="T33" s="517" t="n"/>
      <c r="U33" s="518" t="n"/>
      <c r="V33" s="515">
        <f>N33</f>
        <v/>
      </c>
      <c r="W33" s="516">
        <f>O33</f>
        <v/>
      </c>
      <c r="X33" s="517">
        <f>P33</f>
        <v/>
      </c>
      <c r="Y33" s="518">
        <f>Q33</f>
        <v/>
      </c>
      <c r="Z33" s="517" t="n"/>
      <c r="AA33" s="646" t="n"/>
      <c r="AB33" s="646" t="n"/>
      <c r="AC33" s="518" t="n"/>
      <c r="AD33" s="92" t="n"/>
      <c r="AE33" s="196">
        <f>H33-G33+1</f>
        <v/>
      </c>
      <c r="AF33" s="92" t="n"/>
      <c r="AG33" s="206" t="n"/>
      <c r="AH33" s="206" t="n"/>
      <c r="AI33" s="94" t="n"/>
    </row>
    <row r="34">
      <c r="B34" s="9" t="inlineStr">
        <is>
          <t>선납금+선납 할인 반영 순수 구독료 (V-)</t>
        </is>
      </c>
      <c r="C34" s="506">
        <f>C32-C11-C12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515" t="n"/>
      <c r="S34" s="516" t="n"/>
      <c r="T34" s="517" t="n"/>
      <c r="U34" s="518" t="n"/>
      <c r="V34" s="515">
        <f>N34</f>
        <v/>
      </c>
      <c r="W34" s="516">
        <f>O34</f>
        <v/>
      </c>
      <c r="X34" s="517">
        <f>P34</f>
        <v/>
      </c>
      <c r="Y34" s="518">
        <f>Q34</f>
        <v/>
      </c>
      <c r="Z34" s="517" t="n"/>
      <c r="AA34" s="646" t="n"/>
      <c r="AB34" s="646" t="n"/>
      <c r="AC34" s="518" t="n"/>
      <c r="AD34" s="92" t="n"/>
      <c r="AE34" s="196">
        <f>H34-G34+1</f>
        <v/>
      </c>
      <c r="AF34" s="92" t="n"/>
      <c r="AG34" s="206" t="n"/>
      <c r="AH34" s="206" t="n"/>
      <c r="AI34" s="94" t="n"/>
    </row>
    <row r="35" ht="17.45" customHeight="1" s="497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515" t="n"/>
      <c r="S35" s="516" t="n"/>
      <c r="T35" s="517" t="n"/>
      <c r="U35" s="518" t="n"/>
      <c r="V35" s="515">
        <f>N35</f>
        <v/>
      </c>
      <c r="W35" s="516">
        <f>O35</f>
        <v/>
      </c>
      <c r="X35" s="517">
        <f>P35</f>
        <v/>
      </c>
      <c r="Y35" s="518">
        <f>Q35</f>
        <v/>
      </c>
      <c r="Z35" s="517" t="n"/>
      <c r="AA35" s="646" t="n"/>
      <c r="AB35" s="646" t="n"/>
      <c r="AC35" s="518" t="n"/>
      <c r="AD35" s="92" t="n"/>
      <c r="AE35" s="196">
        <f>H35-G35+1</f>
        <v/>
      </c>
      <c r="AF35" s="92" t="n"/>
      <c r="AG35" s="206" t="n"/>
      <c r="AH35" s="206" t="n"/>
      <c r="AI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515" t="n"/>
      <c r="S36" s="516" t="n"/>
      <c r="T36" s="517" t="n"/>
      <c r="U36" s="518" t="n"/>
      <c r="V36" s="515">
        <f>N36</f>
        <v/>
      </c>
      <c r="W36" s="516">
        <f>O36</f>
        <v/>
      </c>
      <c r="X36" s="517">
        <f>P36</f>
        <v/>
      </c>
      <c r="Y36" s="518">
        <f>Q36</f>
        <v/>
      </c>
      <c r="Z36" s="517" t="n"/>
      <c r="AA36" s="646" t="n"/>
      <c r="AB36" s="646" t="n"/>
      <c r="AC36" s="518" t="n"/>
      <c r="AD36" s="92" t="n"/>
      <c r="AE36" s="196">
        <f>H36-G36+1</f>
        <v/>
      </c>
      <c r="AF36" s="92" t="n"/>
      <c r="AG36" s="206" t="n"/>
      <c r="AH36" s="206" t="n"/>
      <c r="AI36" s="94" t="n"/>
    </row>
    <row r="37">
      <c r="A37" s="176" t="n"/>
      <c r="B37" s="9" t="inlineStr">
        <is>
          <t>다품목 할인율 %</t>
        </is>
      </c>
      <c r="C37" s="288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515" t="n"/>
      <c r="S37" s="516" t="n"/>
      <c r="T37" s="517" t="n"/>
      <c r="U37" s="518" t="n"/>
      <c r="V37" s="515">
        <f>N37</f>
        <v/>
      </c>
      <c r="W37" s="516">
        <f>O37</f>
        <v/>
      </c>
      <c r="X37" s="517">
        <f>P37</f>
        <v/>
      </c>
      <c r="Y37" s="518">
        <f>Q37</f>
        <v/>
      </c>
      <c r="Z37" s="517" t="n"/>
      <c r="AA37" s="646" t="n"/>
      <c r="AB37" s="646" t="n"/>
      <c r="AC37" s="518" t="n"/>
      <c r="AD37" s="92" t="n"/>
      <c r="AE37" s="196">
        <f>H37-G37+1</f>
        <v/>
      </c>
      <c r="AF37" s="92" t="n"/>
      <c r="AG37" s="206" t="n"/>
      <c r="AH37" s="206" t="n"/>
      <c r="AI37" s="94" t="n"/>
    </row>
    <row r="38">
      <c r="A38" s="176" t="n"/>
      <c r="B38" s="9" t="inlineStr">
        <is>
          <t>(계산용) 할인금(v-) (총구독료 v+ 기준)</t>
        </is>
      </c>
      <c r="C38" s="506">
        <f>C16*C37/1.1</f>
        <v/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515" t="n"/>
      <c r="S38" s="516" t="n"/>
      <c r="T38" s="517" t="n"/>
      <c r="U38" s="518" t="n"/>
      <c r="V38" s="515">
        <f>N38</f>
        <v/>
      </c>
      <c r="W38" s="516">
        <f>O38</f>
        <v/>
      </c>
      <c r="X38" s="517">
        <f>P38</f>
        <v/>
      </c>
      <c r="Y38" s="518">
        <f>Q38</f>
        <v/>
      </c>
      <c r="Z38" s="517" t="n"/>
      <c r="AA38" s="646" t="n"/>
      <c r="AB38" s="646" t="n"/>
      <c r="AC38" s="518" t="n"/>
      <c r="AD38" s="92" t="n"/>
      <c r="AE38" s="196">
        <f>H38-G38+1</f>
        <v/>
      </c>
      <c r="AF38" s="92" t="n"/>
      <c r="AG38" s="206" t="n"/>
      <c r="AH38" s="206" t="n"/>
      <c r="AI38" s="94" t="n"/>
    </row>
    <row r="39">
      <c r="A39" s="176" t="n"/>
      <c r="B39" s="9" t="inlineStr">
        <is>
          <t>(계산용) 할인금 월할 (V-)</t>
        </is>
      </c>
      <c r="C39" s="506">
        <f>C38/C7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515" t="n"/>
      <c r="S39" s="516" t="n"/>
      <c r="T39" s="517" t="n"/>
      <c r="U39" s="518" t="n"/>
      <c r="V39" s="515">
        <f>N39</f>
        <v/>
      </c>
      <c r="W39" s="516">
        <f>O39</f>
        <v/>
      </c>
      <c r="X39" s="517">
        <f>P39</f>
        <v/>
      </c>
      <c r="Y39" s="518">
        <f>Q39</f>
        <v/>
      </c>
      <c r="Z39" s="517" t="n"/>
      <c r="AA39" s="646" t="n"/>
      <c r="AB39" s="646" t="n"/>
      <c r="AC39" s="518" t="n"/>
      <c r="AD39" s="92" t="n"/>
      <c r="AE39" s="196">
        <f>H39-G39+1</f>
        <v/>
      </c>
      <c r="AF39" s="92" t="n"/>
      <c r="AG39" s="206" t="n"/>
      <c r="AH39" s="206" t="n"/>
      <c r="AI39" s="94" t="n"/>
    </row>
    <row r="40">
      <c r="A40" s="176" t="n"/>
      <c r="B40" s="9" t="inlineStr">
        <is>
          <t>(계산용) 할인금 월할 보정 (V-)</t>
        </is>
      </c>
      <c r="C40" s="506">
        <f>ROUNDUP(C39,-2)</f>
        <v/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515" t="n"/>
      <c r="S40" s="516" t="n"/>
      <c r="T40" s="517" t="n"/>
      <c r="U40" s="518" t="n"/>
      <c r="V40" s="515">
        <f>N40</f>
        <v/>
      </c>
      <c r="W40" s="516">
        <f>O40</f>
        <v/>
      </c>
      <c r="X40" s="517">
        <f>P40</f>
        <v/>
      </c>
      <c r="Y40" s="518">
        <f>Q40</f>
        <v/>
      </c>
      <c r="Z40" s="517" t="n"/>
      <c r="AA40" s="646" t="n"/>
      <c r="AB40" s="646" t="n"/>
      <c r="AC40" s="518" t="n"/>
      <c r="AD40" s="92" t="n"/>
      <c r="AE40" s="196">
        <f>H40-G40+1</f>
        <v/>
      </c>
      <c r="AF40" s="92" t="n"/>
      <c r="AG40" s="206" t="n"/>
      <c r="AH40" s="206" t="n"/>
      <c r="AI40" s="94" t="n"/>
    </row>
    <row r="41">
      <c r="A41" s="176" t="n"/>
      <c r="B41" s="63" t="inlineStr">
        <is>
          <t>(최종) 할인금 (V-)</t>
        </is>
      </c>
      <c r="C41" s="506">
        <f>C40*C7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515" t="n"/>
      <c r="S41" s="516" t="n"/>
      <c r="T41" s="517" t="n"/>
      <c r="U41" s="518" t="n"/>
      <c r="V41" s="515">
        <f>N41</f>
        <v/>
      </c>
      <c r="W41" s="516">
        <f>O41</f>
        <v/>
      </c>
      <c r="X41" s="517">
        <f>P41</f>
        <v/>
      </c>
      <c r="Y41" s="518">
        <f>Q41</f>
        <v/>
      </c>
      <c r="Z41" s="517" t="n"/>
      <c r="AA41" s="646" t="n"/>
      <c r="AB41" s="646" t="n"/>
      <c r="AC41" s="518" t="n"/>
      <c r="AD41" s="92" t="n"/>
      <c r="AE41" s="196">
        <f>H41-G41+1</f>
        <v/>
      </c>
      <c r="AF41" s="92" t="n"/>
      <c r="AG41" s="206" t="n"/>
      <c r="AH41" s="206" t="n"/>
      <c r="AI41" s="94" t="n"/>
    </row>
    <row r="42">
      <c r="A42" s="176" t="n"/>
      <c r="B42" s="184" t="inlineStr">
        <is>
          <t>(최종) 선납금+선납 할인+다품목 할인 반영 월 구독료 (V-)</t>
        </is>
      </c>
      <c r="C42" s="506">
        <f>(C14-C26-C30-C41)/C7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515" t="n"/>
      <c r="S42" s="516" t="n"/>
      <c r="T42" s="517" t="n"/>
      <c r="U42" s="518" t="n"/>
      <c r="V42" s="515">
        <f>N42</f>
        <v/>
      </c>
      <c r="W42" s="516">
        <f>O42</f>
        <v/>
      </c>
      <c r="X42" s="517">
        <f>P42</f>
        <v/>
      </c>
      <c r="Y42" s="518">
        <f>Q42</f>
        <v/>
      </c>
      <c r="Z42" s="517" t="n"/>
      <c r="AA42" s="646" t="n"/>
      <c r="AB42" s="646" t="n"/>
      <c r="AC42" s="518" t="n"/>
      <c r="AD42" s="92" t="n"/>
      <c r="AE42" s="196">
        <f>H42-G42+1</f>
        <v/>
      </c>
      <c r="AF42" s="92" t="n"/>
      <c r="AG42" s="206" t="n"/>
      <c r="AH42" s="206" t="n"/>
      <c r="AI42" s="94" t="n"/>
    </row>
    <row r="43">
      <c r="A43" s="176" t="n"/>
      <c r="B43" s="184" t="inlineStr">
        <is>
          <t>(최종) 선납금+선납 할인+다품목 할인 반영 총 구독료 (V-)</t>
        </is>
      </c>
      <c r="C43" s="506">
        <f>C42*C7</f>
        <v/>
      </c>
      <c r="D43" s="505" t="n"/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515" t="n"/>
      <c r="S43" s="516" t="n"/>
      <c r="T43" s="517" t="n"/>
      <c r="U43" s="518" t="n"/>
      <c r="V43" s="515">
        <f>N43</f>
        <v/>
      </c>
      <c r="W43" s="516">
        <f>O43</f>
        <v/>
      </c>
      <c r="X43" s="517">
        <f>P43</f>
        <v/>
      </c>
      <c r="Y43" s="518">
        <f>Q43</f>
        <v/>
      </c>
      <c r="Z43" s="517" t="n"/>
      <c r="AA43" s="646" t="n"/>
      <c r="AB43" s="646" t="n"/>
      <c r="AC43" s="518" t="n"/>
      <c r="AD43" s="92" t="n"/>
      <c r="AE43" s="196">
        <f>H43-G43+1</f>
        <v/>
      </c>
      <c r="AF43" s="92" t="n"/>
      <c r="AG43" s="206" t="n"/>
      <c r="AH43" s="206" t="n"/>
      <c r="AI43" s="94" t="n"/>
    </row>
    <row r="44">
      <c r="B44" s="199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515" t="n"/>
      <c r="S44" s="516" t="n"/>
      <c r="T44" s="517" t="n"/>
      <c r="U44" s="518" t="n"/>
      <c r="V44" s="515">
        <f>N44</f>
        <v/>
      </c>
      <c r="W44" s="516">
        <f>O44</f>
        <v/>
      </c>
      <c r="X44" s="517">
        <f>P44</f>
        <v/>
      </c>
      <c r="Y44" s="518">
        <f>Q44</f>
        <v/>
      </c>
      <c r="Z44" s="517" t="n"/>
      <c r="AA44" s="646" t="n"/>
      <c r="AB44" s="646" t="n"/>
      <c r="AC44" s="518" t="n"/>
      <c r="AD44" s="92" t="n"/>
      <c r="AE44" s="196">
        <f>H44-G44+1</f>
        <v/>
      </c>
      <c r="AF44" s="92" t="n"/>
      <c r="AG44" s="206" t="n"/>
      <c r="AH44" s="206" t="n"/>
      <c r="AI44" s="94" t="n"/>
    </row>
    <row r="45">
      <c r="B45" s="199" t="n"/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515" t="n"/>
      <c r="S45" s="516" t="n"/>
      <c r="T45" s="517" t="n"/>
      <c r="U45" s="518" t="n"/>
      <c r="V45" s="515">
        <f>N45</f>
        <v/>
      </c>
      <c r="W45" s="516">
        <f>O45</f>
        <v/>
      </c>
      <c r="X45" s="517">
        <f>P45</f>
        <v/>
      </c>
      <c r="Y45" s="518">
        <f>Q45</f>
        <v/>
      </c>
      <c r="Z45" s="517" t="n"/>
      <c r="AA45" s="646" t="n"/>
      <c r="AB45" s="646" t="n"/>
      <c r="AC45" s="518" t="n"/>
      <c r="AD45" s="92" t="n"/>
      <c r="AE45" s="196">
        <f>H45-G45+1</f>
        <v/>
      </c>
      <c r="AF45" s="92" t="n"/>
      <c r="AG45" s="206" t="n"/>
      <c r="AH45" s="206" t="n"/>
      <c r="AI45" s="94" t="n"/>
    </row>
    <row r="46">
      <c r="A46" s="206" t="n"/>
      <c r="B46" s="199" t="n"/>
      <c r="C46" s="185" t="n"/>
      <c r="D46" s="206" t="n"/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515" t="n"/>
      <c r="S46" s="516" t="n"/>
      <c r="T46" s="517" t="n"/>
      <c r="U46" s="518" t="n"/>
      <c r="V46" s="515">
        <f>N46</f>
        <v/>
      </c>
      <c r="W46" s="516">
        <f>O46</f>
        <v/>
      </c>
      <c r="X46" s="517">
        <f>P46</f>
        <v/>
      </c>
      <c r="Y46" s="518">
        <f>Q46</f>
        <v/>
      </c>
      <c r="Z46" s="517" t="n"/>
      <c r="AA46" s="646" t="n"/>
      <c r="AB46" s="646" t="n"/>
      <c r="AC46" s="518" t="n"/>
      <c r="AD46" s="92" t="n"/>
      <c r="AE46" s="196">
        <f>H46-G46+1</f>
        <v/>
      </c>
      <c r="AF46" s="92" t="n"/>
      <c r="AG46" s="206" t="n"/>
      <c r="AH46" s="206" t="n"/>
      <c r="AI46" s="94" t="n"/>
    </row>
    <row r="47">
      <c r="A47" s="206" t="n"/>
      <c r="B47" s="199" t="n"/>
      <c r="C47" s="185" t="n"/>
      <c r="D47" s="206" t="n"/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515" t="n"/>
      <c r="S47" s="516" t="n"/>
      <c r="T47" s="517" t="n"/>
      <c r="U47" s="518" t="n"/>
      <c r="V47" s="515">
        <f>N47</f>
        <v/>
      </c>
      <c r="W47" s="516">
        <f>O47</f>
        <v/>
      </c>
      <c r="X47" s="517">
        <f>P47</f>
        <v/>
      </c>
      <c r="Y47" s="518">
        <f>Q47</f>
        <v/>
      </c>
      <c r="Z47" s="517" t="n"/>
      <c r="AA47" s="646" t="n"/>
      <c r="AB47" s="646" t="n"/>
      <c r="AC47" s="518" t="n"/>
      <c r="AD47" s="92" t="n"/>
      <c r="AE47" s="196">
        <f>H47-G47+1</f>
        <v/>
      </c>
      <c r="AF47" s="92" t="n"/>
      <c r="AG47" s="206" t="n"/>
      <c r="AH47" s="206" t="n"/>
      <c r="AI47" s="94" t="n"/>
    </row>
    <row r="48">
      <c r="A48" s="206" t="n"/>
      <c r="B48" s="495" t="n"/>
      <c r="C48" s="702" t="n"/>
      <c r="D48" s="206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515" t="n"/>
      <c r="S48" s="516" t="n"/>
      <c r="T48" s="517" t="n"/>
      <c r="U48" s="518" t="n"/>
      <c r="V48" s="515">
        <f>N48</f>
        <v/>
      </c>
      <c r="W48" s="516">
        <f>O48</f>
        <v/>
      </c>
      <c r="X48" s="517">
        <f>P48</f>
        <v/>
      </c>
      <c r="Y48" s="518">
        <f>Q48</f>
        <v/>
      </c>
      <c r="Z48" s="517" t="n"/>
      <c r="AA48" s="646" t="n"/>
      <c r="AB48" s="646" t="n"/>
      <c r="AC48" s="518" t="n"/>
      <c r="AD48" s="92" t="n"/>
      <c r="AE48" s="196">
        <f>H48-G48+1</f>
        <v/>
      </c>
      <c r="AF48" s="92" t="n"/>
      <c r="AG48" s="206" t="n"/>
      <c r="AH48" s="206" t="n"/>
      <c r="AI48" s="94" t="n"/>
    </row>
    <row r="49">
      <c r="A49" s="206" t="n"/>
      <c r="B49" s="495" t="n"/>
      <c r="C49" s="702" t="n"/>
      <c r="D49" s="206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515" t="n"/>
      <c r="S49" s="516" t="n"/>
      <c r="T49" s="517" t="n"/>
      <c r="U49" s="518" t="n"/>
      <c r="V49" s="515">
        <f>N49</f>
        <v/>
      </c>
      <c r="W49" s="516">
        <f>O49</f>
        <v/>
      </c>
      <c r="X49" s="517">
        <f>P49</f>
        <v/>
      </c>
      <c r="Y49" s="518">
        <f>Q49</f>
        <v/>
      </c>
      <c r="Z49" s="517" t="n"/>
      <c r="AA49" s="646" t="n"/>
      <c r="AB49" s="646" t="n"/>
      <c r="AC49" s="518" t="n"/>
      <c r="AD49" s="92" t="n"/>
      <c r="AE49" s="196">
        <f>H49-G49+1</f>
        <v/>
      </c>
      <c r="AF49" s="92" t="n"/>
      <c r="AG49" s="206" t="n"/>
      <c r="AH49" s="206" t="n"/>
      <c r="AI49" s="94" t="n"/>
    </row>
    <row r="50">
      <c r="A50" s="206" t="n"/>
      <c r="B50" s="495" t="n"/>
      <c r="C50" s="702" t="n"/>
      <c r="D50" s="206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515" t="n"/>
      <c r="S50" s="516" t="n"/>
      <c r="T50" s="517" t="n"/>
      <c r="U50" s="518" t="n"/>
      <c r="V50" s="515">
        <f>N50</f>
        <v/>
      </c>
      <c r="W50" s="516">
        <f>O50</f>
        <v/>
      </c>
      <c r="X50" s="517">
        <f>P50</f>
        <v/>
      </c>
      <c r="Y50" s="518">
        <f>Q50</f>
        <v/>
      </c>
      <c r="Z50" s="517" t="n"/>
      <c r="AA50" s="646" t="n"/>
      <c r="AB50" s="646" t="n"/>
      <c r="AC50" s="518" t="n"/>
      <c r="AD50" s="92" t="n"/>
      <c r="AE50" s="196">
        <f>H50-G50+1</f>
        <v/>
      </c>
      <c r="AF50" s="92" t="n"/>
      <c r="AG50" s="206" t="n"/>
      <c r="AH50" s="206" t="n"/>
      <c r="AI50" s="94" t="n"/>
    </row>
    <row r="51">
      <c r="A51" s="206" t="n"/>
      <c r="B51" s="495" t="n"/>
      <c r="C51" s="185" t="n"/>
      <c r="D51" s="206" t="n"/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515" t="n"/>
      <c r="S51" s="516" t="n"/>
      <c r="T51" s="517" t="n"/>
      <c r="U51" s="518" t="n"/>
      <c r="V51" s="515">
        <f>N51</f>
        <v/>
      </c>
      <c r="W51" s="516">
        <f>O51</f>
        <v/>
      </c>
      <c r="X51" s="517">
        <f>P51</f>
        <v/>
      </c>
      <c r="Y51" s="518">
        <f>Q51</f>
        <v/>
      </c>
      <c r="Z51" s="517" t="n"/>
      <c r="AA51" s="646" t="n"/>
      <c r="AB51" s="646" t="n"/>
      <c r="AC51" s="518" t="n"/>
      <c r="AD51" s="92" t="n"/>
      <c r="AE51" s="196">
        <f>H51-G51+1</f>
        <v/>
      </c>
      <c r="AF51" s="92" t="n"/>
      <c r="AG51" s="206" t="n"/>
      <c r="AH51" s="206" t="n"/>
      <c r="AI51" s="94" t="n"/>
    </row>
    <row r="52">
      <c r="A52" s="206" t="n"/>
      <c r="B52" s="495" t="n"/>
      <c r="C52" s="697" t="n"/>
      <c r="D52" s="206" t="n"/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515" t="n"/>
      <c r="S52" s="516" t="n"/>
      <c r="T52" s="517" t="n"/>
      <c r="U52" s="518" t="n"/>
      <c r="V52" s="515">
        <f>N52</f>
        <v/>
      </c>
      <c r="W52" s="516">
        <f>O52</f>
        <v/>
      </c>
      <c r="X52" s="517">
        <f>P52</f>
        <v/>
      </c>
      <c r="Y52" s="518">
        <f>Q52</f>
        <v/>
      </c>
      <c r="Z52" s="517" t="n"/>
      <c r="AA52" s="646" t="n"/>
      <c r="AB52" s="646" t="n"/>
      <c r="AC52" s="518" t="n"/>
      <c r="AD52" s="92" t="n"/>
      <c r="AE52" s="196">
        <f>H52-G52+1</f>
        <v/>
      </c>
      <c r="AF52" s="92" t="n"/>
      <c r="AG52" s="206" t="n"/>
      <c r="AH52" s="206" t="n"/>
      <c r="AI52" s="94" t="n"/>
    </row>
    <row r="53">
      <c r="A53" s="206" t="n"/>
      <c r="B53" s="495" t="n"/>
      <c r="C53" s="697" t="n"/>
      <c r="D53" s="206" t="n"/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515" t="n"/>
      <c r="S53" s="516" t="n"/>
      <c r="T53" s="517" t="n"/>
      <c r="U53" s="518" t="n"/>
      <c r="V53" s="515">
        <f>N53</f>
        <v/>
      </c>
      <c r="W53" s="516">
        <f>O53</f>
        <v/>
      </c>
      <c r="X53" s="517">
        <f>P53</f>
        <v/>
      </c>
      <c r="Y53" s="518">
        <f>Q53</f>
        <v/>
      </c>
      <c r="Z53" s="517" t="n"/>
      <c r="AA53" s="646" t="n"/>
      <c r="AB53" s="646" t="n"/>
      <c r="AC53" s="518" t="n"/>
      <c r="AD53" s="92" t="n"/>
      <c r="AE53" s="196">
        <f>H53-G53+1</f>
        <v/>
      </c>
      <c r="AF53" s="92" t="n"/>
      <c r="AG53" s="206" t="n"/>
      <c r="AH53" s="206" t="n"/>
      <c r="AI53" s="94" t="n"/>
    </row>
    <row r="54">
      <c r="A54" s="206" t="n"/>
      <c r="B54" s="495" t="n"/>
      <c r="C54" s="697" t="n"/>
      <c r="D54" s="206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515" t="n"/>
      <c r="S54" s="516" t="n"/>
      <c r="T54" s="517" t="n"/>
      <c r="U54" s="518" t="n"/>
      <c r="V54" s="515">
        <f>N54</f>
        <v/>
      </c>
      <c r="W54" s="516">
        <f>O54</f>
        <v/>
      </c>
      <c r="X54" s="517">
        <f>P54</f>
        <v/>
      </c>
      <c r="Y54" s="518">
        <f>Q54</f>
        <v/>
      </c>
      <c r="Z54" s="517" t="n"/>
      <c r="AA54" s="646" t="n"/>
      <c r="AB54" s="646" t="n"/>
      <c r="AC54" s="518" t="n"/>
      <c r="AD54" s="92" t="n"/>
      <c r="AE54" s="196">
        <f>H54-G54+1</f>
        <v/>
      </c>
      <c r="AF54" s="92" t="n"/>
      <c r="AG54" s="206" t="n"/>
      <c r="AH54" s="206" t="n"/>
      <c r="AI54" s="94" t="n"/>
    </row>
    <row r="55">
      <c r="A55" s="206" t="n"/>
      <c r="B55" s="495" t="n"/>
      <c r="C55" s="500" t="n"/>
      <c r="D55" s="206" t="n"/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515" t="n"/>
      <c r="S55" s="516" t="n"/>
      <c r="T55" s="517" t="n"/>
      <c r="U55" s="518" t="n"/>
      <c r="V55" s="515">
        <f>N55</f>
        <v/>
      </c>
      <c r="W55" s="516">
        <f>O55</f>
        <v/>
      </c>
      <c r="X55" s="517">
        <f>P55</f>
        <v/>
      </c>
      <c r="Y55" s="518">
        <f>Q55</f>
        <v/>
      </c>
      <c r="Z55" s="517" t="n"/>
      <c r="AA55" s="646" t="n"/>
      <c r="AB55" s="646" t="n"/>
      <c r="AC55" s="518" t="n"/>
      <c r="AD55" s="92" t="n"/>
      <c r="AE55" s="196">
        <f>H55-G55+1</f>
        <v/>
      </c>
      <c r="AF55" s="92" t="n"/>
      <c r="AG55" s="206" t="n"/>
      <c r="AH55" s="206" t="n"/>
      <c r="AI55" s="94" t="n"/>
    </row>
    <row r="56">
      <c r="A56" s="206" t="n"/>
      <c r="B56" s="495" t="n"/>
      <c r="C56" s="697" t="n"/>
      <c r="D56" s="206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515" t="n"/>
      <c r="S56" s="516" t="n"/>
      <c r="T56" s="517" t="n"/>
      <c r="U56" s="518" t="n"/>
      <c r="V56" s="515">
        <f>N56</f>
        <v/>
      </c>
      <c r="W56" s="516">
        <f>O56</f>
        <v/>
      </c>
      <c r="X56" s="517">
        <f>P56</f>
        <v/>
      </c>
      <c r="Y56" s="518">
        <f>Q56</f>
        <v/>
      </c>
      <c r="Z56" s="517" t="n"/>
      <c r="AA56" s="646" t="n"/>
      <c r="AB56" s="646" t="n"/>
      <c r="AC56" s="518" t="n"/>
      <c r="AD56" s="92" t="n"/>
      <c r="AE56" s="196">
        <f>H56-G56+1</f>
        <v/>
      </c>
      <c r="AF56" s="92" t="n"/>
      <c r="AG56" s="206" t="n"/>
      <c r="AH56" s="206" t="n"/>
      <c r="AI56" s="94" t="n"/>
    </row>
    <row r="57">
      <c r="A57" s="206" t="n"/>
      <c r="B57" s="495" t="n"/>
      <c r="C57" s="697" t="n"/>
      <c r="D57" s="505" t="n"/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515" t="n"/>
      <c r="S57" s="516" t="n"/>
      <c r="T57" s="517" t="n"/>
      <c r="U57" s="518" t="n"/>
      <c r="V57" s="515">
        <f>N57</f>
        <v/>
      </c>
      <c r="W57" s="516">
        <f>O57</f>
        <v/>
      </c>
      <c r="X57" s="517">
        <f>P57</f>
        <v/>
      </c>
      <c r="Y57" s="518">
        <f>Q57</f>
        <v/>
      </c>
      <c r="Z57" s="517" t="n"/>
      <c r="AA57" s="646" t="n"/>
      <c r="AB57" s="646" t="n"/>
      <c r="AC57" s="518" t="n"/>
      <c r="AD57" s="92" t="n"/>
      <c r="AE57" s="196">
        <f>H57-G57+1</f>
        <v/>
      </c>
      <c r="AF57" s="92" t="n"/>
      <c r="AG57" s="206" t="n"/>
      <c r="AI57" s="94" t="n"/>
    </row>
    <row r="58">
      <c r="A58" s="206" t="n"/>
      <c r="B58" s="495" t="n"/>
      <c r="C58" s="697" t="n"/>
      <c r="D58" s="206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515" t="n"/>
      <c r="S58" s="516" t="n"/>
      <c r="T58" s="517" t="n"/>
      <c r="U58" s="518" t="n"/>
      <c r="V58" s="515">
        <f>N58</f>
        <v/>
      </c>
      <c r="W58" s="516">
        <f>O58</f>
        <v/>
      </c>
      <c r="X58" s="517">
        <f>P58</f>
        <v/>
      </c>
      <c r="Y58" s="518">
        <f>Q58</f>
        <v/>
      </c>
      <c r="Z58" s="517" t="n"/>
      <c r="AA58" s="646" t="n"/>
      <c r="AB58" s="646" t="n"/>
      <c r="AC58" s="518" t="n"/>
      <c r="AD58" s="92" t="n"/>
      <c r="AE58" s="196">
        <f>H58-G58+1</f>
        <v/>
      </c>
      <c r="AF58" s="92" t="n"/>
      <c r="AG58" s="206" t="n"/>
      <c r="AH58" s="200" t="n"/>
      <c r="AI58" s="94" t="n"/>
    </row>
    <row r="59">
      <c r="A59" s="206" t="n"/>
      <c r="B59" s="206" t="n"/>
      <c r="C59" s="206" t="n"/>
      <c r="D59" s="206" t="n"/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515" t="n"/>
      <c r="S59" s="516" t="n"/>
      <c r="T59" s="517" t="n"/>
      <c r="U59" s="518" t="n"/>
      <c r="V59" s="515">
        <f>N59</f>
        <v/>
      </c>
      <c r="W59" s="516">
        <f>O59</f>
        <v/>
      </c>
      <c r="X59" s="517">
        <f>P59</f>
        <v/>
      </c>
      <c r="Y59" s="518">
        <f>Q59</f>
        <v/>
      </c>
      <c r="Z59" s="517" t="n"/>
      <c r="AA59" s="646" t="n"/>
      <c r="AB59" s="646" t="n"/>
      <c r="AC59" s="518" t="n"/>
      <c r="AD59" s="92" t="n"/>
      <c r="AE59" s="196">
        <f>H59-G59+1</f>
        <v/>
      </c>
      <c r="AF59" s="92" t="n"/>
      <c r="AG59" s="206" t="n"/>
      <c r="AH59" s="206" t="inlineStr">
        <is>
          <t>* 중도해지 시점에 선납할인 혜택 회수</t>
        </is>
      </c>
      <c r="AI59" s="94" t="n"/>
    </row>
    <row r="60">
      <c r="A60" s="487" t="n"/>
      <c r="B60" s="495" t="n"/>
      <c r="C60" s="188" t="n"/>
      <c r="D60" s="206" t="n"/>
      <c r="F60" s="80" t="inlineStr">
        <is>
          <t>56회차</t>
        </is>
      </c>
      <c r="G60" s="81">
        <f>H59+1</f>
        <v/>
      </c>
      <c r="H60" s="81">
        <f>EOMONTH(G60,0)</f>
        <v/>
      </c>
      <c r="I60" s="82">
        <f>EDATE(I59,1)</f>
        <v/>
      </c>
      <c r="J60" s="630">
        <f>$C$15</f>
        <v/>
      </c>
      <c r="K60" s="631">
        <f>$C$13/$C$7</f>
        <v/>
      </c>
      <c r="L60" s="632">
        <f>$C$11/$C$7</f>
        <v/>
      </c>
      <c r="M60" s="633">
        <f>$C$12/$C$7</f>
        <v/>
      </c>
      <c r="N60" s="630">
        <f>$C$31</f>
        <v/>
      </c>
      <c r="O60" s="631">
        <f>N60-P60-Q60</f>
        <v/>
      </c>
      <c r="P60" s="634">
        <f>L60</f>
        <v/>
      </c>
      <c r="Q60" s="635">
        <f>M60</f>
        <v/>
      </c>
      <c r="R60" s="630" t="n"/>
      <c r="S60" s="631" t="n"/>
      <c r="T60" s="632" t="n"/>
      <c r="U60" s="633" t="n"/>
      <c r="V60" s="630">
        <f>N60</f>
        <v/>
      </c>
      <c r="W60" s="631">
        <f>O60</f>
        <v/>
      </c>
      <c r="X60" s="632">
        <f>P60</f>
        <v/>
      </c>
      <c r="Y60" s="633">
        <f>Q60</f>
        <v/>
      </c>
      <c r="Z60" s="632" t="n"/>
      <c r="AA60" s="647" t="n"/>
      <c r="AB60" s="647" t="n"/>
      <c r="AC60" s="633" t="n"/>
      <c r="AD60" s="99" t="n">
        <v>47590</v>
      </c>
      <c r="AE60" s="415">
        <f>AD60-G60</f>
        <v/>
      </c>
      <c r="AF60" s="647">
        <f>ROUNDDOWN(((C14*1.1)*(C8-SUM(AE5:AE60))/C8)*10%,-1)</f>
        <v/>
      </c>
      <c r="AG60" s="632">
        <f>ROUNDDOWN(V60*AE60/DAY(H60),-2)</f>
        <v/>
      </c>
      <c r="AH60" s="632">
        <f>ROUNDDOWN(C30*SUM(AE5:AE60)/C8,-2)</f>
        <v/>
      </c>
      <c r="AI60" s="638">
        <f>-ROUNDUP((C26*(C8-SUM(AE5:AE60))/C8),-2)</f>
        <v/>
      </c>
    </row>
    <row r="61">
      <c r="B61" s="495" t="n"/>
      <c r="C61" s="517" t="n"/>
      <c r="D61" s="206" t="n"/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515" t="n"/>
      <c r="S61" s="516" t="n"/>
      <c r="T61" s="517" t="n"/>
      <c r="U61" s="518" t="n"/>
      <c r="V61" s="515">
        <f>N61</f>
        <v/>
      </c>
      <c r="W61" s="516">
        <f>O61</f>
        <v/>
      </c>
      <c r="X61" s="517">
        <f>P61</f>
        <v/>
      </c>
      <c r="Y61" s="518">
        <f>Q61</f>
        <v/>
      </c>
      <c r="Z61" s="517" t="n"/>
      <c r="AA61" s="646" t="n"/>
      <c r="AB61" s="646" t="n"/>
      <c r="AC61" s="518" t="n"/>
      <c r="AD61" s="92" t="n"/>
      <c r="AE61" s="196" t="inlineStr">
        <is>
          <t>* 사용일 기준: 제품판정일 전날까지 사용</t>
        </is>
      </c>
      <c r="AF61" s="92" t="n"/>
      <c r="AG61" s="206" t="n"/>
      <c r="AH61" s="206" t="n"/>
      <c r="AI61" s="94" t="n"/>
    </row>
    <row r="62">
      <c r="B62" s="495" t="n"/>
      <c r="C62" s="517" t="n"/>
      <c r="D62" s="206" t="n"/>
      <c r="E62" s="203" t="inlineStr">
        <is>
          <t>* 중도해지 발생</t>
        </is>
      </c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515" t="n"/>
      <c r="S62" s="516" t="n"/>
      <c r="T62" s="517" t="n"/>
      <c r="U62" s="518" t="n"/>
      <c r="V62" s="515">
        <f>N62</f>
        <v/>
      </c>
      <c r="W62" s="516">
        <f>O62</f>
        <v/>
      </c>
      <c r="X62" s="517">
        <f>P62</f>
        <v/>
      </c>
      <c r="Y62" s="518">
        <f>Q62</f>
        <v/>
      </c>
      <c r="Z62" s="517" t="n"/>
      <c r="AA62" s="646" t="n"/>
      <c r="AB62" s="646" t="n"/>
      <c r="AC62" s="518" t="n"/>
      <c r="AD62" s="92" t="n"/>
      <c r="AE62" s="196" t="n"/>
      <c r="AF62" s="92" t="n"/>
      <c r="AG62" s="206" t="n"/>
      <c r="AH62" s="206" t="n"/>
      <c r="AI62" s="94" t="n"/>
    </row>
    <row r="63">
      <c r="B63" s="495" t="n"/>
      <c r="C63" s="517" t="n"/>
      <c r="D63" s="206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515" t="n"/>
      <c r="S63" s="516" t="n"/>
      <c r="T63" s="517" t="n"/>
      <c r="U63" s="518" t="n"/>
      <c r="V63" s="515">
        <f>N63</f>
        <v/>
      </c>
      <c r="W63" s="516">
        <f>O63</f>
        <v/>
      </c>
      <c r="X63" s="517">
        <f>P63</f>
        <v/>
      </c>
      <c r="Y63" s="518">
        <f>Q63</f>
        <v/>
      </c>
      <c r="Z63" s="517" t="n"/>
      <c r="AA63" s="646" t="n"/>
      <c r="AB63" s="646" t="n"/>
      <c r="AC63" s="518" t="n"/>
      <c r="AD63" s="92" t="n"/>
      <c r="AE63" s="196" t="n"/>
      <c r="AF63" s="92" t="n"/>
      <c r="AG63" s="206" t="n"/>
      <c r="AH63" s="206" t="n"/>
      <c r="AI63" s="94" t="n"/>
    </row>
    <row r="64">
      <c r="B64" s="495" t="n"/>
      <c r="C64" s="517" t="n"/>
      <c r="D64" s="206" t="n"/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515" t="n"/>
      <c r="S64" s="516" t="n"/>
      <c r="T64" s="517" t="n"/>
      <c r="U64" s="518" t="n"/>
      <c r="V64" s="515">
        <f>N64</f>
        <v/>
      </c>
      <c r="W64" s="516">
        <f>O64</f>
        <v/>
      </c>
      <c r="X64" s="517">
        <f>P64</f>
        <v/>
      </c>
      <c r="Y64" s="518">
        <f>Q64</f>
        <v/>
      </c>
      <c r="Z64" s="517" t="n"/>
      <c r="AA64" s="646" t="n"/>
      <c r="AB64" s="646" t="n"/>
      <c r="AC64" s="518" t="n"/>
      <c r="AD64" s="92" t="n"/>
      <c r="AE64" s="196" t="n"/>
      <c r="AF64" s="92" t="n"/>
      <c r="AG64" s="206" t="n"/>
      <c r="AH64" s="206" t="n"/>
      <c r="AI64" s="94" t="n"/>
    </row>
    <row r="65">
      <c r="B65" s="495" t="n"/>
      <c r="C65" s="517" t="n"/>
      <c r="D65" s="206" t="n"/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515" t="n"/>
      <c r="S65" s="516" t="n"/>
      <c r="T65" s="517" t="n"/>
      <c r="U65" s="518" t="n"/>
      <c r="V65" s="515">
        <f>N65</f>
        <v/>
      </c>
      <c r="W65" s="516">
        <f>O65</f>
        <v/>
      </c>
      <c r="X65" s="517">
        <f>P65</f>
        <v/>
      </c>
      <c r="Y65" s="518">
        <f>Q65</f>
        <v/>
      </c>
      <c r="Z65" s="517" t="n"/>
      <c r="AA65" s="646" t="n"/>
      <c r="AB65" s="646" t="n"/>
      <c r="AC65" s="518" t="n"/>
      <c r="AD65" s="92" t="n"/>
      <c r="AE65" s="196" t="n"/>
      <c r="AF65" s="92" t="n"/>
      <c r="AG65" s="206" t="n"/>
      <c r="AH65" s="206" t="n"/>
      <c r="AI65" s="94" t="n"/>
    </row>
    <row r="66">
      <c r="B66" s="495" t="n"/>
      <c r="C66" s="517" t="n"/>
      <c r="D66" s="206" t="n"/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515" t="n"/>
      <c r="S66" s="516" t="n"/>
      <c r="T66" s="517" t="n"/>
      <c r="U66" s="518" t="n"/>
      <c r="V66" s="515">
        <f>N66</f>
        <v/>
      </c>
      <c r="W66" s="516">
        <f>O66</f>
        <v/>
      </c>
      <c r="X66" s="517">
        <f>P66</f>
        <v/>
      </c>
      <c r="Y66" s="518">
        <f>Q66</f>
        <v/>
      </c>
      <c r="Z66" s="517" t="n"/>
      <c r="AA66" s="646" t="n"/>
      <c r="AB66" s="646" t="n"/>
      <c r="AC66" s="518" t="n"/>
      <c r="AD66" s="92" t="n"/>
      <c r="AE66" s="196" t="n"/>
      <c r="AF66" s="92" t="n"/>
      <c r="AG66" s="206" t="n"/>
      <c r="AH66" s="206" t="n"/>
      <c r="AI66" s="94" t="n"/>
    </row>
    <row r="67">
      <c r="A67" s="206" t="n"/>
      <c r="B67" s="495" t="n"/>
      <c r="C67" s="517" t="n"/>
      <c r="D67" s="206" t="n"/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515" t="n"/>
      <c r="S67" s="516" t="n"/>
      <c r="T67" s="517" t="n"/>
      <c r="U67" s="518" t="n"/>
      <c r="V67" s="515">
        <f>N67</f>
        <v/>
      </c>
      <c r="W67" s="516">
        <f>O67</f>
        <v/>
      </c>
      <c r="X67" s="517">
        <f>P67</f>
        <v/>
      </c>
      <c r="Y67" s="518">
        <f>Q67</f>
        <v/>
      </c>
      <c r="Z67" s="517" t="n"/>
      <c r="AA67" s="646" t="n"/>
      <c r="AB67" s="646" t="n"/>
      <c r="AC67" s="518" t="n"/>
      <c r="AD67" s="92" t="n"/>
      <c r="AE67" s="196" t="n"/>
      <c r="AF67" s="92" t="n"/>
      <c r="AG67" s="206" t="n"/>
      <c r="AH67" s="206" t="n"/>
      <c r="AI67" s="94" t="n"/>
    </row>
    <row r="68">
      <c r="A68" s="206" t="n"/>
      <c r="B68" s="495" t="n"/>
      <c r="C68" s="517" t="n"/>
      <c r="D68" s="206" t="n"/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515" t="n"/>
      <c r="S68" s="516" t="n"/>
      <c r="T68" s="517" t="n"/>
      <c r="U68" s="518" t="n"/>
      <c r="V68" s="515">
        <f>N68</f>
        <v/>
      </c>
      <c r="W68" s="516">
        <f>O68</f>
        <v/>
      </c>
      <c r="X68" s="517">
        <f>P68</f>
        <v/>
      </c>
      <c r="Y68" s="518">
        <f>Q68</f>
        <v/>
      </c>
      <c r="Z68" s="517" t="n"/>
      <c r="AA68" s="646" t="n"/>
      <c r="AB68" s="646" t="n"/>
      <c r="AC68" s="518" t="n"/>
      <c r="AD68" s="92" t="n"/>
      <c r="AE68" s="196" t="n"/>
      <c r="AF68" s="92" t="n"/>
      <c r="AG68" s="206" t="n"/>
      <c r="AH68" s="206" t="n"/>
      <c r="AI68" s="94" t="n"/>
    </row>
    <row r="69">
      <c r="A69" s="206" t="n"/>
      <c r="B69" s="495" t="n"/>
      <c r="C69" s="517" t="n"/>
      <c r="D69" s="206" t="n"/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515" t="n"/>
      <c r="S69" s="516" t="n"/>
      <c r="T69" s="517" t="n"/>
      <c r="U69" s="518" t="n"/>
      <c r="V69" s="515">
        <f>N69</f>
        <v/>
      </c>
      <c r="W69" s="516">
        <f>O69</f>
        <v/>
      </c>
      <c r="X69" s="517">
        <f>P69</f>
        <v/>
      </c>
      <c r="Y69" s="518">
        <f>Q69</f>
        <v/>
      </c>
      <c r="Z69" s="517" t="n"/>
      <c r="AA69" s="646" t="n"/>
      <c r="AB69" s="646" t="n"/>
      <c r="AC69" s="518" t="n"/>
      <c r="AD69" s="92" t="n"/>
      <c r="AE69" s="196" t="n"/>
      <c r="AF69" s="92" t="n"/>
      <c r="AG69" s="206" t="n"/>
      <c r="AH69" s="206" t="n"/>
      <c r="AI69" s="94" t="n"/>
    </row>
    <row r="70">
      <c r="A70" s="206" t="n"/>
      <c r="B70" s="495" t="n"/>
      <c r="C70" s="517" t="n"/>
      <c r="D70" s="206" t="n"/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515" t="n"/>
      <c r="S70" s="516" t="n"/>
      <c r="T70" s="517" t="n"/>
      <c r="U70" s="518" t="n"/>
      <c r="V70" s="515">
        <f>N70</f>
        <v/>
      </c>
      <c r="W70" s="516">
        <f>O70</f>
        <v/>
      </c>
      <c r="X70" s="517">
        <f>P70</f>
        <v/>
      </c>
      <c r="Y70" s="518">
        <f>Q70</f>
        <v/>
      </c>
      <c r="Z70" s="517" t="n"/>
      <c r="AA70" s="646" t="n"/>
      <c r="AB70" s="646" t="n"/>
      <c r="AC70" s="518" t="n"/>
      <c r="AD70" s="92" t="n"/>
      <c r="AE70" s="196" t="n"/>
      <c r="AF70" s="92" t="n"/>
      <c r="AG70" s="206" t="n"/>
      <c r="AH70" s="206" t="n"/>
      <c r="AI70" s="94" t="n"/>
    </row>
    <row r="71">
      <c r="A71" s="206" t="n"/>
      <c r="B71" s="495" t="n"/>
      <c r="C71" s="517" t="n"/>
      <c r="D71" s="206" t="n"/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515" t="n"/>
      <c r="S71" s="516" t="n"/>
      <c r="T71" s="517" t="n"/>
      <c r="U71" s="518" t="n"/>
      <c r="V71" s="515">
        <f>N71</f>
        <v/>
      </c>
      <c r="W71" s="516">
        <f>O71</f>
        <v/>
      </c>
      <c r="X71" s="517">
        <f>P71</f>
        <v/>
      </c>
      <c r="Y71" s="518">
        <f>Q71</f>
        <v/>
      </c>
      <c r="Z71" s="517" t="n"/>
      <c r="AA71" s="646" t="n"/>
      <c r="AB71" s="646" t="n"/>
      <c r="AC71" s="518" t="n"/>
      <c r="AD71" s="92" t="n"/>
      <c r="AE71" s="196" t="n"/>
      <c r="AF71" s="92" t="n"/>
      <c r="AG71" s="206" t="n"/>
      <c r="AH71" s="206" t="n"/>
      <c r="AI71" s="94" t="n"/>
    </row>
    <row r="72">
      <c r="A72" s="206" t="n"/>
      <c r="B72" s="495" t="n"/>
      <c r="C72" s="517" t="n"/>
      <c r="D72" s="206" t="n"/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515" t="n"/>
      <c r="S72" s="516" t="n"/>
      <c r="T72" s="517" t="n"/>
      <c r="U72" s="518" t="n"/>
      <c r="V72" s="515">
        <f>N72</f>
        <v/>
      </c>
      <c r="W72" s="516">
        <f>O72</f>
        <v/>
      </c>
      <c r="X72" s="517">
        <f>P72</f>
        <v/>
      </c>
      <c r="Y72" s="518">
        <f>Q72</f>
        <v/>
      </c>
      <c r="Z72" s="517" t="n"/>
      <c r="AA72" s="646" t="n"/>
      <c r="AB72" s="646" t="n"/>
      <c r="AC72" s="518" t="n"/>
      <c r="AD72" s="92" t="n"/>
      <c r="AE72" s="196" t="n"/>
      <c r="AF72" s="92" t="n"/>
      <c r="AG72" s="206" t="n"/>
      <c r="AH72" s="206" t="n"/>
      <c r="AI72" s="94" t="n"/>
    </row>
    <row r="73">
      <c r="A73" s="206" t="n"/>
      <c r="B73" s="206" t="n"/>
      <c r="C73" s="206" t="n"/>
      <c r="D73" s="206" t="n"/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515" t="n"/>
      <c r="S73" s="516" t="n"/>
      <c r="T73" s="517" t="n"/>
      <c r="U73" s="518" t="n"/>
      <c r="V73" s="515">
        <f>N73</f>
        <v/>
      </c>
      <c r="W73" s="516">
        <f>O73</f>
        <v/>
      </c>
      <c r="X73" s="517">
        <f>P73</f>
        <v/>
      </c>
      <c r="Y73" s="518">
        <f>Q73</f>
        <v/>
      </c>
      <c r="Z73" s="517" t="n"/>
      <c r="AA73" s="646" t="n"/>
      <c r="AB73" s="646" t="n"/>
      <c r="AC73" s="518" t="n"/>
      <c r="AD73" s="92" t="n"/>
      <c r="AE73" s="196" t="n"/>
      <c r="AF73" s="92" t="n"/>
      <c r="AG73" s="206" t="n"/>
      <c r="AH73" s="206" t="n"/>
      <c r="AI73" s="94" t="n"/>
    </row>
    <row r="74">
      <c r="A74" s="206" t="n"/>
      <c r="B74" s="495" t="n"/>
      <c r="C74" s="517" t="n"/>
      <c r="D74" s="206" t="n"/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515" t="n"/>
      <c r="S74" s="516" t="n"/>
      <c r="T74" s="517" t="n"/>
      <c r="U74" s="518" t="n"/>
      <c r="V74" s="515">
        <f>N74</f>
        <v/>
      </c>
      <c r="W74" s="516">
        <f>O74</f>
        <v/>
      </c>
      <c r="X74" s="517">
        <f>P74</f>
        <v/>
      </c>
      <c r="Y74" s="518">
        <f>Q74</f>
        <v/>
      </c>
      <c r="Z74" s="517" t="n"/>
      <c r="AA74" s="646" t="n"/>
      <c r="AB74" s="646" t="n"/>
      <c r="AC74" s="518" t="n"/>
      <c r="AD74" s="92" t="n"/>
      <c r="AE74" s="196" t="n"/>
      <c r="AF74" s="92" t="n"/>
      <c r="AG74" s="206" t="n"/>
      <c r="AH74" s="206" t="n"/>
      <c r="AI74" s="94" t="n"/>
    </row>
    <row r="75">
      <c r="A75" s="206" t="n"/>
      <c r="B75" s="495" t="n"/>
      <c r="C75" s="517" t="n"/>
      <c r="D75" s="206" t="n"/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515" t="n"/>
      <c r="S75" s="516" t="n"/>
      <c r="T75" s="517" t="n"/>
      <c r="U75" s="518" t="n"/>
      <c r="V75" s="515">
        <f>N75</f>
        <v/>
      </c>
      <c r="W75" s="516">
        <f>O75</f>
        <v/>
      </c>
      <c r="X75" s="517">
        <f>P75</f>
        <v/>
      </c>
      <c r="Y75" s="518">
        <f>Q75</f>
        <v/>
      </c>
      <c r="Z75" s="517" t="n"/>
      <c r="AA75" s="646" t="n"/>
      <c r="AB75" s="646" t="n"/>
      <c r="AC75" s="518" t="n"/>
      <c r="AD75" s="92" t="n"/>
      <c r="AE75" s="196" t="n"/>
      <c r="AF75" s="92" t="n"/>
      <c r="AG75" s="206" t="n"/>
      <c r="AH75" s="206" t="n"/>
      <c r="AI75" s="94" t="n"/>
    </row>
    <row r="76">
      <c r="A76" s="206" t="n"/>
      <c r="B76" s="206" t="n"/>
      <c r="C76" s="206" t="n"/>
      <c r="D76" s="206" t="n"/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515" t="n"/>
      <c r="S76" s="516" t="n"/>
      <c r="T76" s="517" t="n"/>
      <c r="U76" s="518" t="n"/>
      <c r="V76" s="515">
        <f>N76</f>
        <v/>
      </c>
      <c r="W76" s="516">
        <f>O76</f>
        <v/>
      </c>
      <c r="X76" s="517">
        <f>P76</f>
        <v/>
      </c>
      <c r="Y76" s="518">
        <f>Q76</f>
        <v/>
      </c>
      <c r="Z76" s="517" t="n"/>
      <c r="AA76" s="646" t="n"/>
      <c r="AB76" s="646" t="n"/>
      <c r="AC76" s="518" t="n"/>
      <c r="AD76" s="92" t="n"/>
      <c r="AE76" s="196" t="n"/>
      <c r="AF76" s="92" t="n"/>
      <c r="AG76" s="206" t="n"/>
      <c r="AH76" s="206" t="n"/>
      <c r="AI76" s="94" t="n"/>
    </row>
    <row r="77">
      <c r="A77" s="487" t="n"/>
      <c r="B77" s="495" t="n"/>
      <c r="C77" s="188" t="n"/>
      <c r="D77" s="206" t="n"/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81" t="n"/>
      <c r="S77" s="588" t="n"/>
      <c r="T77" s="640" t="n"/>
      <c r="U77" s="641" t="n"/>
      <c r="V77" s="581">
        <f>$C$31-ROUNDDOWN($C$31*(H5-G5+1)/DAY(H5),-2)</f>
        <v/>
      </c>
      <c r="W77" s="588">
        <f>V77-X77-Y77</f>
        <v/>
      </c>
      <c r="X77" s="640">
        <f>$C$11/$C$7-ROUNDDOWN((C11/C7)*(H5-G5+1)/DAY(H5),-2)</f>
        <v/>
      </c>
      <c r="Y77" s="641">
        <f>$C$12/$C$7-ROUNDDOWN((C12/C7)*(H5-G5+1)/DAY(H5),-2)</f>
        <v/>
      </c>
      <c r="Z77" s="640" t="n"/>
      <c r="AA77" s="653" t="n"/>
      <c r="AB77" s="653" t="n"/>
      <c r="AC77" s="641" t="n"/>
      <c r="AD77" s="59" t="n"/>
      <c r="AE77" s="12" t="n"/>
      <c r="AF77" s="59" t="n"/>
      <c r="AG77" s="95" t="n"/>
      <c r="AH77" s="95" t="n"/>
      <c r="AI77" s="97" t="n"/>
    </row>
    <row r="78">
      <c r="B78" s="495" t="n"/>
      <c r="C78" s="517" t="n"/>
      <c r="D78" s="206" t="n"/>
      <c r="O78" s="500" t="n"/>
      <c r="V78" s="206" t="inlineStr">
        <is>
          <t>* 선납+선납할인 적용 시의 (월 구독료 - 1회차 청구비용) 금액 청구</t>
        </is>
      </c>
    </row>
    <row r="79">
      <c r="B79" s="495" t="n"/>
      <c r="C79" s="517" t="n"/>
      <c r="D79" s="206" t="n"/>
    </row>
    <row r="80">
      <c r="B80" s="495" t="n"/>
      <c r="C80" s="517" t="n"/>
      <c r="D80" s="206" t="n"/>
    </row>
    <row r="81">
      <c r="B81" s="495" t="n"/>
      <c r="C81" s="517" t="n"/>
      <c r="D81" s="206" t="n"/>
      <c r="V81" s="500" t="n"/>
      <c r="W81" s="500" t="n"/>
    </row>
    <row r="82">
      <c r="B82" s="495" t="n"/>
      <c r="C82" s="517" t="n"/>
      <c r="D82" s="206" t="n"/>
      <c r="V82" s="500" t="n"/>
      <c r="W82" s="517" t="n"/>
    </row>
    <row r="83">
      <c r="B83" s="495" t="n"/>
      <c r="C83" s="517" t="n"/>
      <c r="D83" s="505" t="n"/>
      <c r="V83" s="500" t="n"/>
      <c r="W83" s="500" t="n"/>
    </row>
    <row r="84">
      <c r="A84" s="206" t="n"/>
      <c r="B84" s="206" t="n"/>
      <c r="C84" s="206" t="n"/>
      <c r="D84" s="206" t="n"/>
    </row>
    <row r="85">
      <c r="A85" s="206" t="n"/>
      <c r="B85" s="206" t="n"/>
      <c r="C85" s="206" t="n"/>
      <c r="D85" s="206" t="n"/>
    </row>
    <row r="86">
      <c r="A86" s="206" t="n"/>
      <c r="B86" s="206" t="n"/>
      <c r="C86" s="206" t="n"/>
      <c r="D86" s="206" t="n"/>
    </row>
    <row r="87">
      <c r="A87" s="206" t="n"/>
      <c r="B87" s="206" t="n"/>
      <c r="C87" s="206" t="n"/>
      <c r="D87" s="206" t="n"/>
    </row>
    <row r="88">
      <c r="A88" s="206" t="n"/>
      <c r="B88" s="206" t="n"/>
      <c r="C88" s="206" t="n"/>
      <c r="D88" s="206" t="n"/>
    </row>
    <row r="89">
      <c r="A89" s="206" t="n"/>
      <c r="B89" s="206" t="n"/>
      <c r="C89" s="206" t="n"/>
      <c r="D89" s="206" t="n"/>
    </row>
  </sheetData>
  <mergeCells count="2">
    <mergeCell ref="A60:A66"/>
    <mergeCell ref="A77:A8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tabColor rgb="00A6A6A6"/>
    <outlinePr summaryBelow="1" summaryRight="1"/>
    <pageSetUpPr/>
  </sheetPr>
  <dimension ref="A2:AB78"/>
  <sheetViews>
    <sheetView showGridLines="0" zoomScale="60" zoomScaleNormal="60" workbookViewId="0">
      <selection activeCell="J34" sqref="J3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outlineLevel="1" width="11.1875" customWidth="1" style="497" min="14" max="14"/>
    <col outlineLevel="1" width="10.875" customWidth="1" style="497" min="15" max="16"/>
    <col outlineLevel="1" width="9.375" customWidth="1" style="497" min="17" max="17"/>
    <col width="11.1875" bestFit="1" customWidth="1" style="497" min="18" max="18"/>
    <col width="7.375" bestFit="1" customWidth="1" style="497" min="19" max="19"/>
    <col width="24" bestFit="1" customWidth="1" style="497" min="20" max="20"/>
    <col hidden="1" width="11.875" customWidth="1" style="497" min="21" max="21"/>
    <col width="11.875" bestFit="1" customWidth="1" style="497" min="22" max="22"/>
    <col width="10.6875" bestFit="1" customWidth="1" style="497" min="23" max="23"/>
    <col width="13" bestFit="1" customWidth="1" style="497" min="24" max="24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T2" s="206" t="inlineStr">
        <is>
          <t xml:space="preserve">* 기본 구독료 기준 보상 </t>
        </is>
      </c>
      <c r="U2" s="206" t="inlineStr">
        <is>
          <t>* 할인여부 무관 기본구독료 기준 보상</t>
        </is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75" t="inlineStr">
        <is>
          <t>선납+선납할인 시</t>
        </is>
      </c>
      <c r="O3" s="76" t="n"/>
      <c r="P3" s="76" t="n"/>
      <c r="Q3" s="76" t="n"/>
      <c r="R3" s="75" t="inlineStr">
        <is>
          <t>AS 미사용 기간 보상</t>
        </is>
      </c>
      <c r="S3" s="70" t="n"/>
      <c r="T3" s="70" t="n"/>
      <c r="U3" s="70" t="n"/>
      <c r="V3" s="7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26" t="inlineStr">
        <is>
          <t>AS 기간</t>
        </is>
      </c>
      <c r="S4" s="9" t="inlineStr">
        <is>
          <t>경과일</t>
        </is>
      </c>
      <c r="T4" s="9" t="inlineStr">
        <is>
          <t>미사용기간분</t>
        </is>
      </c>
      <c r="U4" s="15" t="inlineStr">
        <is>
          <t>할인금</t>
        </is>
      </c>
      <c r="V4" s="9" t="inlineStr">
        <is>
          <t>최종 보상금</t>
        </is>
      </c>
      <c r="X4" s="122" t="inlineStr">
        <is>
          <t>미사용기간분</t>
        </is>
      </c>
      <c r="Y4" s="121" t="n"/>
      <c r="Z4" s="123" t="n"/>
      <c r="AA4" s="123" t="n"/>
      <c r="AB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L5</f>
        <v/>
      </c>
      <c r="Q5" s="519">
        <f>M5</f>
        <v/>
      </c>
      <c r="R5" s="55" t="n"/>
      <c r="S5" s="54" t="n"/>
      <c r="T5" s="54" t="n"/>
      <c r="U5" s="626" t="n"/>
      <c r="V5" s="574" t="n"/>
      <c r="X5" s="125" t="n"/>
      <c r="Y5" s="26" t="inlineStr">
        <is>
          <t>제품</t>
        </is>
      </c>
      <c r="Z5" s="15" t="inlineStr">
        <is>
          <t>케어</t>
        </is>
      </c>
      <c r="AA5" s="15" t="inlineStr">
        <is>
          <t>보증</t>
        </is>
      </c>
      <c r="AB5" s="27" t="inlineStr">
        <is>
          <t>선납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92" t="n"/>
      <c r="S6" s="196" t="n"/>
      <c r="T6" s="196" t="n"/>
      <c r="U6" s="206" t="n"/>
      <c r="V6" s="196" t="n"/>
      <c r="X6" s="527">
        <f>T23</f>
        <v/>
      </c>
      <c r="Y6" s="506">
        <f>X6-SUM(Z6:AB6)</f>
        <v/>
      </c>
      <c r="Z6" s="506">
        <f>ROUNDUP(L23*S23/DAY(H23),-2)</f>
        <v/>
      </c>
      <c r="AA6" s="506">
        <f>ROUNDUP(M23*S23/DAY(H23),-2)</f>
        <v/>
      </c>
      <c r="AB6" s="506">
        <f>ROUNDUP(($C$26/$C$7)*S23/DAY(H23),-2)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92" t="n"/>
      <c r="S7" s="196" t="n"/>
      <c r="T7" s="196" t="n"/>
      <c r="U7" s="206" t="n"/>
      <c r="V7" s="196" t="n"/>
      <c r="X7" s="527">
        <f>T24</f>
        <v/>
      </c>
      <c r="Y7" s="506">
        <f>X7-SUM(Z7:AB7)</f>
        <v/>
      </c>
      <c r="Z7" s="506">
        <f>ROUNDUP(L24*S24/DAY(H24),-2)</f>
        <v/>
      </c>
      <c r="AA7" s="506">
        <f>ROUNDUP(M24*S24/DAY(H24),-2)</f>
        <v/>
      </c>
      <c r="AB7" s="506">
        <f>ROUNDUP(($C$26/$C$7)*S24/DAY(H24),-2)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92" t="n"/>
      <c r="S8" s="196" t="n"/>
      <c r="T8" s="196" t="n"/>
      <c r="U8" s="206" t="n"/>
      <c r="V8" s="196" t="n"/>
      <c r="AB8" s="206" t="inlineStr">
        <is>
          <t>* 차후 중도해지 발생으로 선납환불 시, 이미 보상으로 환불된 선납포션 제외필요</t>
        </is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92" t="n"/>
      <c r="S9" s="196" t="n"/>
      <c r="T9" s="196" t="n"/>
      <c r="U9" s="206" t="n"/>
      <c r="V9" s="196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92" t="n"/>
      <c r="S10" s="196" t="n"/>
      <c r="T10" s="196" t="n"/>
      <c r="U10" s="206" t="n"/>
      <c r="V10" s="196" t="n"/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92" t="n"/>
      <c r="S11" s="196" t="n"/>
      <c r="T11" s="196" t="n"/>
      <c r="U11" s="206" t="n"/>
      <c r="V11" s="196" t="n"/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92" t="n"/>
      <c r="S12" s="196" t="n"/>
      <c r="T12" s="196" t="n"/>
      <c r="U12" s="206" t="n"/>
      <c r="V12" s="196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92" t="n"/>
      <c r="S13" s="196" t="n"/>
      <c r="T13" s="196" t="n"/>
      <c r="U13" s="206" t="n"/>
      <c r="V13" s="196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92" t="n"/>
      <c r="S14" s="196" t="n"/>
      <c r="T14" s="196" t="n"/>
      <c r="U14" s="206" t="n"/>
      <c r="V14" s="196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92" t="n"/>
      <c r="S15" s="196" t="n"/>
      <c r="T15" s="196" t="n"/>
      <c r="U15" s="206" t="n"/>
      <c r="V15" s="196" t="n"/>
    </row>
    <row r="16">
      <c r="B16" s="9" t="inlineStr">
        <is>
          <t>총구독료(v+)</t>
        </is>
      </c>
      <c r="C16" s="526" t="n">
        <v>12933360</v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92" t="n"/>
      <c r="S16" s="196" t="n"/>
      <c r="T16" s="196" t="n"/>
      <c r="U16" s="206" t="n"/>
      <c r="V16" s="196" t="n"/>
    </row>
    <row r="17">
      <c r="B17" s="9" t="inlineStr">
        <is>
          <t>월구독료(v+)</t>
        </is>
      </c>
      <c r="C17" s="526" t="n">
        <v>179630</v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92" t="n"/>
      <c r="S17" s="196" t="n"/>
      <c r="T17" s="196" t="n"/>
      <c r="U17" s="206" t="n"/>
      <c r="V17" s="196" t="n"/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92" t="n"/>
      <c r="S18" s="196" t="n"/>
      <c r="T18" s="196" t="n"/>
      <c r="U18" s="206" t="n"/>
      <c r="V18" s="196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92" t="n"/>
      <c r="S19" s="196" t="n"/>
      <c r="T19" s="196" t="n"/>
      <c r="U19" s="206" t="n"/>
      <c r="V19" s="196" t="n"/>
    </row>
    <row r="20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L20</f>
        <v/>
      </c>
      <c r="Q20" s="519">
        <f>M20</f>
        <v/>
      </c>
      <c r="R20" s="92" t="n"/>
      <c r="S20" s="196" t="n"/>
      <c r="T20" s="196" t="n"/>
      <c r="U20" s="206" t="n"/>
      <c r="V20" s="196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L21</f>
        <v/>
      </c>
      <c r="Q21" s="519">
        <f>M21</f>
        <v/>
      </c>
      <c r="R21" s="92" t="n"/>
      <c r="S21" s="196" t="n"/>
      <c r="T21" s="196" t="n"/>
      <c r="U21" s="206" t="n"/>
      <c r="V21" s="196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L22</f>
        <v/>
      </c>
      <c r="Q22" s="519">
        <f>M22</f>
        <v/>
      </c>
      <c r="R22" s="92" t="n"/>
      <c r="S22" s="196" t="n"/>
      <c r="T22" s="196" t="inlineStr">
        <is>
          <t>* 고객에게 돌려주는 보상금은 ROUNDUP</t>
        </is>
      </c>
      <c r="U22" s="206" t="n"/>
      <c r="V22" s="196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L23</f>
        <v/>
      </c>
      <c r="Q23" s="519">
        <f>M23</f>
        <v/>
      </c>
      <c r="R23" s="99" t="n">
        <v>46448</v>
      </c>
      <c r="S23" s="415">
        <f>H23-R23+1</f>
        <v/>
      </c>
      <c r="T23" s="630">
        <f>ROUNDUP($J$23*S23/DAY(H23),-2)</f>
        <v/>
      </c>
      <c r="U23" s="632" t="n"/>
      <c r="V23" s="735">
        <f>T23</f>
        <v/>
      </c>
      <c r="W23" s="500">
        <f>SUM(T23:T24)</f>
        <v/>
      </c>
      <c r="X23" s="517">
        <f>ROUNDUP(C14*(S23+S24)/C8,-2)</f>
        <v/>
      </c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$C$31</f>
        <v/>
      </c>
      <c r="O24" s="516">
        <f>N24-P24-Q24</f>
        <v/>
      </c>
      <c r="P24" s="500">
        <f>L24</f>
        <v/>
      </c>
      <c r="Q24" s="519">
        <f>M24</f>
        <v/>
      </c>
      <c r="R24" s="99" t="n">
        <v>46482</v>
      </c>
      <c r="S24" s="415">
        <f>R24-G24+1</f>
        <v/>
      </c>
      <c r="T24" s="630">
        <f>ROUNDUP($J$24*S24/DAY(H24),-2)</f>
        <v/>
      </c>
      <c r="U24" s="632" t="n"/>
      <c r="V24" s="735">
        <f>T24</f>
        <v/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92" t="n"/>
      <c r="S25" s="196" t="n"/>
      <c r="T25" s="196" t="inlineStr">
        <is>
          <t>* 선납 여부 무관 기본 구독료 기준으로 미사용기간분 계산 (선납 일부 환불)</t>
        </is>
      </c>
      <c r="U25" s="539" t="n"/>
      <c r="V25" s="196" t="n"/>
    </row>
    <row r="26">
      <c r="A26" s="176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92" t="n"/>
      <c r="S26" s="196" t="n"/>
      <c r="T26" s="196" t="n"/>
      <c r="U26" s="206" t="n"/>
      <c r="V26" s="196" t="n"/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92" t="n"/>
      <c r="S27" s="196" t="n"/>
      <c r="T27" s="196" t="n"/>
      <c r="U27" s="206" t="n"/>
      <c r="V27" s="196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92" t="n"/>
      <c r="S28" s="196" t="n"/>
      <c r="T28" s="196" t="n"/>
      <c r="U28" s="206" t="n"/>
      <c r="V28" s="196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92" t="n"/>
      <c r="S29" s="196" t="n"/>
      <c r="T29" s="196" t="n"/>
      <c r="U29" s="206" t="n"/>
      <c r="V29" s="196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92" t="n"/>
      <c r="S30" s="196" t="n"/>
      <c r="T30" s="196" t="n"/>
      <c r="U30" s="206" t="n"/>
      <c r="V30" s="196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92" t="n"/>
      <c r="S31" s="196" t="n"/>
      <c r="T31" s="196" t="n"/>
      <c r="U31" s="206" t="n"/>
      <c r="V31" s="196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92" t="n"/>
      <c r="S32" s="196" t="n"/>
      <c r="T32" s="196" t="n"/>
      <c r="U32" s="206" t="n"/>
      <c r="V32" s="196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92" t="n"/>
      <c r="S33" s="196" t="n"/>
      <c r="T33" s="196" t="n"/>
      <c r="U33" s="206" t="n"/>
      <c r="V33" s="196" t="n"/>
    </row>
    <row r="34">
      <c r="B34" s="9" t="inlineStr">
        <is>
          <t>선납금+선납 할인 반영 순수 구독료 (V-)</t>
        </is>
      </c>
      <c r="C34" s="506">
        <f>C32-C11-C12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92" t="n"/>
      <c r="S34" s="196" t="n"/>
      <c r="T34" s="196" t="n"/>
      <c r="U34" s="206" t="n"/>
      <c r="V34" s="196" t="n"/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92" t="n"/>
      <c r="S35" s="196" t="n"/>
      <c r="T35" s="196" t="n"/>
      <c r="U35" s="206" t="n"/>
      <c r="V35" s="196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92" t="n"/>
      <c r="S36" s="196" t="n"/>
      <c r="T36" s="196" t="n"/>
      <c r="U36" s="206" t="n"/>
      <c r="V36" s="196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92" t="n"/>
      <c r="S37" s="196" t="n"/>
      <c r="T37" s="196" t="n"/>
      <c r="U37" s="206" t="n"/>
      <c r="V37" s="196" t="n"/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92" t="n"/>
      <c r="S38" s="196" t="n"/>
      <c r="T38" s="196" t="n"/>
      <c r="U38" s="206" t="n"/>
      <c r="V38" s="196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92" t="n"/>
      <c r="S39" s="196" t="n"/>
      <c r="T39" s="196" t="n"/>
      <c r="U39" s="206" t="n"/>
      <c r="V39" s="196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92" t="n"/>
      <c r="S40" s="196" t="n"/>
      <c r="T40" s="196" t="n"/>
      <c r="U40" s="206" t="n"/>
      <c r="V40" s="196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92" t="n"/>
      <c r="S41" s="196" t="n"/>
      <c r="T41" s="196" t="n"/>
      <c r="U41" s="206" t="n"/>
      <c r="V41" s="196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92" t="n"/>
      <c r="S42" s="196" t="n"/>
      <c r="T42" s="196" t="n"/>
      <c r="U42" s="206" t="n"/>
      <c r="V42" s="196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92" t="n"/>
      <c r="S43" s="196" t="n"/>
      <c r="T43" s="196" t="n"/>
      <c r="U43" s="206" t="n"/>
      <c r="V43" s="196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92" t="n"/>
      <c r="S44" s="196" t="n"/>
      <c r="T44" s="196" t="n"/>
      <c r="U44" s="206" t="n"/>
      <c r="V44" s="196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92" t="n"/>
      <c r="S45" s="196" t="n"/>
      <c r="T45" s="196" t="n"/>
      <c r="U45" s="206" t="n"/>
      <c r="V45" s="196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92" t="n"/>
      <c r="S46" s="196" t="n"/>
      <c r="T46" s="196" t="n"/>
      <c r="U46" s="206" t="n"/>
      <c r="V46" s="196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92" t="n"/>
      <c r="S47" s="196" t="n"/>
      <c r="T47" s="196" t="n"/>
      <c r="U47" s="206" t="n"/>
      <c r="V47" s="196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92" t="n"/>
      <c r="S48" s="196" t="n"/>
      <c r="T48" s="196" t="n"/>
      <c r="U48" s="206" t="n"/>
      <c r="V48" s="196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92" t="n"/>
      <c r="S49" s="196" t="n"/>
      <c r="T49" s="196" t="n"/>
      <c r="U49" s="206" t="n"/>
      <c r="V49" s="196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92" t="n"/>
      <c r="S50" s="196" t="n"/>
      <c r="T50" s="196" t="n"/>
      <c r="U50" s="206" t="n"/>
      <c r="V50" s="196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92" t="n"/>
      <c r="S51" s="196" t="n"/>
      <c r="T51" s="196" t="n"/>
      <c r="U51" s="206" t="n"/>
      <c r="V51" s="196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92" t="n"/>
      <c r="S52" s="196" t="n"/>
      <c r="T52" s="196" t="n"/>
      <c r="U52" s="206" t="n"/>
      <c r="V52" s="196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92" t="n"/>
      <c r="S53" s="196" t="n"/>
      <c r="T53" s="196" t="n"/>
      <c r="U53" s="206" t="n"/>
      <c r="V53" s="196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92" t="n"/>
      <c r="S54" s="196" t="n"/>
      <c r="T54" s="196" t="n"/>
      <c r="U54" s="206" t="n"/>
      <c r="V54" s="196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92" t="n"/>
      <c r="S55" s="196" t="n"/>
      <c r="T55" s="196" t="n"/>
      <c r="U55" s="206" t="n"/>
      <c r="V55" s="196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92" t="n"/>
      <c r="S56" s="196" t="n"/>
      <c r="T56" s="196" t="n"/>
      <c r="U56" s="206" t="n"/>
      <c r="V56" s="196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92" t="n"/>
      <c r="S57" s="196" t="n"/>
      <c r="T57" s="196" t="n"/>
      <c r="U57" s="206" t="n"/>
      <c r="V57" s="196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92" t="n"/>
      <c r="S58" s="196" t="n"/>
      <c r="T58" s="196" t="n"/>
      <c r="U58" s="206" t="n"/>
      <c r="V58" s="196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92" t="n"/>
      <c r="S59" s="196" t="n"/>
      <c r="T59" s="196" t="n"/>
      <c r="U59" s="206" t="n"/>
      <c r="V59" s="196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L60</f>
        <v/>
      </c>
      <c r="Q60" s="519">
        <f>M60</f>
        <v/>
      </c>
      <c r="R60" s="92" t="n"/>
      <c r="S60" s="196" t="n"/>
      <c r="T60" s="196" t="n"/>
      <c r="U60" s="206" t="n"/>
      <c r="V60" s="196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92" t="n"/>
      <c r="S61" s="196" t="n"/>
      <c r="T61" s="196" t="n"/>
      <c r="U61" s="206" t="n"/>
      <c r="V61" s="196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92" t="n"/>
      <c r="S62" s="196" t="n"/>
      <c r="T62" s="196" t="n"/>
      <c r="U62" s="206" t="n"/>
      <c r="V62" s="196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92" t="n"/>
      <c r="S63" s="196" t="n"/>
      <c r="T63" s="196" t="n"/>
      <c r="U63" s="206" t="n"/>
      <c r="V63" s="196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92" t="n"/>
      <c r="S64" s="196" t="n"/>
      <c r="T64" s="196" t="n"/>
      <c r="U64" s="206" t="n"/>
      <c r="V64" s="196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92" t="n"/>
      <c r="S65" s="196" t="n"/>
      <c r="T65" s="196" t="n"/>
      <c r="U65" s="206" t="n"/>
      <c r="V65" s="196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92" t="n"/>
      <c r="S66" s="196" t="n"/>
      <c r="T66" s="196" t="n"/>
      <c r="U66" s="206" t="n"/>
      <c r="V66" s="196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92" t="n"/>
      <c r="S67" s="196" t="n"/>
      <c r="T67" s="196" t="n"/>
      <c r="U67" s="206" t="n"/>
      <c r="V67" s="196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92" t="n"/>
      <c r="S68" s="196" t="n"/>
      <c r="T68" s="196" t="n"/>
      <c r="U68" s="206" t="n"/>
      <c r="V68" s="196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92" t="n"/>
      <c r="S69" s="196" t="n"/>
      <c r="T69" s="196" t="n"/>
      <c r="U69" s="206" t="n"/>
      <c r="V69" s="196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92" t="n"/>
      <c r="S70" s="196" t="n"/>
      <c r="T70" s="196" t="n"/>
      <c r="U70" s="206" t="n"/>
      <c r="V70" s="196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92" t="n"/>
      <c r="S71" s="196" t="n"/>
      <c r="T71" s="196" t="n"/>
      <c r="U71" s="206" t="n"/>
      <c r="V71" s="196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92" t="n"/>
      <c r="S72" s="196" t="n"/>
      <c r="T72" s="196" t="n"/>
      <c r="U72" s="206" t="n"/>
      <c r="V72" s="196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92" t="n"/>
      <c r="S73" s="196" t="n"/>
      <c r="T73" s="196" t="n"/>
      <c r="U73" s="206" t="n"/>
      <c r="V73" s="196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92" t="n"/>
      <c r="S74" s="196" t="n"/>
      <c r="T74" s="196" t="n"/>
      <c r="U74" s="206" t="n"/>
      <c r="V74" s="196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92" t="n"/>
      <c r="S75" s="196" t="n"/>
      <c r="T75" s="196" t="n"/>
      <c r="U75" s="206" t="n"/>
      <c r="V75" s="196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92" t="n"/>
      <c r="S76" s="196" t="n"/>
      <c r="T76" s="196" t="n"/>
      <c r="U76" s="206" t="n"/>
      <c r="V76" s="196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9" t="n"/>
      <c r="S77" s="12" t="n"/>
      <c r="T77" s="12" t="n"/>
      <c r="U77" s="95" t="n"/>
      <c r="V77" s="12" t="n"/>
    </row>
    <row r="78">
      <c r="O78" s="500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tabColor rgb="00A6A6A6"/>
    <outlinePr summaryBelow="1" summaryRight="1"/>
    <pageSetUpPr/>
  </sheetPr>
  <dimension ref="A1:AH79"/>
  <sheetViews>
    <sheetView showGridLines="0" topLeftCell="C1" zoomScale="60" zoomScaleNormal="60" workbookViewId="0">
      <selection activeCell="AB7" sqref="AB7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6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0"/>
    <col width="13" customWidth="1" style="497" min="11" max="11"/>
    <col width="13" bestFit="1" customWidth="1" style="497" min="12" max="12"/>
    <col width="11.6875" bestFit="1" customWidth="1" style="497" min="13" max="13"/>
    <col width="10.1875" bestFit="1" customWidth="1" style="497" min="14" max="14"/>
    <col width="10.1875" customWidth="1" style="497" min="15" max="15"/>
    <col width="14.125" bestFit="1" customWidth="1" style="497" min="16" max="16"/>
    <col width="19.6875" bestFit="1" customWidth="1" style="497" min="17" max="17"/>
    <col width="11.6875" bestFit="1" customWidth="1" style="497" min="18" max="19"/>
    <col width="9.375" bestFit="1" customWidth="1" style="497" min="20" max="20"/>
    <col width="9.375" customWidth="1" style="497" min="21" max="21"/>
    <col width="11.1875" bestFit="1" customWidth="1" style="497" min="22" max="22"/>
    <col width="7.375" bestFit="1" customWidth="1" style="497" min="23" max="23"/>
    <col width="24" bestFit="1" customWidth="1" style="497" min="24" max="24"/>
    <col width="11.875" customWidth="1" style="497" min="25" max="25"/>
    <col width="11.875" bestFit="1" customWidth="1" style="497" min="26" max="26"/>
    <col width="10.6875" bestFit="1" customWidth="1" style="497" min="27" max="27"/>
    <col width="13" bestFit="1" customWidth="1" style="497" min="28" max="28"/>
    <col width="13" customWidth="1" style="497" min="29" max="29"/>
    <col width="11" bestFit="1" customWidth="1" style="497" min="30" max="30"/>
    <col width="11.5" customWidth="1" style="497" min="33" max="33"/>
  </cols>
  <sheetData>
    <row r="1">
      <c r="K1" s="505">
        <f>K2*1.1</f>
        <v/>
      </c>
      <c r="P1" s="505">
        <f>Q1+U2</f>
        <v/>
      </c>
      <c r="Q1" s="505">
        <f>Q2*1.1</f>
        <v/>
      </c>
    </row>
    <row r="2">
      <c r="I2" s="8" t="inlineStr">
        <is>
          <t>SUM =</t>
        </is>
      </c>
      <c r="J2" s="500">
        <f>SUM(J6:J78)</f>
        <v/>
      </c>
      <c r="K2" s="500">
        <f>SUM(K6:K78)</f>
        <v/>
      </c>
      <c r="L2" s="500">
        <f>SUM(L6:L78)</f>
        <v/>
      </c>
      <c r="M2" s="500">
        <f>SUM(M6:M78)</f>
        <v/>
      </c>
      <c r="N2" s="500">
        <f>SUM(N6:N78)</f>
        <v/>
      </c>
      <c r="O2" s="500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X2" s="206" t="inlineStr">
        <is>
          <t xml:space="preserve">* 기본 구독료 기준 보상 </t>
        </is>
      </c>
      <c r="Y2" s="206" t="inlineStr">
        <is>
          <t>* 할인여부 무관 기본구독료 기준 보상</t>
        </is>
      </c>
    </row>
    <row r="3">
      <c r="I3" s="8" t="n"/>
      <c r="J3" s="501" t="inlineStr">
        <is>
          <t>기본 (v-)</t>
        </is>
      </c>
      <c r="K3" s="502" t="n"/>
      <c r="L3" s="502" t="n"/>
      <c r="M3" s="502" t="n"/>
      <c r="N3" s="503" t="n"/>
      <c r="O3" s="502" t="n"/>
      <c r="P3" s="75" t="inlineStr">
        <is>
          <t>선납+선납할인 시 (v-)</t>
        </is>
      </c>
      <c r="Q3" s="76" t="n"/>
      <c r="R3" s="76" t="n"/>
      <c r="S3" s="76" t="n"/>
      <c r="T3" s="76" t="n"/>
      <c r="U3" s="76" t="n"/>
      <c r="V3" s="75" t="inlineStr">
        <is>
          <t>AS 미사용 기간 보상</t>
        </is>
      </c>
      <c r="W3" s="70" t="n"/>
      <c r="X3" s="70" t="n"/>
      <c r="Y3" s="70" t="n"/>
      <c r="Z3" s="70" t="n"/>
    </row>
    <row r="4">
      <c r="I4" s="8" t="n"/>
      <c r="J4" s="264" t="inlineStr">
        <is>
          <t>구독료청구</t>
        </is>
      </c>
      <c r="K4" s="643" t="inlineStr">
        <is>
          <t>파손 제외 구독료</t>
        </is>
      </c>
      <c r="L4" s="560" t="n"/>
      <c r="M4" s="560" t="n"/>
      <c r="N4" s="561" t="n"/>
      <c r="O4" s="644" t="inlineStr">
        <is>
          <t>파손보험</t>
        </is>
      </c>
      <c r="P4" s="264" t="inlineStr">
        <is>
          <t>구독료청구</t>
        </is>
      </c>
      <c r="Q4" s="643" t="inlineStr">
        <is>
          <t>파손 제외 구독료</t>
        </is>
      </c>
      <c r="R4" s="560" t="n"/>
      <c r="S4" s="560" t="n"/>
      <c r="T4" s="561" t="n"/>
      <c r="U4" s="645" t="inlineStr">
        <is>
          <t>파손보험</t>
        </is>
      </c>
      <c r="V4" s="264" t="inlineStr">
        <is>
          <t>AS 기간</t>
        </is>
      </c>
      <c r="W4" s="264" t="inlineStr">
        <is>
          <t>경과일</t>
        </is>
      </c>
      <c r="X4" s="264" t="inlineStr">
        <is>
          <t>미사용기간분</t>
        </is>
      </c>
      <c r="Y4" s="264" t="inlineStr">
        <is>
          <t>할인금</t>
        </is>
      </c>
      <c r="Z4" s="264" t="inlineStr">
        <is>
          <t>최종 보상금</t>
        </is>
      </c>
      <c r="AB4" s="122" t="inlineStr">
        <is>
          <t>미사용기간분</t>
        </is>
      </c>
      <c r="AC4" s="285" t="n"/>
      <c r="AD4" s="121" t="n"/>
      <c r="AE4" s="123" t="n"/>
      <c r="AF4" s="123" t="n"/>
      <c r="AG4" s="123" t="n"/>
      <c r="AH4" s="124" t="n"/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65" t="n"/>
      <c r="K5" s="270" t="n"/>
      <c r="L5" s="26" t="inlineStr">
        <is>
          <t>제품</t>
        </is>
      </c>
      <c r="M5" s="15" t="inlineStr">
        <is>
          <t>케어</t>
        </is>
      </c>
      <c r="N5" s="27" t="inlineStr">
        <is>
          <t>보증</t>
        </is>
      </c>
      <c r="O5" s="265" t="n"/>
      <c r="P5" s="265" t="n"/>
      <c r="Q5" s="270" t="n"/>
      <c r="R5" s="26" t="inlineStr">
        <is>
          <t>제품</t>
        </is>
      </c>
      <c r="S5" s="15" t="inlineStr">
        <is>
          <t>케어</t>
        </is>
      </c>
      <c r="T5" s="27" t="inlineStr">
        <is>
          <t>보증</t>
        </is>
      </c>
      <c r="U5" s="265" t="n"/>
      <c r="V5" s="265" t="n"/>
      <c r="W5" s="265" t="n"/>
      <c r="X5" s="265" t="n"/>
      <c r="Y5" s="265" t="n"/>
      <c r="Z5" s="265" t="n"/>
      <c r="AB5" s="286" t="n"/>
      <c r="AC5" s="122" t="inlineStr">
        <is>
          <t>파손 제외 구독료</t>
        </is>
      </c>
      <c r="AD5" s="121" t="n"/>
      <c r="AE5" s="123" t="n"/>
      <c r="AF5" s="123" t="n"/>
      <c r="AG5" s="269" t="n"/>
      <c r="AH5" s="264" t="inlineStr">
        <is>
          <t>파손</t>
        </is>
      </c>
    </row>
    <row r="6">
      <c r="B6" s="9" t="inlineStr">
        <is>
          <t>모델코드</t>
        </is>
      </c>
      <c r="C6" s="6" t="inlineStr">
        <is>
          <t>SM-X920NZAAKOO</t>
        </is>
      </c>
      <c r="F6" s="101" t="inlineStr">
        <is>
          <t>1회차</t>
        </is>
      </c>
      <c r="G6" s="102" t="n">
        <v>45912</v>
      </c>
      <c r="H6" s="102" t="n">
        <v>45930</v>
      </c>
      <c r="I6" s="103">
        <f>EOMONTH(G6,0)+15</f>
        <v/>
      </c>
      <c r="J6" s="515">
        <f>K6+O6</f>
        <v/>
      </c>
      <c r="K6" s="646">
        <f>ROUNDDOWN(($C$20/1.1/$C$8)*(H6-G6+1)/DAY(H6),-2)</f>
        <v/>
      </c>
      <c r="L6" s="516">
        <f>K6-M6-N6</f>
        <v/>
      </c>
      <c r="M6" s="517">
        <f>ROUNDDOWN(($C$12/$C$8)*(H6-G6+1)/DAY(H6),-2)</f>
        <v/>
      </c>
      <c r="N6" s="518">
        <f>ROUNDDOWN(($C$13/$C$8)*(H6-G6+1)/DAY(H6),-2)</f>
        <v/>
      </c>
      <c r="O6" s="518">
        <f>ROUNDDOWN(($C$14/$C$8)*(H6-G6+1)/DAY(H6),-2)</f>
        <v/>
      </c>
      <c r="P6" s="515">
        <f>Q6+U6</f>
        <v/>
      </c>
      <c r="Q6" s="646">
        <f>ROUNDDOWN(($C$41/1.1/$C$8)*(H6-G6+1)/DAY(H6),-2)</f>
        <v/>
      </c>
      <c r="R6" s="516">
        <f>Q6-S6-T6</f>
        <v/>
      </c>
      <c r="S6" s="500">
        <f>M6</f>
        <v/>
      </c>
      <c r="T6" s="519">
        <f>N6</f>
        <v/>
      </c>
      <c r="U6" s="500">
        <f>O6</f>
        <v/>
      </c>
      <c r="V6" s="55" t="n"/>
      <c r="W6" s="54" t="n"/>
      <c r="X6" s="54" t="n"/>
      <c r="Y6" s="626" t="n"/>
      <c r="Z6" s="574" t="n"/>
      <c r="AB6" s="125" t="n"/>
      <c r="AC6" s="125" t="n"/>
      <c r="AD6" s="9" t="inlineStr">
        <is>
          <t>제품</t>
        </is>
      </c>
      <c r="AE6" s="9" t="inlineStr">
        <is>
          <t>케어</t>
        </is>
      </c>
      <c r="AF6" s="9" t="inlineStr">
        <is>
          <t>보증</t>
        </is>
      </c>
      <c r="AG6" s="9" t="inlineStr">
        <is>
          <t>선납</t>
        </is>
      </c>
      <c r="AH6" s="265" t="n"/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K7+O7</f>
        <v/>
      </c>
      <c r="K7" s="646">
        <f>$C$20/1.1/$C$8</f>
        <v/>
      </c>
      <c r="L7" s="516">
        <f>K7-M7-N7</f>
        <v/>
      </c>
      <c r="M7" s="517">
        <f>$C$12/$C$8</f>
        <v/>
      </c>
      <c r="N7" s="518">
        <f>$C$13/$C$8</f>
        <v/>
      </c>
      <c r="O7" s="518">
        <f>$C$14/$C$8</f>
        <v/>
      </c>
      <c r="P7" s="515">
        <f>Q7+U7</f>
        <v/>
      </c>
      <c r="Q7" s="646">
        <f>$C$41/1.1/$C$8</f>
        <v/>
      </c>
      <c r="R7" s="516">
        <f>Q7-S7-T7</f>
        <v/>
      </c>
      <c r="S7" s="500">
        <f>M7</f>
        <v/>
      </c>
      <c r="T7" s="519">
        <f>N7</f>
        <v/>
      </c>
      <c r="U7" s="500">
        <f>O7</f>
        <v/>
      </c>
      <c r="V7" s="92" t="n"/>
      <c r="W7" s="196" t="n"/>
      <c r="X7" s="196" t="n"/>
      <c r="Z7" s="196" t="n"/>
      <c r="AB7" s="527">
        <f>AC7+AH7</f>
        <v/>
      </c>
      <c r="AC7" s="527">
        <f>ROUNDUP((($C$20/$C$8)/1.1)*W24/DAY(H24),-2)</f>
        <v/>
      </c>
      <c r="AD7" s="506">
        <f>AC7-SUM(AE7:AG7)</f>
        <v/>
      </c>
      <c r="AE7" s="506">
        <f>ROUNDUP(($C$12/$C$8)*W24/DAY(H24),-2)</f>
        <v/>
      </c>
      <c r="AF7" s="506">
        <f>ROUNDUP(($C$13/$C$8)*W24/DAY(H24),-2)</f>
        <v/>
      </c>
      <c r="AG7" s="506">
        <f>ROUNDUP(($C$28/$C$8)*W24/DAY(H24),-2)</f>
        <v/>
      </c>
      <c r="AH7" s="506">
        <f>ROUNDUP(($C$14/$C$8)*W24/DAY(H24),-2)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K8+O8</f>
        <v/>
      </c>
      <c r="K8" s="646">
        <f>$C$20/1.1/$C$8</f>
        <v/>
      </c>
      <c r="L8" s="516">
        <f>K8-M8-N8</f>
        <v/>
      </c>
      <c r="M8" s="517">
        <f>$C$12/$C$8</f>
        <v/>
      </c>
      <c r="N8" s="518">
        <f>$C$13/$C$8</f>
        <v/>
      </c>
      <c r="O8" s="518">
        <f>$C$14/$C$8</f>
        <v/>
      </c>
      <c r="P8" s="515">
        <f>Q8+U8</f>
        <v/>
      </c>
      <c r="Q8" s="646">
        <f>$C$41/1.1/$C$8</f>
        <v/>
      </c>
      <c r="R8" s="516">
        <f>Q8-S8-T8</f>
        <v/>
      </c>
      <c r="S8" s="500">
        <f>M8</f>
        <v/>
      </c>
      <c r="T8" s="519">
        <f>N8</f>
        <v/>
      </c>
      <c r="U8" s="500">
        <f>O8</f>
        <v/>
      </c>
      <c r="V8" s="92" t="n"/>
      <c r="W8" s="196" t="n"/>
      <c r="X8" s="196" t="n"/>
      <c r="Z8" s="196" t="n"/>
      <c r="AB8" s="527">
        <f>AC8+AH8</f>
        <v/>
      </c>
      <c r="AC8" s="527">
        <f>ROUNDUP((($C$20/$C$8)/1.1)*W25/DAY(H25),-2)</f>
        <v/>
      </c>
      <c r="AD8" s="506">
        <f>AC8-SUM(AE8:AG8)</f>
        <v/>
      </c>
      <c r="AE8" s="506">
        <f>ROUNDUP(($C$12/$C$8)*W25/DAY(H25),-2)</f>
        <v/>
      </c>
      <c r="AF8" s="506">
        <f>ROUNDUP(($C$13/$C$8)*W25/DAY(H25),-2)</f>
        <v/>
      </c>
      <c r="AG8" s="506">
        <f>ROUNDUP(($C$28/$C$8)*W25/DAY(H25),-2)</f>
        <v/>
      </c>
      <c r="AH8" s="506">
        <f>ROUNDUP(($C$14/$C$8)*W25/DAY(H25),-2)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K9+O9</f>
        <v/>
      </c>
      <c r="K9" s="646">
        <f>$C$20/1.1/$C$8</f>
        <v/>
      </c>
      <c r="L9" s="516">
        <f>K9-M9-N9</f>
        <v/>
      </c>
      <c r="M9" s="517">
        <f>$C$12/$C$8</f>
        <v/>
      </c>
      <c r="N9" s="518">
        <f>$C$13/$C$8</f>
        <v/>
      </c>
      <c r="O9" s="518">
        <f>$C$14/$C$8</f>
        <v/>
      </c>
      <c r="P9" s="515">
        <f>Q9+U9</f>
        <v/>
      </c>
      <c r="Q9" s="646">
        <f>$C$41/1.1/$C$8</f>
        <v/>
      </c>
      <c r="R9" s="516">
        <f>Q9-S9-T9</f>
        <v/>
      </c>
      <c r="S9" s="500">
        <f>M9</f>
        <v/>
      </c>
      <c r="T9" s="519">
        <f>N9</f>
        <v/>
      </c>
      <c r="U9" s="500">
        <f>O9</f>
        <v/>
      </c>
      <c r="V9" s="92" t="n"/>
      <c r="W9" s="196" t="n"/>
      <c r="X9" s="196" t="n"/>
      <c r="Z9" s="196" t="n"/>
      <c r="AG9" s="206" t="inlineStr">
        <is>
          <t>* 차후 중도해지 발생으로 선납환불 시, 이미 보상으로 환불된 선납포션 제외필요</t>
        </is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K10+O10</f>
        <v/>
      </c>
      <c r="K10" s="646">
        <f>$C$20/1.1/$C$8</f>
        <v/>
      </c>
      <c r="L10" s="516">
        <f>K10-M10-N10</f>
        <v/>
      </c>
      <c r="M10" s="517">
        <f>$C$12/$C$8</f>
        <v/>
      </c>
      <c r="N10" s="518">
        <f>$C$13/$C$8</f>
        <v/>
      </c>
      <c r="O10" s="518">
        <f>$C$14/$C$8</f>
        <v/>
      </c>
      <c r="P10" s="515">
        <f>Q10+U10</f>
        <v/>
      </c>
      <c r="Q10" s="646">
        <f>$C$41/1.1/$C$8</f>
        <v/>
      </c>
      <c r="R10" s="516">
        <f>Q10-S10-T10</f>
        <v/>
      </c>
      <c r="S10" s="500">
        <f>M10</f>
        <v/>
      </c>
      <c r="T10" s="519">
        <f>N10</f>
        <v/>
      </c>
      <c r="U10" s="500">
        <f>O10</f>
        <v/>
      </c>
      <c r="V10" s="92" t="n"/>
      <c r="W10" s="196" t="n"/>
      <c r="X10" s="196" t="n"/>
      <c r="Z10" s="196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K11+O11</f>
        <v/>
      </c>
      <c r="K11" s="646">
        <f>$C$20/1.1/$C$8</f>
        <v/>
      </c>
      <c r="L11" s="516">
        <f>K11-M11-N11</f>
        <v/>
      </c>
      <c r="M11" s="517">
        <f>$C$12/$C$8</f>
        <v/>
      </c>
      <c r="N11" s="518">
        <f>$C$13/$C$8</f>
        <v/>
      </c>
      <c r="O11" s="518">
        <f>$C$14/$C$8</f>
        <v/>
      </c>
      <c r="P11" s="515">
        <f>Q11+U11</f>
        <v/>
      </c>
      <c r="Q11" s="646">
        <f>$C$41/1.1/$C$8</f>
        <v/>
      </c>
      <c r="R11" s="516">
        <f>Q11-S11-T11</f>
        <v/>
      </c>
      <c r="S11" s="500">
        <f>M11</f>
        <v/>
      </c>
      <c r="T11" s="519">
        <f>N11</f>
        <v/>
      </c>
      <c r="U11" s="500">
        <f>O11</f>
        <v/>
      </c>
      <c r="V11" s="92" t="n"/>
      <c r="W11" s="196" t="n"/>
      <c r="X11" s="196" t="n"/>
      <c r="Z11" s="196" t="n"/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K12+O12</f>
        <v/>
      </c>
      <c r="K12" s="646">
        <f>$C$20/1.1/$C$8</f>
        <v/>
      </c>
      <c r="L12" s="516">
        <f>K12-M12-N12</f>
        <v/>
      </c>
      <c r="M12" s="517">
        <f>$C$12/$C$8</f>
        <v/>
      </c>
      <c r="N12" s="518">
        <f>$C$13/$C$8</f>
        <v/>
      </c>
      <c r="O12" s="518">
        <f>$C$14/$C$8</f>
        <v/>
      </c>
      <c r="P12" s="515">
        <f>Q12+U12</f>
        <v/>
      </c>
      <c r="Q12" s="646">
        <f>$C$41/1.1/$C$8</f>
        <v/>
      </c>
      <c r="R12" s="516">
        <f>Q12-S12-T12</f>
        <v/>
      </c>
      <c r="S12" s="500">
        <f>M12</f>
        <v/>
      </c>
      <c r="T12" s="519">
        <f>N12</f>
        <v/>
      </c>
      <c r="U12" s="500">
        <f>O12</f>
        <v/>
      </c>
      <c r="V12" s="92" t="n"/>
      <c r="W12" s="196" t="n"/>
      <c r="X12" s="196" t="n"/>
      <c r="Z12" s="196" t="n"/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K13+O13</f>
        <v/>
      </c>
      <c r="K13" s="646">
        <f>$C$20/1.1/$C$8</f>
        <v/>
      </c>
      <c r="L13" s="516">
        <f>K13-M13-N13</f>
        <v/>
      </c>
      <c r="M13" s="517">
        <f>$C$12/$C$8</f>
        <v/>
      </c>
      <c r="N13" s="518">
        <f>$C$13/$C$8</f>
        <v/>
      </c>
      <c r="O13" s="518">
        <f>$C$14/$C$8</f>
        <v/>
      </c>
      <c r="P13" s="515">
        <f>Q13+U13</f>
        <v/>
      </c>
      <c r="Q13" s="646">
        <f>$C$41/1.1/$C$8</f>
        <v/>
      </c>
      <c r="R13" s="516">
        <f>Q13-S13-T13</f>
        <v/>
      </c>
      <c r="S13" s="500">
        <f>M13</f>
        <v/>
      </c>
      <c r="T13" s="519">
        <f>N13</f>
        <v/>
      </c>
      <c r="U13" s="500">
        <f>O13</f>
        <v/>
      </c>
      <c r="V13" s="92" t="n"/>
      <c r="W13" s="196" t="n"/>
      <c r="X13" s="196" t="n"/>
      <c r="Z13" s="196" t="n"/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K14+O14</f>
        <v/>
      </c>
      <c r="K14" s="646">
        <f>$C$20/1.1/$C$8</f>
        <v/>
      </c>
      <c r="L14" s="516">
        <f>K14-M14-N14</f>
        <v/>
      </c>
      <c r="M14" s="517">
        <f>$C$12/$C$8</f>
        <v/>
      </c>
      <c r="N14" s="518">
        <f>$C$13/$C$8</f>
        <v/>
      </c>
      <c r="O14" s="518">
        <f>$C$14/$C$8</f>
        <v/>
      </c>
      <c r="P14" s="515">
        <f>Q14+U14</f>
        <v/>
      </c>
      <c r="Q14" s="646">
        <f>$C$41/1.1/$C$8</f>
        <v/>
      </c>
      <c r="R14" s="516">
        <f>Q14-S14-T14</f>
        <v/>
      </c>
      <c r="S14" s="500">
        <f>M14</f>
        <v/>
      </c>
      <c r="T14" s="519">
        <f>N14</f>
        <v/>
      </c>
      <c r="U14" s="500">
        <f>O14</f>
        <v/>
      </c>
      <c r="V14" s="92" t="n"/>
      <c r="W14" s="196" t="n"/>
      <c r="X14" s="196" t="n"/>
      <c r="Z14" s="196" t="n"/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K15+O15</f>
        <v/>
      </c>
      <c r="K15" s="646">
        <f>$C$20/1.1/$C$8</f>
        <v/>
      </c>
      <c r="L15" s="516">
        <f>K15-M15-N15</f>
        <v/>
      </c>
      <c r="M15" s="517">
        <f>$C$12/$C$8</f>
        <v/>
      </c>
      <c r="N15" s="518">
        <f>$C$13/$C$8</f>
        <v/>
      </c>
      <c r="O15" s="518">
        <f>$C$14/$C$8</f>
        <v/>
      </c>
      <c r="P15" s="515">
        <f>Q15+U15</f>
        <v/>
      </c>
      <c r="Q15" s="646">
        <f>$C$41/1.1/$C$8</f>
        <v/>
      </c>
      <c r="R15" s="516">
        <f>Q15-S15-T15</f>
        <v/>
      </c>
      <c r="S15" s="500">
        <f>M15</f>
        <v/>
      </c>
      <c r="T15" s="519">
        <f>N15</f>
        <v/>
      </c>
      <c r="U15" s="500">
        <f>O15</f>
        <v/>
      </c>
      <c r="V15" s="92" t="n"/>
      <c r="W15" s="196" t="n"/>
      <c r="X15" s="196" t="n"/>
      <c r="Z15" s="196" t="n"/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K16+O16</f>
        <v/>
      </c>
      <c r="K16" s="646">
        <f>$C$20/1.1/$C$8</f>
        <v/>
      </c>
      <c r="L16" s="516">
        <f>K16-M16-N16</f>
        <v/>
      </c>
      <c r="M16" s="517">
        <f>$C$12/$C$8</f>
        <v/>
      </c>
      <c r="N16" s="518">
        <f>$C$13/$C$8</f>
        <v/>
      </c>
      <c r="O16" s="518">
        <f>$C$14/$C$8</f>
        <v/>
      </c>
      <c r="P16" s="515">
        <f>Q16+U16</f>
        <v/>
      </c>
      <c r="Q16" s="646">
        <f>$C$41/1.1/$C$8</f>
        <v/>
      </c>
      <c r="R16" s="516">
        <f>Q16-S16-T16</f>
        <v/>
      </c>
      <c r="S16" s="500">
        <f>M16</f>
        <v/>
      </c>
      <c r="T16" s="519">
        <f>N16</f>
        <v/>
      </c>
      <c r="U16" s="500">
        <f>O16</f>
        <v/>
      </c>
      <c r="V16" s="92" t="n"/>
      <c r="W16" s="196" t="n"/>
      <c r="X16" s="196" t="n"/>
      <c r="Z16" s="196" t="n"/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K17+O17</f>
        <v/>
      </c>
      <c r="K17" s="646">
        <f>$C$20/1.1/$C$8</f>
        <v/>
      </c>
      <c r="L17" s="516">
        <f>K17-M17-N17</f>
        <v/>
      </c>
      <c r="M17" s="517">
        <f>$C$12/$C$8</f>
        <v/>
      </c>
      <c r="N17" s="518">
        <f>$C$13/$C$8</f>
        <v/>
      </c>
      <c r="O17" s="518">
        <f>$C$14/$C$8</f>
        <v/>
      </c>
      <c r="P17" s="515">
        <f>Q17+U17</f>
        <v/>
      </c>
      <c r="Q17" s="646">
        <f>$C$41/1.1/$C$8</f>
        <v/>
      </c>
      <c r="R17" s="516">
        <f>Q17-S17-T17</f>
        <v/>
      </c>
      <c r="S17" s="500">
        <f>M17</f>
        <v/>
      </c>
      <c r="T17" s="519">
        <f>N17</f>
        <v/>
      </c>
      <c r="U17" s="500">
        <f>O17</f>
        <v/>
      </c>
      <c r="V17" s="92" t="n"/>
      <c r="W17" s="196" t="n"/>
      <c r="X17" s="196" t="n"/>
      <c r="Z17" s="196" t="n"/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K18+O18</f>
        <v/>
      </c>
      <c r="K18" s="646">
        <f>$C$20/1.1/$C$8</f>
        <v/>
      </c>
      <c r="L18" s="516">
        <f>K18-M18-N18</f>
        <v/>
      </c>
      <c r="M18" s="517">
        <f>$C$12/$C$8</f>
        <v/>
      </c>
      <c r="N18" s="518">
        <f>$C$13/$C$8</f>
        <v/>
      </c>
      <c r="O18" s="518">
        <f>$C$14/$C$8</f>
        <v/>
      </c>
      <c r="P18" s="515">
        <f>Q18+U18</f>
        <v/>
      </c>
      <c r="Q18" s="646">
        <f>$C$41/1.1/$C$8</f>
        <v/>
      </c>
      <c r="R18" s="516">
        <f>Q18-S18-T18</f>
        <v/>
      </c>
      <c r="S18" s="500">
        <f>M18</f>
        <v/>
      </c>
      <c r="T18" s="519">
        <f>N18</f>
        <v/>
      </c>
      <c r="U18" s="500">
        <f>O18</f>
        <v/>
      </c>
      <c r="V18" s="92" t="n"/>
      <c r="W18" s="196" t="n"/>
      <c r="X18" s="196" t="n"/>
      <c r="Z18" s="196" t="n"/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K19+O19</f>
        <v/>
      </c>
      <c r="K19" s="646">
        <f>$C$20/1.1/$C$8</f>
        <v/>
      </c>
      <c r="L19" s="516">
        <f>K19-M19-N19</f>
        <v/>
      </c>
      <c r="M19" s="517">
        <f>$C$12/$C$8</f>
        <v/>
      </c>
      <c r="N19" s="518">
        <f>$C$13/$C$8</f>
        <v/>
      </c>
      <c r="O19" s="518">
        <f>$C$14/$C$8</f>
        <v/>
      </c>
      <c r="P19" s="515">
        <f>Q19+U19</f>
        <v/>
      </c>
      <c r="Q19" s="646">
        <f>$C$41/1.1/$C$8</f>
        <v/>
      </c>
      <c r="R19" s="516">
        <f>Q19-S19-T19</f>
        <v/>
      </c>
      <c r="S19" s="500">
        <f>M19</f>
        <v/>
      </c>
      <c r="T19" s="519">
        <f>N19</f>
        <v/>
      </c>
      <c r="U19" s="500">
        <f>O19</f>
        <v/>
      </c>
      <c r="V19" s="92" t="n"/>
      <c r="W19" s="196" t="n"/>
      <c r="X19" s="196" t="n"/>
      <c r="Z19" s="196" t="n"/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K20+O20</f>
        <v/>
      </c>
      <c r="K20" s="646">
        <f>$C$20/1.1/$C$8</f>
        <v/>
      </c>
      <c r="L20" s="516">
        <f>K20-M20-N20</f>
        <v/>
      </c>
      <c r="M20" s="517">
        <f>$C$12/$C$8</f>
        <v/>
      </c>
      <c r="N20" s="518">
        <f>$C$13/$C$8</f>
        <v/>
      </c>
      <c r="O20" s="518">
        <f>$C$14/$C$8</f>
        <v/>
      </c>
      <c r="P20" s="515">
        <f>Q20+U20</f>
        <v/>
      </c>
      <c r="Q20" s="646">
        <f>$C$41/1.1/$C$8</f>
        <v/>
      </c>
      <c r="R20" s="516">
        <f>Q20-S20-T20</f>
        <v/>
      </c>
      <c r="S20" s="500">
        <f>M20</f>
        <v/>
      </c>
      <c r="T20" s="519">
        <f>N20</f>
        <v/>
      </c>
      <c r="U20" s="500">
        <f>O20</f>
        <v/>
      </c>
      <c r="V20" s="92" t="n"/>
      <c r="W20" s="196" t="n"/>
      <c r="X20" s="196" t="n"/>
      <c r="Z20" s="196" t="n"/>
    </row>
    <row r="21" ht="17.45" customHeight="1" s="497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K21+O21</f>
        <v/>
      </c>
      <c r="K21" s="646">
        <f>$C$20/1.1/$C$8</f>
        <v/>
      </c>
      <c r="L21" s="516">
        <f>K21-M21-N21</f>
        <v/>
      </c>
      <c r="M21" s="517">
        <f>$C$12/$C$8</f>
        <v/>
      </c>
      <c r="N21" s="518">
        <f>$C$13/$C$8</f>
        <v/>
      </c>
      <c r="O21" s="518">
        <f>$C$14/$C$8</f>
        <v/>
      </c>
      <c r="P21" s="515">
        <f>Q21+U21</f>
        <v/>
      </c>
      <c r="Q21" s="646">
        <f>$C$41/1.1/$C$8</f>
        <v/>
      </c>
      <c r="R21" s="516">
        <f>Q21-S21-T21</f>
        <v/>
      </c>
      <c r="S21" s="500">
        <f>M21</f>
        <v/>
      </c>
      <c r="T21" s="519">
        <f>N21</f>
        <v/>
      </c>
      <c r="U21" s="500">
        <f>O21</f>
        <v/>
      </c>
      <c r="V21" s="92" t="n"/>
      <c r="W21" s="196" t="n"/>
      <c r="X21" s="196" t="n"/>
      <c r="Z21" s="196" t="n"/>
    </row>
    <row r="22">
      <c r="A22" s="176" t="n"/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K22+O22</f>
        <v/>
      </c>
      <c r="K22" s="646">
        <f>$C$20/1.1/$C$8</f>
        <v/>
      </c>
      <c r="L22" s="516">
        <f>K22-M22-N22</f>
        <v/>
      </c>
      <c r="M22" s="517">
        <f>$C$12/$C$8</f>
        <v/>
      </c>
      <c r="N22" s="518">
        <f>$C$13/$C$8</f>
        <v/>
      </c>
      <c r="O22" s="518">
        <f>$C$14/$C$8</f>
        <v/>
      </c>
      <c r="P22" s="515">
        <f>Q22+U22</f>
        <v/>
      </c>
      <c r="Q22" s="646">
        <f>$C$41/1.1/$C$8</f>
        <v/>
      </c>
      <c r="R22" s="516">
        <f>Q22-S22-T22</f>
        <v/>
      </c>
      <c r="S22" s="500">
        <f>M22</f>
        <v/>
      </c>
      <c r="T22" s="519">
        <f>N22</f>
        <v/>
      </c>
      <c r="U22" s="500">
        <f>O22</f>
        <v/>
      </c>
      <c r="V22" s="92" t="n"/>
      <c r="W22" s="196" t="n"/>
      <c r="X22" s="196" t="n"/>
      <c r="Z22" s="196" t="n"/>
    </row>
    <row r="23">
      <c r="A23" s="176" t="n"/>
      <c r="B23" s="9" t="inlineStr">
        <is>
          <t>(계산용) 선납금(v-) (총구독료 v+ 기준)</t>
        </is>
      </c>
      <c r="C23" s="506">
        <f>C18*C22/1.1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K23+O23</f>
        <v/>
      </c>
      <c r="K23" s="646">
        <f>$C$20/1.1/$C$8</f>
        <v/>
      </c>
      <c r="L23" s="516">
        <f>K23-M23-N23</f>
        <v/>
      </c>
      <c r="M23" s="517">
        <f>$C$12/$C$8</f>
        <v/>
      </c>
      <c r="N23" s="518">
        <f>$C$13/$C$8</f>
        <v/>
      </c>
      <c r="O23" s="518">
        <f>$C$14/$C$8</f>
        <v/>
      </c>
      <c r="P23" s="515">
        <f>Q23+U23</f>
        <v/>
      </c>
      <c r="Q23" s="646">
        <f>$C$41/1.1/$C$8</f>
        <v/>
      </c>
      <c r="R23" s="516">
        <f>Q23-S23-T23</f>
        <v/>
      </c>
      <c r="S23" s="500">
        <f>M23</f>
        <v/>
      </c>
      <c r="T23" s="519">
        <f>N23</f>
        <v/>
      </c>
      <c r="U23" s="500">
        <f>O23</f>
        <v/>
      </c>
      <c r="V23" s="92" t="n"/>
      <c r="W23" s="196" t="n"/>
      <c r="X23" s="196" t="inlineStr">
        <is>
          <t>* 고객에게 돌려주는 보상금은 ROUNDUP</t>
        </is>
      </c>
      <c r="Z23" s="196" t="n"/>
    </row>
    <row r="24">
      <c r="A24" s="176" t="n"/>
      <c r="B24" s="9" t="inlineStr">
        <is>
          <t>(계산용) 월 선납금(V-)</t>
        </is>
      </c>
      <c r="C24" s="506">
        <f>ROUND(C23/C8,-2)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K24+O24</f>
        <v/>
      </c>
      <c r="K24" s="646">
        <f>$C$20/1.1/$C$8</f>
        <v/>
      </c>
      <c r="L24" s="516">
        <f>K24-M24-N24</f>
        <v/>
      </c>
      <c r="M24" s="517">
        <f>$C$12/$C$8</f>
        <v/>
      </c>
      <c r="N24" s="518">
        <f>$C$13/$C$8</f>
        <v/>
      </c>
      <c r="O24" s="518">
        <f>$C$14/$C$8</f>
        <v/>
      </c>
      <c r="P24" s="515">
        <f>Q24+U24</f>
        <v/>
      </c>
      <c r="Q24" s="646">
        <f>$C$41/1.1/$C$8</f>
        <v/>
      </c>
      <c r="R24" s="516">
        <f>Q24-S24-T24</f>
        <v/>
      </c>
      <c r="S24" s="500">
        <f>M24</f>
        <v/>
      </c>
      <c r="T24" s="519">
        <f>N24</f>
        <v/>
      </c>
      <c r="U24" s="500">
        <f>O24</f>
        <v/>
      </c>
      <c r="V24" s="99" t="n">
        <v>46448</v>
      </c>
      <c r="W24" s="415">
        <f>H24-V24+1</f>
        <v/>
      </c>
      <c r="X24" s="630">
        <f>AB7</f>
        <v/>
      </c>
      <c r="Y24" s="632" t="n"/>
      <c r="Z24" s="735">
        <f>X24</f>
        <v/>
      </c>
      <c r="AA24" s="500">
        <f>SUM(X24:X25)</f>
        <v/>
      </c>
      <c r="AB24" s="517">
        <f>ROUNDUP(G14*(W24+W25)/G8,-2)</f>
        <v/>
      </c>
      <c r="AC24" s="517" t="n"/>
    </row>
    <row r="25">
      <c r="A25" s="176" t="n"/>
      <c r="B25" s="9" t="inlineStr">
        <is>
          <t>(계산용) 월 선납금(V+)</t>
        </is>
      </c>
      <c r="C25" s="506">
        <f>C24*1.1</f>
        <v/>
      </c>
      <c r="F25" s="101" t="inlineStr">
        <is>
          <t>20회차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K25+O25</f>
        <v/>
      </c>
      <c r="K25" s="646">
        <f>$C$20/1.1/$C$8</f>
        <v/>
      </c>
      <c r="L25" s="516">
        <f>K25-M25-N25</f>
        <v/>
      </c>
      <c r="M25" s="517">
        <f>$C$12/$C$8</f>
        <v/>
      </c>
      <c r="N25" s="518">
        <f>$C$13/$C$8</f>
        <v/>
      </c>
      <c r="O25" s="518">
        <f>$C$14/$C$8</f>
        <v/>
      </c>
      <c r="P25" s="515">
        <f>Q25+U25</f>
        <v/>
      </c>
      <c r="Q25" s="646">
        <f>$C$41/1.1/$C$8</f>
        <v/>
      </c>
      <c r="R25" s="516">
        <f>Q25-S25-T25</f>
        <v/>
      </c>
      <c r="S25" s="500">
        <f>M25</f>
        <v/>
      </c>
      <c r="T25" s="519">
        <f>N25</f>
        <v/>
      </c>
      <c r="U25" s="500">
        <f>O25</f>
        <v/>
      </c>
      <c r="V25" s="99" t="n">
        <v>46482</v>
      </c>
      <c r="W25" s="415">
        <f>V25-G25+1</f>
        <v/>
      </c>
      <c r="X25" s="630">
        <f>AB8</f>
        <v/>
      </c>
      <c r="Y25" s="632" t="n"/>
      <c r="Z25" s="735">
        <f>X25</f>
        <v/>
      </c>
    </row>
    <row r="26">
      <c r="A26" s="176" t="n"/>
      <c r="B26" s="9" t="inlineStr">
        <is>
          <t>(최종) 선납금 반영 월 구독료 (V-)</t>
        </is>
      </c>
      <c r="C26" s="506">
        <f>C17-C24</f>
        <v/>
      </c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K26+O26</f>
        <v/>
      </c>
      <c r="K26" s="646">
        <f>$C$20/1.1/$C$8</f>
        <v/>
      </c>
      <c r="L26" s="516">
        <f>K26-M26-N26</f>
        <v/>
      </c>
      <c r="M26" s="517">
        <f>$C$12/$C$8</f>
        <v/>
      </c>
      <c r="N26" s="518">
        <f>$C$13/$C$8</f>
        <v/>
      </c>
      <c r="O26" s="518">
        <f>$C$14/$C$8</f>
        <v/>
      </c>
      <c r="P26" s="515">
        <f>Q26+U26</f>
        <v/>
      </c>
      <c r="Q26" s="646">
        <f>$C$41/1.1/$C$8</f>
        <v/>
      </c>
      <c r="R26" s="516">
        <f>Q26-S26-T26</f>
        <v/>
      </c>
      <c r="S26" s="500">
        <f>M26</f>
        <v/>
      </c>
      <c r="T26" s="519">
        <f>N26</f>
        <v/>
      </c>
      <c r="U26" s="500">
        <f>O26</f>
        <v/>
      </c>
      <c r="V26" s="92" t="n"/>
      <c r="W26" s="196" t="n"/>
      <c r="X26" s="196" t="inlineStr">
        <is>
          <t>* 선납 여부 무관 기본 구독료 기준으로 미사용기간분 계산 (선납 일부 환불)</t>
        </is>
      </c>
      <c r="Y26" s="539" t="n"/>
      <c r="Z26" s="196" t="n"/>
    </row>
    <row r="27">
      <c r="A27" s="176" t="n"/>
      <c r="B27" s="9" t="inlineStr">
        <is>
          <t>(최종) 선납금 반영 총 구독료 (V-)</t>
        </is>
      </c>
      <c r="C27" s="506">
        <f>C26*C8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K27+O27</f>
        <v/>
      </c>
      <c r="K27" s="646">
        <f>$C$20/1.1/$C$8</f>
        <v/>
      </c>
      <c r="L27" s="516">
        <f>K27-M27-N27</f>
        <v/>
      </c>
      <c r="M27" s="517">
        <f>$C$12/$C$8</f>
        <v/>
      </c>
      <c r="N27" s="518">
        <f>$C$13/$C$8</f>
        <v/>
      </c>
      <c r="O27" s="518">
        <f>$C$14/$C$8</f>
        <v/>
      </c>
      <c r="P27" s="515">
        <f>Q27+U27</f>
        <v/>
      </c>
      <c r="Q27" s="646">
        <f>$C$41/1.1/$C$8</f>
        <v/>
      </c>
      <c r="R27" s="516">
        <f>Q27-S27-T27</f>
        <v/>
      </c>
      <c r="S27" s="500">
        <f>M27</f>
        <v/>
      </c>
      <c r="T27" s="519">
        <f>N27</f>
        <v/>
      </c>
      <c r="U27" s="500">
        <f>O27</f>
        <v/>
      </c>
      <c r="V27" s="92" t="n"/>
      <c r="W27" s="196" t="n"/>
      <c r="X27" s="196" t="n"/>
      <c r="Z27" s="196" t="n"/>
    </row>
    <row r="28">
      <c r="A28" s="176" t="n"/>
      <c r="B28" s="63" t="inlineStr">
        <is>
          <t>(최종) 선납금 (V-)</t>
        </is>
      </c>
      <c r="C28" s="649">
        <f>C24*C8</f>
        <v/>
      </c>
      <c r="D28" s="505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K28+O28</f>
        <v/>
      </c>
      <c r="K28" s="646">
        <f>$C$20/1.1/$C$8</f>
        <v/>
      </c>
      <c r="L28" s="516">
        <f>K28-M28-N28</f>
        <v/>
      </c>
      <c r="M28" s="517">
        <f>$C$12/$C$8</f>
        <v/>
      </c>
      <c r="N28" s="518">
        <f>$C$13/$C$8</f>
        <v/>
      </c>
      <c r="O28" s="518">
        <f>$C$14/$C$8</f>
        <v/>
      </c>
      <c r="P28" s="515">
        <f>Q28+U28</f>
        <v/>
      </c>
      <c r="Q28" s="646">
        <f>$C$41/1.1/$C$8</f>
        <v/>
      </c>
      <c r="R28" s="516">
        <f>Q28-S28-T28</f>
        <v/>
      </c>
      <c r="S28" s="500">
        <f>M28</f>
        <v/>
      </c>
      <c r="T28" s="519">
        <f>N28</f>
        <v/>
      </c>
      <c r="U28" s="500">
        <f>O28</f>
        <v/>
      </c>
      <c r="V28" s="92" t="n"/>
      <c r="W28" s="196" t="n"/>
      <c r="X28" s="196" t="n"/>
      <c r="Z28" s="196" t="n"/>
    </row>
    <row r="29">
      <c r="B29" s="170" t="inlineStr">
        <is>
          <t>(계산용) 선납 할인금 (V-) (총구독료 v+기준)</t>
        </is>
      </c>
      <c r="C29" s="650">
        <f>C18*4%/1.1</f>
        <v/>
      </c>
      <c r="D29" s="500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K29+O29</f>
        <v/>
      </c>
      <c r="K29" s="646">
        <f>$C$20/1.1/$C$8</f>
        <v/>
      </c>
      <c r="L29" s="516">
        <f>K29-M29-N29</f>
        <v/>
      </c>
      <c r="M29" s="517">
        <f>$C$12/$C$8</f>
        <v/>
      </c>
      <c r="N29" s="518">
        <f>$C$13/$C$8</f>
        <v/>
      </c>
      <c r="O29" s="518">
        <f>$C$14/$C$8</f>
        <v/>
      </c>
      <c r="P29" s="515">
        <f>Q29+U29</f>
        <v/>
      </c>
      <c r="Q29" s="646">
        <f>$C$41/1.1/$C$8</f>
        <v/>
      </c>
      <c r="R29" s="516">
        <f>Q29-S29-T29</f>
        <v/>
      </c>
      <c r="S29" s="500">
        <f>M29</f>
        <v/>
      </c>
      <c r="T29" s="519">
        <f>N29</f>
        <v/>
      </c>
      <c r="U29" s="500">
        <f>O29</f>
        <v/>
      </c>
      <c r="V29" s="92" t="n"/>
      <c r="W29" s="196" t="n"/>
      <c r="X29" s="196" t="n"/>
      <c r="Z29" s="196" t="n"/>
    </row>
    <row r="30">
      <c r="B30" s="9" t="inlineStr">
        <is>
          <t>(계산용) 선납 할인금 월할 (V-)</t>
        </is>
      </c>
      <c r="C30" s="506">
        <f>C29/C8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K30+O30</f>
        <v/>
      </c>
      <c r="K30" s="646">
        <f>$C$20/1.1/$C$8</f>
        <v/>
      </c>
      <c r="L30" s="516">
        <f>K30-M30-N30</f>
        <v/>
      </c>
      <c r="M30" s="517">
        <f>$C$12/$C$8</f>
        <v/>
      </c>
      <c r="N30" s="518">
        <f>$C$13/$C$8</f>
        <v/>
      </c>
      <c r="O30" s="518">
        <f>$C$14/$C$8</f>
        <v/>
      </c>
      <c r="P30" s="515">
        <f>Q30+U30</f>
        <v/>
      </c>
      <c r="Q30" s="646">
        <f>$C$41/1.1/$C$8</f>
        <v/>
      </c>
      <c r="R30" s="516">
        <f>Q30-S30-T30</f>
        <v/>
      </c>
      <c r="S30" s="500">
        <f>M30</f>
        <v/>
      </c>
      <c r="T30" s="519">
        <f>N30</f>
        <v/>
      </c>
      <c r="U30" s="500">
        <f>O30</f>
        <v/>
      </c>
      <c r="V30" s="92" t="n"/>
      <c r="W30" s="196" t="n"/>
      <c r="X30" s="196" t="n"/>
      <c r="Z30" s="196" t="n"/>
    </row>
    <row r="31">
      <c r="B31" s="9" t="inlineStr">
        <is>
          <t>(계산용) 선납 할인금 월할 보정 (V-)</t>
        </is>
      </c>
      <c r="C31" s="506">
        <f>ROUNDUP(C30,-2)</f>
        <v/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K31+O31</f>
        <v/>
      </c>
      <c r="K31" s="646">
        <f>$C$20/1.1/$C$8</f>
        <v/>
      </c>
      <c r="L31" s="516">
        <f>K31-M31-N31</f>
        <v/>
      </c>
      <c r="M31" s="517">
        <f>$C$12/$C$8</f>
        <v/>
      </c>
      <c r="N31" s="518">
        <f>$C$13/$C$8</f>
        <v/>
      </c>
      <c r="O31" s="518">
        <f>$C$14/$C$8</f>
        <v/>
      </c>
      <c r="P31" s="515">
        <f>Q31+U31</f>
        <v/>
      </c>
      <c r="Q31" s="646">
        <f>$C$41/1.1/$C$8</f>
        <v/>
      </c>
      <c r="R31" s="516">
        <f>Q31-S31-T31</f>
        <v/>
      </c>
      <c r="S31" s="500">
        <f>M31</f>
        <v/>
      </c>
      <c r="T31" s="519">
        <f>N31</f>
        <v/>
      </c>
      <c r="U31" s="500">
        <f>O31</f>
        <v/>
      </c>
      <c r="V31" s="92" t="n"/>
      <c r="W31" s="196" t="n"/>
      <c r="X31" s="196" t="n"/>
      <c r="Z31" s="196" t="n"/>
    </row>
    <row r="32">
      <c r="B32" s="63" t="inlineStr">
        <is>
          <t>(최종) 선납 할인금 (V-)</t>
        </is>
      </c>
      <c r="C32" s="649">
        <f>C31*C8</f>
        <v/>
      </c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K32+O32</f>
        <v/>
      </c>
      <c r="K32" s="646">
        <f>$C$20/1.1/$C$8</f>
        <v/>
      </c>
      <c r="L32" s="516">
        <f>K32-M32-N32</f>
        <v/>
      </c>
      <c r="M32" s="517">
        <f>$C$12/$C$8</f>
        <v/>
      </c>
      <c r="N32" s="518">
        <f>$C$13/$C$8</f>
        <v/>
      </c>
      <c r="O32" s="518">
        <f>$C$14/$C$8</f>
        <v/>
      </c>
      <c r="P32" s="515">
        <f>Q32+U32</f>
        <v/>
      </c>
      <c r="Q32" s="646">
        <f>$C$41/1.1/$C$8</f>
        <v/>
      </c>
      <c r="R32" s="516">
        <f>Q32-S32-T32</f>
        <v/>
      </c>
      <c r="S32" s="500">
        <f>M32</f>
        <v/>
      </c>
      <c r="T32" s="519">
        <f>N32</f>
        <v/>
      </c>
      <c r="U32" s="500">
        <f>O32</f>
        <v/>
      </c>
      <c r="V32" s="92" t="n"/>
      <c r="W32" s="196" t="n"/>
      <c r="X32" s="196" t="n"/>
      <c r="Z32" s="196" t="n"/>
    </row>
    <row r="33">
      <c r="B33" s="9" t="inlineStr">
        <is>
          <t>(최종) 선납 할인금 (V+)</t>
        </is>
      </c>
      <c r="C33" s="506">
        <f>C32*1.1</f>
        <v/>
      </c>
      <c r="D33" s="505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K33+O33</f>
        <v/>
      </c>
      <c r="K33" s="646">
        <f>$C$20/1.1/$C$8</f>
        <v/>
      </c>
      <c r="L33" s="516">
        <f>K33-M33-N33</f>
        <v/>
      </c>
      <c r="M33" s="517">
        <f>$C$12/$C$8</f>
        <v/>
      </c>
      <c r="N33" s="518">
        <f>$C$13/$C$8</f>
        <v/>
      </c>
      <c r="O33" s="518">
        <f>$C$14/$C$8</f>
        <v/>
      </c>
      <c r="P33" s="515">
        <f>Q33+U33</f>
        <v/>
      </c>
      <c r="Q33" s="646">
        <f>$C$41/1.1/$C$8</f>
        <v/>
      </c>
      <c r="R33" s="516">
        <f>Q33-S33-T33</f>
        <v/>
      </c>
      <c r="S33" s="500">
        <f>M33</f>
        <v/>
      </c>
      <c r="T33" s="519">
        <f>N33</f>
        <v/>
      </c>
      <c r="U33" s="500">
        <f>O33</f>
        <v/>
      </c>
      <c r="V33" s="92" t="n"/>
      <c r="W33" s="196" t="n"/>
      <c r="X33" s="196" t="n"/>
      <c r="Z33" s="196" t="n"/>
    </row>
    <row r="34">
      <c r="B34" s="182" t="inlineStr">
        <is>
          <t>(최종) 선납금+선납 할인 반영 월 구독료 (V-)</t>
        </is>
      </c>
      <c r="C34" s="651">
        <f>(C16-C28-C32)/C8</f>
        <v/>
      </c>
      <c r="D34" s="539" t="n"/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K34+O34</f>
        <v/>
      </c>
      <c r="K34" s="646">
        <f>$C$20/1.1/$C$8</f>
        <v/>
      </c>
      <c r="L34" s="516">
        <f>K34-M34-N34</f>
        <v/>
      </c>
      <c r="M34" s="517">
        <f>$C$12/$C$8</f>
        <v/>
      </c>
      <c r="N34" s="518">
        <f>$C$13/$C$8</f>
        <v/>
      </c>
      <c r="O34" s="518">
        <f>$C$14/$C$8</f>
        <v/>
      </c>
      <c r="P34" s="515">
        <f>Q34+U34</f>
        <v/>
      </c>
      <c r="Q34" s="646">
        <f>$C$41/1.1/$C$8</f>
        <v/>
      </c>
      <c r="R34" s="516">
        <f>Q34-S34-T34</f>
        <v/>
      </c>
      <c r="S34" s="500">
        <f>M34</f>
        <v/>
      </c>
      <c r="T34" s="519">
        <f>N34</f>
        <v/>
      </c>
      <c r="U34" s="500">
        <f>O34</f>
        <v/>
      </c>
      <c r="V34" s="92" t="n"/>
      <c r="W34" s="196" t="n"/>
      <c r="X34" s="196" t="n"/>
      <c r="Z34" s="196" t="n"/>
    </row>
    <row r="35">
      <c r="B35" s="182" t="inlineStr">
        <is>
          <t>(최종) 선납금+선납 할인 반영 총 구독료 (V-)</t>
        </is>
      </c>
      <c r="C35" s="651">
        <f>C34*C8</f>
        <v/>
      </c>
      <c r="D35" s="539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K35+O35</f>
        <v/>
      </c>
      <c r="K35" s="646">
        <f>$C$20/1.1/$C$8</f>
        <v/>
      </c>
      <c r="L35" s="516">
        <f>K35-M35-N35</f>
        <v/>
      </c>
      <c r="M35" s="517">
        <f>$C$12/$C$8</f>
        <v/>
      </c>
      <c r="N35" s="518">
        <f>$C$13/$C$8</f>
        <v/>
      </c>
      <c r="O35" s="518">
        <f>$C$14/$C$8</f>
        <v/>
      </c>
      <c r="P35" s="515">
        <f>Q35+U35</f>
        <v/>
      </c>
      <c r="Q35" s="646">
        <f>$C$41/1.1/$C$8</f>
        <v/>
      </c>
      <c r="R35" s="516">
        <f>Q35-S35-T35</f>
        <v/>
      </c>
      <c r="S35" s="500">
        <f>M35</f>
        <v/>
      </c>
      <c r="T35" s="519">
        <f>N35</f>
        <v/>
      </c>
      <c r="U35" s="500">
        <f>O35</f>
        <v/>
      </c>
      <c r="V35" s="92" t="n"/>
      <c r="W35" s="196" t="n"/>
      <c r="X35" s="196" t="n"/>
      <c r="Z35" s="196" t="n"/>
    </row>
    <row r="36">
      <c r="B36" s="182" t="inlineStr">
        <is>
          <t>(최종) 선납금+선납 할인 반영 월 구독료 (V+)</t>
        </is>
      </c>
      <c r="C36" s="651">
        <f>(C18-C28*1.1-C33)/C8</f>
        <v/>
      </c>
      <c r="D36" s="517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K36+O36</f>
        <v/>
      </c>
      <c r="K36" s="646">
        <f>$C$20/1.1/$C$8</f>
        <v/>
      </c>
      <c r="L36" s="516">
        <f>K36-M36-N36</f>
        <v/>
      </c>
      <c r="M36" s="517">
        <f>$C$12/$C$8</f>
        <v/>
      </c>
      <c r="N36" s="518">
        <f>$C$13/$C$8</f>
        <v/>
      </c>
      <c r="O36" s="518">
        <f>$C$14/$C$8</f>
        <v/>
      </c>
      <c r="P36" s="515">
        <f>Q36+U36</f>
        <v/>
      </c>
      <c r="Q36" s="646">
        <f>$C$41/1.1/$C$8</f>
        <v/>
      </c>
      <c r="R36" s="516">
        <f>Q36-S36-T36</f>
        <v/>
      </c>
      <c r="S36" s="500">
        <f>M36</f>
        <v/>
      </c>
      <c r="T36" s="519">
        <f>N36</f>
        <v/>
      </c>
      <c r="U36" s="500">
        <f>O36</f>
        <v/>
      </c>
      <c r="V36" s="92" t="n"/>
      <c r="W36" s="196" t="n"/>
      <c r="X36" s="196" t="n"/>
      <c r="Z36" s="196" t="n"/>
    </row>
    <row r="37">
      <c r="B37" s="182" t="inlineStr">
        <is>
          <t>(최종) 선납금+선납 할인 반영 총 구독료 (V+)</t>
        </is>
      </c>
      <c r="C37" s="651">
        <f>C36*C8</f>
        <v/>
      </c>
      <c r="D37" s="505">
        <f>(C15-C28-C32+C13)*1.1+C14</f>
        <v/>
      </c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K37+O37</f>
        <v/>
      </c>
      <c r="K37" s="646">
        <f>$C$20/1.1/$C$8</f>
        <v/>
      </c>
      <c r="L37" s="516">
        <f>K37-M37-N37</f>
        <v/>
      </c>
      <c r="M37" s="517">
        <f>$C$12/$C$8</f>
        <v/>
      </c>
      <c r="N37" s="518">
        <f>$C$13/$C$8</f>
        <v/>
      </c>
      <c r="O37" s="518">
        <f>$C$14/$C$8</f>
        <v/>
      </c>
      <c r="P37" s="515">
        <f>Q37+U37</f>
        <v/>
      </c>
      <c r="Q37" s="646">
        <f>$C$41/1.1/$C$8</f>
        <v/>
      </c>
      <c r="R37" s="516">
        <f>Q37-S37-T37</f>
        <v/>
      </c>
      <c r="S37" s="500">
        <f>M37</f>
        <v/>
      </c>
      <c r="T37" s="519">
        <f>N37</f>
        <v/>
      </c>
      <c r="U37" s="500">
        <f>O37</f>
        <v/>
      </c>
      <c r="V37" s="92" t="n"/>
      <c r="W37" s="196" t="n"/>
      <c r="X37" s="196" t="n"/>
      <c r="Z37" s="196" t="n"/>
    </row>
    <row r="38">
      <c r="C38" s="505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K38+O38</f>
        <v/>
      </c>
      <c r="K38" s="646">
        <f>$C$20/1.1/$C$8</f>
        <v/>
      </c>
      <c r="L38" s="516">
        <f>K38-M38-N38</f>
        <v/>
      </c>
      <c r="M38" s="517">
        <f>$C$12/$C$8</f>
        <v/>
      </c>
      <c r="N38" s="518">
        <f>$C$13/$C$8</f>
        <v/>
      </c>
      <c r="O38" s="518">
        <f>$C$14/$C$8</f>
        <v/>
      </c>
      <c r="P38" s="515">
        <f>Q38+U38</f>
        <v/>
      </c>
      <c r="Q38" s="646">
        <f>$C$41/1.1/$C$8</f>
        <v/>
      </c>
      <c r="R38" s="516">
        <f>Q38-S38-T38</f>
        <v/>
      </c>
      <c r="S38" s="500">
        <f>M38</f>
        <v/>
      </c>
      <c r="T38" s="519">
        <f>N38</f>
        <v/>
      </c>
      <c r="U38" s="500">
        <f>O38</f>
        <v/>
      </c>
      <c r="V38" s="92" t="n"/>
      <c r="W38" s="196" t="n"/>
      <c r="X38" s="196" t="n"/>
      <c r="Z38" s="196" t="n"/>
    </row>
    <row r="39">
      <c r="B39" s="9" t="inlineStr">
        <is>
          <t>선납금+선납 할인 반영 순수 구독료 (V-)</t>
        </is>
      </c>
      <c r="C39" s="506">
        <f>C35-C12-C13-C14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K39+O39</f>
        <v/>
      </c>
      <c r="K39" s="646">
        <f>$C$20/1.1/$C$8</f>
        <v/>
      </c>
      <c r="L39" s="516">
        <f>K39-M39-N39</f>
        <v/>
      </c>
      <c r="M39" s="517">
        <f>$C$12/$C$8</f>
        <v/>
      </c>
      <c r="N39" s="518">
        <f>$C$13/$C$8</f>
        <v/>
      </c>
      <c r="O39" s="518">
        <f>$C$14/$C$8</f>
        <v/>
      </c>
      <c r="P39" s="515">
        <f>Q39+U39</f>
        <v/>
      </c>
      <c r="Q39" s="646">
        <f>$C$41/1.1/$C$8</f>
        <v/>
      </c>
      <c r="R39" s="516">
        <f>Q39-S39-T39</f>
        <v/>
      </c>
      <c r="S39" s="500">
        <f>M39</f>
        <v/>
      </c>
      <c r="T39" s="519">
        <f>N39</f>
        <v/>
      </c>
      <c r="U39" s="500">
        <f>O39</f>
        <v/>
      </c>
      <c r="V39" s="92" t="n"/>
      <c r="W39" s="196" t="n"/>
      <c r="X39" s="196" t="n"/>
      <c r="Z39" s="196" t="n"/>
    </row>
    <row r="40">
      <c r="B40" s="9" t="inlineStr">
        <is>
          <t>선납금+선납 할인 반영 순수 구독료 월할 (V-)</t>
        </is>
      </c>
      <c r="C40" s="506">
        <f>C39/C8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K40+O40</f>
        <v/>
      </c>
      <c r="K40" s="646">
        <f>$C$20/1.1/$C$8</f>
        <v/>
      </c>
      <c r="L40" s="516">
        <f>K40-M40-N40</f>
        <v/>
      </c>
      <c r="M40" s="517">
        <f>$C$12/$C$8</f>
        <v/>
      </c>
      <c r="N40" s="518">
        <f>$C$13/$C$8</f>
        <v/>
      </c>
      <c r="O40" s="518">
        <f>$C$14/$C$8</f>
        <v/>
      </c>
      <c r="P40" s="515">
        <f>Q40+U40</f>
        <v/>
      </c>
      <c r="Q40" s="646">
        <f>$C$41/1.1/$C$8</f>
        <v/>
      </c>
      <c r="R40" s="516">
        <f>Q40-S40-T40</f>
        <v/>
      </c>
      <c r="S40" s="500">
        <f>M40</f>
        <v/>
      </c>
      <c r="T40" s="519">
        <f>N40</f>
        <v/>
      </c>
      <c r="U40" s="500">
        <f>O40</f>
        <v/>
      </c>
      <c r="V40" s="92" t="n"/>
      <c r="W40" s="196" t="n"/>
      <c r="X40" s="196" t="n"/>
      <c r="Z40" s="196" t="n"/>
    </row>
    <row r="41">
      <c r="B41" s="250" t="inlineStr">
        <is>
          <t>선납금+선납 할인 반영 파손제외 구독료 (v+)</t>
        </is>
      </c>
      <c r="C41" s="527">
        <f>C37-C14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K41+O41</f>
        <v/>
      </c>
      <c r="K41" s="646">
        <f>$C$20/1.1/$C$8</f>
        <v/>
      </c>
      <c r="L41" s="516">
        <f>K41-M41-N41</f>
        <v/>
      </c>
      <c r="M41" s="517">
        <f>$C$12/$C$8</f>
        <v/>
      </c>
      <c r="N41" s="518">
        <f>$C$13/$C$8</f>
        <v/>
      </c>
      <c r="O41" s="518">
        <f>$C$14/$C$8</f>
        <v/>
      </c>
      <c r="P41" s="515">
        <f>Q41+U41</f>
        <v/>
      </c>
      <c r="Q41" s="646">
        <f>$C$41/1.1/$C$8</f>
        <v/>
      </c>
      <c r="R41" s="516">
        <f>Q41-S41-T41</f>
        <v/>
      </c>
      <c r="S41" s="500">
        <f>M41</f>
        <v/>
      </c>
      <c r="T41" s="519">
        <f>N41</f>
        <v/>
      </c>
      <c r="U41" s="500">
        <f>O41</f>
        <v/>
      </c>
      <c r="V41" s="92" t="n"/>
      <c r="W41" s="196" t="n"/>
      <c r="X41" s="196" t="n"/>
      <c r="Z41" s="196" t="n"/>
    </row>
    <row r="42"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K42+O42</f>
        <v/>
      </c>
      <c r="K42" s="646">
        <f>$C$20/1.1/$C$8</f>
        <v/>
      </c>
      <c r="L42" s="516">
        <f>K42-M42-N42</f>
        <v/>
      </c>
      <c r="M42" s="517">
        <f>$C$12/$C$8</f>
        <v/>
      </c>
      <c r="N42" s="518">
        <f>$C$13/$C$8</f>
        <v/>
      </c>
      <c r="O42" s="518">
        <f>$C$14/$C$8</f>
        <v/>
      </c>
      <c r="P42" s="515">
        <f>Q42+U42</f>
        <v/>
      </c>
      <c r="Q42" s="646">
        <f>$C$41/1.1/$C$8</f>
        <v/>
      </c>
      <c r="R42" s="516">
        <f>Q42-S42-T42</f>
        <v/>
      </c>
      <c r="S42" s="500">
        <f>M42</f>
        <v/>
      </c>
      <c r="T42" s="519">
        <f>N42</f>
        <v/>
      </c>
      <c r="U42" s="500">
        <f>O42</f>
        <v/>
      </c>
      <c r="V42" s="92" t="n"/>
      <c r="W42" s="196" t="n"/>
      <c r="X42" s="196" t="n"/>
      <c r="Z42" s="196" t="n"/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K43+O43</f>
        <v/>
      </c>
      <c r="K43" s="646">
        <f>$C$20/1.1/$C$8</f>
        <v/>
      </c>
      <c r="L43" s="516">
        <f>K43-M43-N43</f>
        <v/>
      </c>
      <c r="M43" s="517">
        <f>$C$12/$C$8</f>
        <v/>
      </c>
      <c r="N43" s="518">
        <f>$C$13/$C$8</f>
        <v/>
      </c>
      <c r="O43" s="518">
        <f>$C$14/$C$8</f>
        <v/>
      </c>
      <c r="P43" s="515">
        <f>Q43+U43</f>
        <v/>
      </c>
      <c r="Q43" s="646">
        <f>$C$41/1.1/$C$8</f>
        <v/>
      </c>
      <c r="R43" s="516">
        <f>Q43-S43-T43</f>
        <v/>
      </c>
      <c r="S43" s="500">
        <f>M43</f>
        <v/>
      </c>
      <c r="T43" s="519">
        <f>N43</f>
        <v/>
      </c>
      <c r="U43" s="500">
        <f>O43</f>
        <v/>
      </c>
      <c r="V43" s="92" t="n"/>
      <c r="W43" s="196" t="n"/>
      <c r="X43" s="196" t="n"/>
      <c r="Z43" s="196" t="n"/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K44+O44</f>
        <v/>
      </c>
      <c r="K44" s="646">
        <f>$C$20/1.1/$C$8</f>
        <v/>
      </c>
      <c r="L44" s="516">
        <f>K44-M44-N44</f>
        <v/>
      </c>
      <c r="M44" s="517">
        <f>$C$12/$C$8</f>
        <v/>
      </c>
      <c r="N44" s="518">
        <f>$C$13/$C$8</f>
        <v/>
      </c>
      <c r="O44" s="518">
        <f>$C$14/$C$8</f>
        <v/>
      </c>
      <c r="P44" s="515">
        <f>Q44+U44</f>
        <v/>
      </c>
      <c r="Q44" s="646">
        <f>$C$41/1.1/$C$8</f>
        <v/>
      </c>
      <c r="R44" s="516">
        <f>Q44-S44-T44</f>
        <v/>
      </c>
      <c r="S44" s="500">
        <f>M44</f>
        <v/>
      </c>
      <c r="T44" s="519">
        <f>N44</f>
        <v/>
      </c>
      <c r="U44" s="500">
        <f>O44</f>
        <v/>
      </c>
      <c r="V44" s="92" t="n"/>
      <c r="W44" s="196" t="n"/>
      <c r="X44" s="196" t="n"/>
      <c r="Z44" s="196" t="n"/>
    </row>
    <row r="45"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K45+O45</f>
        <v/>
      </c>
      <c r="K45" s="646">
        <f>$C$20/1.1/$C$8</f>
        <v/>
      </c>
      <c r="L45" s="516">
        <f>K45-M45-N45</f>
        <v/>
      </c>
      <c r="M45" s="517">
        <f>$C$12/$C$8</f>
        <v/>
      </c>
      <c r="N45" s="518">
        <f>$C$13/$C$8</f>
        <v/>
      </c>
      <c r="O45" s="518">
        <f>$C$14/$C$8</f>
        <v/>
      </c>
      <c r="P45" s="515">
        <f>Q45+U45</f>
        <v/>
      </c>
      <c r="Q45" s="646">
        <f>$C$41/1.1/$C$8</f>
        <v/>
      </c>
      <c r="R45" s="516">
        <f>Q45-S45-T45</f>
        <v/>
      </c>
      <c r="S45" s="500">
        <f>M45</f>
        <v/>
      </c>
      <c r="T45" s="519">
        <f>N45</f>
        <v/>
      </c>
      <c r="U45" s="500">
        <f>O45</f>
        <v/>
      </c>
      <c r="V45" s="92" t="n"/>
      <c r="W45" s="196" t="n"/>
      <c r="X45" s="196" t="n"/>
      <c r="Z45" s="196" t="n"/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K46+O46</f>
        <v/>
      </c>
      <c r="K46" s="646">
        <f>$C$20/1.1/$C$8</f>
        <v/>
      </c>
      <c r="L46" s="516">
        <f>K46-M46-N46</f>
        <v/>
      </c>
      <c r="M46" s="517">
        <f>$C$12/$C$8</f>
        <v/>
      </c>
      <c r="N46" s="518">
        <f>$C$13/$C$8</f>
        <v/>
      </c>
      <c r="O46" s="518">
        <f>$C$14/$C$8</f>
        <v/>
      </c>
      <c r="P46" s="515">
        <f>Q46+U46</f>
        <v/>
      </c>
      <c r="Q46" s="646">
        <f>$C$41/1.1/$C$8</f>
        <v/>
      </c>
      <c r="R46" s="516">
        <f>Q46-S46-T46</f>
        <v/>
      </c>
      <c r="S46" s="500">
        <f>M46</f>
        <v/>
      </c>
      <c r="T46" s="519">
        <f>N46</f>
        <v/>
      </c>
      <c r="U46" s="500">
        <f>O46</f>
        <v/>
      </c>
      <c r="V46" s="92" t="n"/>
      <c r="W46" s="196" t="n"/>
      <c r="X46" s="196" t="n"/>
      <c r="Z46" s="196" t="n"/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K47+O47</f>
        <v/>
      </c>
      <c r="K47" s="646">
        <f>$C$20/1.1/$C$8</f>
        <v/>
      </c>
      <c r="L47" s="516">
        <f>K47-M47-N47</f>
        <v/>
      </c>
      <c r="M47" s="517">
        <f>$C$12/$C$8</f>
        <v/>
      </c>
      <c r="N47" s="518">
        <f>$C$13/$C$8</f>
        <v/>
      </c>
      <c r="O47" s="518">
        <f>$C$14/$C$8</f>
        <v/>
      </c>
      <c r="P47" s="515">
        <f>Q47+U47</f>
        <v/>
      </c>
      <c r="Q47" s="646">
        <f>$C$41/1.1/$C$8</f>
        <v/>
      </c>
      <c r="R47" s="516">
        <f>Q47-S47-T47</f>
        <v/>
      </c>
      <c r="S47" s="500">
        <f>M47</f>
        <v/>
      </c>
      <c r="T47" s="519">
        <f>N47</f>
        <v/>
      </c>
      <c r="U47" s="500">
        <f>O47</f>
        <v/>
      </c>
      <c r="V47" s="92" t="n"/>
      <c r="W47" s="196" t="n"/>
      <c r="X47" s="196" t="n"/>
      <c r="Z47" s="196" t="n"/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K48+O48</f>
        <v/>
      </c>
      <c r="K48" s="646">
        <f>$C$20/1.1/$C$8</f>
        <v/>
      </c>
      <c r="L48" s="516">
        <f>K48-M48-N48</f>
        <v/>
      </c>
      <c r="M48" s="517">
        <f>$C$12/$C$8</f>
        <v/>
      </c>
      <c r="N48" s="518">
        <f>$C$13/$C$8</f>
        <v/>
      </c>
      <c r="O48" s="518">
        <f>$C$14/$C$8</f>
        <v/>
      </c>
      <c r="P48" s="515">
        <f>Q48+U48</f>
        <v/>
      </c>
      <c r="Q48" s="646">
        <f>$C$41/1.1/$C$8</f>
        <v/>
      </c>
      <c r="R48" s="516">
        <f>Q48-S48-T48</f>
        <v/>
      </c>
      <c r="S48" s="500">
        <f>M48</f>
        <v/>
      </c>
      <c r="T48" s="519">
        <f>N48</f>
        <v/>
      </c>
      <c r="U48" s="500">
        <f>O48</f>
        <v/>
      </c>
      <c r="V48" s="92" t="n"/>
      <c r="W48" s="196" t="n"/>
      <c r="X48" s="196" t="n"/>
      <c r="Z48" s="196" t="n"/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K49+O49</f>
        <v/>
      </c>
      <c r="K49" s="646">
        <f>$C$20/1.1/$C$8</f>
        <v/>
      </c>
      <c r="L49" s="516">
        <f>K49-M49-N49</f>
        <v/>
      </c>
      <c r="M49" s="517">
        <f>$C$12/$C$8</f>
        <v/>
      </c>
      <c r="N49" s="518">
        <f>$C$13/$C$8</f>
        <v/>
      </c>
      <c r="O49" s="518">
        <f>$C$14/$C$8</f>
        <v/>
      </c>
      <c r="P49" s="515">
        <f>Q49+U49</f>
        <v/>
      </c>
      <c r="Q49" s="646">
        <f>$C$41/1.1/$C$8</f>
        <v/>
      </c>
      <c r="R49" s="516">
        <f>Q49-S49-T49</f>
        <v/>
      </c>
      <c r="S49" s="500">
        <f>M49</f>
        <v/>
      </c>
      <c r="T49" s="519">
        <f>N49</f>
        <v/>
      </c>
      <c r="U49" s="500">
        <f>O49</f>
        <v/>
      </c>
      <c r="V49" s="92" t="n"/>
      <c r="W49" s="196" t="n"/>
      <c r="X49" s="196" t="n"/>
      <c r="Z49" s="196" t="n"/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K50+O50</f>
        <v/>
      </c>
      <c r="K50" s="646">
        <f>$C$20/1.1/$C$8</f>
        <v/>
      </c>
      <c r="L50" s="516">
        <f>K50-M50-N50</f>
        <v/>
      </c>
      <c r="M50" s="517">
        <f>$C$12/$C$8</f>
        <v/>
      </c>
      <c r="N50" s="518">
        <f>$C$13/$C$8</f>
        <v/>
      </c>
      <c r="O50" s="518">
        <f>$C$14/$C$8</f>
        <v/>
      </c>
      <c r="P50" s="515">
        <f>Q50+U50</f>
        <v/>
      </c>
      <c r="Q50" s="646">
        <f>$C$41/1.1/$C$8</f>
        <v/>
      </c>
      <c r="R50" s="516">
        <f>Q50-S50-T50</f>
        <v/>
      </c>
      <c r="S50" s="500">
        <f>M50</f>
        <v/>
      </c>
      <c r="T50" s="519">
        <f>N50</f>
        <v/>
      </c>
      <c r="U50" s="500">
        <f>O50</f>
        <v/>
      </c>
      <c r="V50" s="92" t="n"/>
      <c r="W50" s="196" t="n"/>
      <c r="X50" s="196" t="n"/>
      <c r="Z50" s="196" t="n"/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K51+O51</f>
        <v/>
      </c>
      <c r="K51" s="646">
        <f>$C$20/1.1/$C$8</f>
        <v/>
      </c>
      <c r="L51" s="516">
        <f>K51-M51-N51</f>
        <v/>
      </c>
      <c r="M51" s="517">
        <f>$C$12/$C$8</f>
        <v/>
      </c>
      <c r="N51" s="518">
        <f>$C$13/$C$8</f>
        <v/>
      </c>
      <c r="O51" s="518">
        <f>$C$14/$C$8</f>
        <v/>
      </c>
      <c r="P51" s="515">
        <f>Q51+U51</f>
        <v/>
      </c>
      <c r="Q51" s="646">
        <f>$C$41/1.1/$C$8</f>
        <v/>
      </c>
      <c r="R51" s="516">
        <f>Q51-S51-T51</f>
        <v/>
      </c>
      <c r="S51" s="500">
        <f>M51</f>
        <v/>
      </c>
      <c r="T51" s="519">
        <f>N51</f>
        <v/>
      </c>
      <c r="U51" s="500">
        <f>O51</f>
        <v/>
      </c>
      <c r="V51" s="92" t="n"/>
      <c r="W51" s="196" t="n"/>
      <c r="X51" s="196" t="n"/>
      <c r="Z51" s="196" t="n"/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K52+O52</f>
        <v/>
      </c>
      <c r="K52" s="646">
        <f>$C$20/1.1/$C$8</f>
        <v/>
      </c>
      <c r="L52" s="516">
        <f>K52-M52-N52</f>
        <v/>
      </c>
      <c r="M52" s="517">
        <f>$C$12/$C$8</f>
        <v/>
      </c>
      <c r="N52" s="518">
        <f>$C$13/$C$8</f>
        <v/>
      </c>
      <c r="O52" s="518">
        <f>$C$14/$C$8</f>
        <v/>
      </c>
      <c r="P52" s="515">
        <f>Q52+U52</f>
        <v/>
      </c>
      <c r="Q52" s="646">
        <f>$C$41/1.1/$C$8</f>
        <v/>
      </c>
      <c r="R52" s="516">
        <f>Q52-S52-T52</f>
        <v/>
      </c>
      <c r="S52" s="500">
        <f>M52</f>
        <v/>
      </c>
      <c r="T52" s="519">
        <f>N52</f>
        <v/>
      </c>
      <c r="U52" s="500">
        <f>O52</f>
        <v/>
      </c>
      <c r="V52" s="92" t="n"/>
      <c r="W52" s="196" t="n"/>
      <c r="X52" s="196" t="n"/>
      <c r="Z52" s="196" t="n"/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K53+O53</f>
        <v/>
      </c>
      <c r="K53" s="646">
        <f>$C$20/1.1/$C$8</f>
        <v/>
      </c>
      <c r="L53" s="516">
        <f>K53-M53-N53</f>
        <v/>
      </c>
      <c r="M53" s="517">
        <f>$C$12/$C$8</f>
        <v/>
      </c>
      <c r="N53" s="518">
        <f>$C$13/$C$8</f>
        <v/>
      </c>
      <c r="O53" s="518">
        <f>$C$14/$C$8</f>
        <v/>
      </c>
      <c r="P53" s="515">
        <f>Q53+U53</f>
        <v/>
      </c>
      <c r="Q53" s="646">
        <f>$C$41/1.1/$C$8</f>
        <v/>
      </c>
      <c r="R53" s="516">
        <f>Q53-S53-T53</f>
        <v/>
      </c>
      <c r="S53" s="500">
        <f>M53</f>
        <v/>
      </c>
      <c r="T53" s="519">
        <f>N53</f>
        <v/>
      </c>
      <c r="U53" s="500">
        <f>O53</f>
        <v/>
      </c>
      <c r="V53" s="92" t="n"/>
      <c r="W53" s="196" t="n"/>
      <c r="X53" s="196" t="n"/>
      <c r="Z53" s="196" t="n"/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K54+O54</f>
        <v/>
      </c>
      <c r="K54" s="646">
        <f>$C$20/1.1/$C$8-K6</f>
        <v/>
      </c>
      <c r="L54" s="516">
        <f>K54-M54-N54</f>
        <v/>
      </c>
      <c r="M54" s="517">
        <f>$C$12/$C$8</f>
        <v/>
      </c>
      <c r="N54" s="518">
        <f>$C$13/$C$8-N6</f>
        <v/>
      </c>
      <c r="O54" s="518">
        <f>$C$14/$C$8-O6</f>
        <v/>
      </c>
      <c r="P54" s="515">
        <f>Q54+U54</f>
        <v/>
      </c>
      <c r="Q54" s="646">
        <f>$C$41/1.1/$C$8-Q6</f>
        <v/>
      </c>
      <c r="R54" s="516">
        <f>Q54-S54-T54</f>
        <v/>
      </c>
      <c r="S54" s="500">
        <f>M54</f>
        <v/>
      </c>
      <c r="T54" s="519">
        <f>N54</f>
        <v/>
      </c>
      <c r="U54" s="500">
        <f>O54</f>
        <v/>
      </c>
      <c r="V54" s="92" t="n"/>
      <c r="W54" s="196" t="n"/>
      <c r="X54" s="196" t="n"/>
      <c r="Z54" s="196" t="n"/>
    </row>
    <row r="55">
      <c r="F55" s="101" t="n"/>
      <c r="G55" s="102" t="n"/>
      <c r="H55" s="102" t="n"/>
      <c r="I55" s="103" t="n"/>
      <c r="J55" s="515" t="n"/>
      <c r="K55" s="646" t="n"/>
      <c r="L55" s="516" t="n"/>
      <c r="M55" s="517" t="n"/>
      <c r="N55" s="518" t="n"/>
      <c r="O55" s="518" t="n"/>
      <c r="P55" s="515" t="n"/>
      <c r="Q55" s="646" t="n"/>
      <c r="R55" s="516" t="n"/>
      <c r="S55" s="500" t="n"/>
      <c r="T55" s="519" t="n"/>
      <c r="U55" s="500" t="n"/>
      <c r="V55" s="92" t="n"/>
      <c r="W55" s="196" t="n"/>
      <c r="X55" s="196" t="n"/>
      <c r="Z55" s="196" t="n"/>
    </row>
    <row r="56">
      <c r="F56" s="101" t="n"/>
      <c r="G56" s="102" t="n"/>
      <c r="H56" s="102" t="n"/>
      <c r="I56" s="103" t="n"/>
      <c r="J56" s="515" t="n"/>
      <c r="K56" s="646" t="n"/>
      <c r="L56" s="516" t="n"/>
      <c r="M56" s="517" t="n"/>
      <c r="N56" s="518" t="n"/>
      <c r="O56" s="518" t="n"/>
      <c r="P56" s="515" t="n"/>
      <c r="Q56" s="646" t="n"/>
      <c r="R56" s="516" t="n"/>
      <c r="S56" s="500" t="n"/>
      <c r="T56" s="519" t="n"/>
      <c r="U56" s="500" t="n"/>
      <c r="V56" s="92" t="n"/>
      <c r="W56" s="196" t="n"/>
      <c r="X56" s="196" t="n"/>
      <c r="Z56" s="196" t="n"/>
    </row>
    <row r="57">
      <c r="F57" s="101" t="n"/>
      <c r="G57" s="102" t="n"/>
      <c r="H57" s="102" t="n"/>
      <c r="I57" s="103" t="n"/>
      <c r="J57" s="515" t="n"/>
      <c r="K57" s="646" t="n"/>
      <c r="L57" s="516" t="n"/>
      <c r="M57" s="517" t="n"/>
      <c r="N57" s="518" t="n"/>
      <c r="O57" s="518" t="n"/>
      <c r="P57" s="515" t="n"/>
      <c r="Q57" s="646" t="n"/>
      <c r="R57" s="516" t="n"/>
      <c r="S57" s="500" t="n"/>
      <c r="T57" s="519" t="n"/>
      <c r="U57" s="500" t="n"/>
      <c r="V57" s="92" t="n"/>
      <c r="W57" s="196" t="n"/>
      <c r="X57" s="196" t="n"/>
      <c r="Z57" s="196" t="n"/>
    </row>
    <row r="58">
      <c r="F58" s="101" t="n"/>
      <c r="G58" s="102" t="n"/>
      <c r="H58" s="102" t="n"/>
      <c r="I58" s="103" t="n"/>
      <c r="J58" s="515" t="n"/>
      <c r="K58" s="646" t="n"/>
      <c r="L58" s="516" t="n"/>
      <c r="M58" s="517" t="n"/>
      <c r="N58" s="518" t="n"/>
      <c r="O58" s="518" t="n"/>
      <c r="P58" s="515" t="n"/>
      <c r="Q58" s="646" t="n"/>
      <c r="R58" s="516" t="n"/>
      <c r="S58" s="500" t="n"/>
      <c r="T58" s="519" t="n"/>
      <c r="U58" s="500" t="n"/>
      <c r="V58" s="92" t="n"/>
      <c r="W58" s="196" t="n"/>
      <c r="X58" s="196" t="n"/>
      <c r="Z58" s="196" t="n"/>
    </row>
    <row r="59">
      <c r="F59" s="101" t="n"/>
      <c r="G59" s="102" t="n"/>
      <c r="H59" s="102" t="n"/>
      <c r="I59" s="103" t="n"/>
      <c r="J59" s="515" t="n"/>
      <c r="K59" s="646" t="n"/>
      <c r="L59" s="516" t="n"/>
      <c r="M59" s="517" t="n"/>
      <c r="N59" s="518" t="n"/>
      <c r="O59" s="518" t="n"/>
      <c r="P59" s="515" t="n"/>
      <c r="Q59" s="646" t="n"/>
      <c r="R59" s="516" t="n"/>
      <c r="S59" s="500" t="n"/>
      <c r="T59" s="519" t="n"/>
      <c r="U59" s="500" t="n"/>
      <c r="V59" s="92" t="n"/>
      <c r="W59" s="196" t="n"/>
      <c r="X59" s="196" t="n"/>
      <c r="Z59" s="196" t="n"/>
    </row>
    <row r="60">
      <c r="F60" s="101" t="n"/>
      <c r="G60" s="102" t="n"/>
      <c r="H60" s="102" t="n"/>
      <c r="I60" s="103" t="n"/>
      <c r="J60" s="515" t="n"/>
      <c r="K60" s="646" t="n"/>
      <c r="L60" s="516" t="n"/>
      <c r="M60" s="517" t="n"/>
      <c r="N60" s="518" t="n"/>
      <c r="O60" s="518" t="n"/>
      <c r="P60" s="515" t="n"/>
      <c r="Q60" s="646" t="n"/>
      <c r="R60" s="516" t="n"/>
      <c r="S60" s="500" t="n"/>
      <c r="T60" s="519" t="n"/>
      <c r="U60" s="500" t="n"/>
      <c r="V60" s="92" t="n"/>
      <c r="W60" s="196" t="n"/>
      <c r="X60" s="196" t="n"/>
      <c r="Z60" s="196" t="n"/>
    </row>
    <row r="61">
      <c r="F61" s="101" t="n"/>
      <c r="G61" s="102" t="n"/>
      <c r="H61" s="102" t="n"/>
      <c r="I61" s="103" t="n"/>
      <c r="J61" s="515" t="n"/>
      <c r="K61" s="646" t="n"/>
      <c r="L61" s="516" t="n"/>
      <c r="M61" s="517" t="n"/>
      <c r="N61" s="518" t="n"/>
      <c r="O61" s="518" t="n"/>
      <c r="P61" s="515" t="n"/>
      <c r="Q61" s="646" t="n"/>
      <c r="R61" s="516" t="n"/>
      <c r="S61" s="500" t="n"/>
      <c r="T61" s="519" t="n"/>
      <c r="U61" s="500" t="n"/>
      <c r="V61" s="92" t="n"/>
      <c r="W61" s="196" t="n"/>
      <c r="X61" s="196" t="n"/>
      <c r="Z61" s="196" t="n"/>
    </row>
    <row r="62">
      <c r="F62" s="101" t="n"/>
      <c r="G62" s="102" t="n"/>
      <c r="H62" s="102" t="n"/>
      <c r="I62" s="103" t="n"/>
      <c r="J62" s="515" t="n"/>
      <c r="K62" s="646" t="n"/>
      <c r="L62" s="516" t="n"/>
      <c r="M62" s="517" t="n"/>
      <c r="N62" s="518" t="n"/>
      <c r="O62" s="518" t="n"/>
      <c r="P62" s="515" t="n"/>
      <c r="Q62" s="646" t="n"/>
      <c r="R62" s="516" t="n"/>
      <c r="S62" s="500" t="n"/>
      <c r="T62" s="519" t="n"/>
      <c r="U62" s="500" t="n"/>
      <c r="V62" s="92" t="n"/>
      <c r="W62" s="196" t="n"/>
      <c r="X62" s="196" t="n"/>
      <c r="Z62" s="196" t="n"/>
    </row>
    <row r="63">
      <c r="F63" s="101" t="n"/>
      <c r="G63" s="102" t="n"/>
      <c r="H63" s="102" t="n"/>
      <c r="I63" s="103" t="n"/>
      <c r="J63" s="515" t="n"/>
      <c r="K63" s="646" t="n"/>
      <c r="L63" s="516" t="n"/>
      <c r="M63" s="517" t="n"/>
      <c r="N63" s="518" t="n"/>
      <c r="O63" s="518" t="n"/>
      <c r="P63" s="515" t="n"/>
      <c r="Q63" s="646" t="n"/>
      <c r="R63" s="516" t="n"/>
      <c r="S63" s="500" t="n"/>
      <c r="T63" s="519" t="n"/>
      <c r="U63" s="500" t="n"/>
      <c r="V63" s="92" t="n"/>
      <c r="W63" s="196" t="n"/>
      <c r="X63" s="196" t="n"/>
      <c r="Z63" s="196" t="n"/>
    </row>
    <row r="64">
      <c r="F64" s="101" t="n"/>
      <c r="G64" s="102" t="n"/>
      <c r="H64" s="102" t="n"/>
      <c r="I64" s="103" t="n"/>
      <c r="J64" s="515" t="n"/>
      <c r="K64" s="646" t="n"/>
      <c r="L64" s="516" t="n"/>
      <c r="M64" s="517" t="n"/>
      <c r="N64" s="518" t="n"/>
      <c r="O64" s="518" t="n"/>
      <c r="P64" s="515" t="n"/>
      <c r="Q64" s="646" t="n"/>
      <c r="R64" s="516" t="n"/>
      <c r="S64" s="500" t="n"/>
      <c r="T64" s="519" t="n"/>
      <c r="U64" s="500" t="n"/>
      <c r="V64" s="92" t="n"/>
      <c r="W64" s="196" t="n"/>
      <c r="X64" s="196" t="n"/>
      <c r="Z64" s="196" t="n"/>
    </row>
    <row r="65">
      <c r="F65" s="101" t="n"/>
      <c r="G65" s="102" t="n"/>
      <c r="H65" s="102" t="n"/>
      <c r="I65" s="103" t="n"/>
      <c r="J65" s="515" t="n"/>
      <c r="K65" s="646" t="n"/>
      <c r="L65" s="516" t="n"/>
      <c r="M65" s="517" t="n"/>
      <c r="N65" s="518" t="n"/>
      <c r="O65" s="518" t="n"/>
      <c r="P65" s="515" t="n"/>
      <c r="Q65" s="646" t="n"/>
      <c r="R65" s="516" t="n"/>
      <c r="S65" s="500" t="n"/>
      <c r="T65" s="519" t="n"/>
      <c r="U65" s="500" t="n"/>
      <c r="V65" s="92" t="n"/>
      <c r="W65" s="196" t="n"/>
      <c r="X65" s="196" t="n"/>
      <c r="Z65" s="196" t="n"/>
    </row>
    <row r="66">
      <c r="F66" s="101" t="n"/>
      <c r="G66" s="102" t="n"/>
      <c r="H66" s="102" t="n"/>
      <c r="I66" s="103" t="n"/>
      <c r="J66" s="515" t="n"/>
      <c r="K66" s="646" t="n"/>
      <c r="L66" s="516" t="n"/>
      <c r="M66" s="517" t="n"/>
      <c r="N66" s="518" t="n"/>
      <c r="O66" s="518" t="n"/>
      <c r="P66" s="515" t="n"/>
      <c r="Q66" s="646" t="n"/>
      <c r="R66" s="516" t="n"/>
      <c r="S66" s="500" t="n"/>
      <c r="T66" s="519" t="n"/>
      <c r="U66" s="500" t="n"/>
      <c r="V66" s="92" t="n"/>
      <c r="W66" s="196" t="n"/>
      <c r="X66" s="196" t="n"/>
      <c r="Z66" s="196" t="n"/>
    </row>
    <row r="67">
      <c r="F67" s="101" t="n"/>
      <c r="G67" s="102" t="n"/>
      <c r="H67" s="102" t="n"/>
      <c r="I67" s="103" t="n"/>
      <c r="J67" s="515" t="n"/>
      <c r="K67" s="646" t="n"/>
      <c r="L67" s="516" t="n"/>
      <c r="M67" s="517" t="n"/>
      <c r="N67" s="518" t="n"/>
      <c r="O67" s="518" t="n"/>
      <c r="P67" s="515" t="n"/>
      <c r="Q67" s="646" t="n"/>
      <c r="R67" s="516" t="n"/>
      <c r="S67" s="500" t="n"/>
      <c r="T67" s="519" t="n"/>
      <c r="U67" s="500" t="n"/>
      <c r="V67" s="92" t="n"/>
      <c r="W67" s="196" t="n"/>
      <c r="X67" s="196" t="n"/>
      <c r="Z67" s="196" t="n"/>
    </row>
    <row r="68">
      <c r="F68" s="101" t="n"/>
      <c r="G68" s="102" t="n"/>
      <c r="H68" s="102" t="n"/>
      <c r="I68" s="103" t="n"/>
      <c r="J68" s="515" t="n"/>
      <c r="K68" s="646" t="n"/>
      <c r="L68" s="516" t="n"/>
      <c r="M68" s="517" t="n"/>
      <c r="N68" s="518" t="n"/>
      <c r="O68" s="518" t="n"/>
      <c r="P68" s="515" t="n"/>
      <c r="Q68" s="646" t="n"/>
      <c r="R68" s="516" t="n"/>
      <c r="S68" s="500" t="n"/>
      <c r="T68" s="519" t="n"/>
      <c r="U68" s="500" t="n"/>
      <c r="V68" s="92" t="n"/>
      <c r="W68" s="196" t="n"/>
      <c r="X68" s="196" t="n"/>
      <c r="Z68" s="196" t="n"/>
    </row>
    <row r="69">
      <c r="F69" s="101" t="n"/>
      <c r="G69" s="102" t="n"/>
      <c r="H69" s="102" t="n"/>
      <c r="I69" s="103" t="n"/>
      <c r="J69" s="515" t="n"/>
      <c r="K69" s="646" t="n"/>
      <c r="L69" s="516" t="n"/>
      <c r="M69" s="517" t="n"/>
      <c r="N69" s="518" t="n"/>
      <c r="O69" s="518" t="n"/>
      <c r="P69" s="515" t="n"/>
      <c r="Q69" s="646" t="n"/>
      <c r="R69" s="516" t="n"/>
      <c r="S69" s="500" t="n"/>
      <c r="T69" s="519" t="n"/>
      <c r="U69" s="500" t="n"/>
      <c r="V69" s="92" t="n"/>
      <c r="W69" s="196" t="n"/>
      <c r="X69" s="196" t="n"/>
      <c r="Z69" s="196" t="n"/>
    </row>
    <row r="70">
      <c r="F70" s="101" t="n"/>
      <c r="G70" s="102" t="n"/>
      <c r="H70" s="102" t="n"/>
      <c r="I70" s="103" t="n"/>
      <c r="J70" s="515" t="n"/>
      <c r="K70" s="646" t="n"/>
      <c r="L70" s="516" t="n"/>
      <c r="M70" s="517" t="n"/>
      <c r="N70" s="518" t="n"/>
      <c r="O70" s="518" t="n"/>
      <c r="P70" s="515" t="n"/>
      <c r="Q70" s="646" t="n"/>
      <c r="R70" s="516" t="n"/>
      <c r="S70" s="500" t="n"/>
      <c r="T70" s="519" t="n"/>
      <c r="U70" s="500" t="n"/>
      <c r="V70" s="92" t="n"/>
      <c r="W70" s="196" t="n"/>
      <c r="X70" s="196" t="n"/>
      <c r="Z70" s="196" t="n"/>
    </row>
    <row r="71">
      <c r="F71" s="101" t="n"/>
      <c r="G71" s="102" t="n"/>
      <c r="H71" s="102" t="n"/>
      <c r="I71" s="103" t="n"/>
      <c r="J71" s="515" t="n"/>
      <c r="K71" s="646" t="n"/>
      <c r="L71" s="516" t="n"/>
      <c r="M71" s="517" t="n"/>
      <c r="N71" s="518" t="n"/>
      <c r="O71" s="518" t="n"/>
      <c r="P71" s="515" t="n"/>
      <c r="Q71" s="646" t="n"/>
      <c r="R71" s="516" t="n"/>
      <c r="S71" s="500" t="n"/>
      <c r="T71" s="519" t="n"/>
      <c r="U71" s="500" t="n"/>
      <c r="V71" s="92" t="n"/>
      <c r="W71" s="196" t="n"/>
      <c r="X71" s="196" t="n"/>
      <c r="Z71" s="196" t="n"/>
    </row>
    <row r="72">
      <c r="F72" s="101" t="n"/>
      <c r="G72" s="102" t="n"/>
      <c r="H72" s="102" t="n"/>
      <c r="I72" s="103" t="n"/>
      <c r="J72" s="515" t="n"/>
      <c r="K72" s="646" t="n"/>
      <c r="L72" s="516" t="n"/>
      <c r="M72" s="517" t="n"/>
      <c r="N72" s="518" t="n"/>
      <c r="O72" s="518" t="n"/>
      <c r="P72" s="515" t="n"/>
      <c r="Q72" s="646" t="n"/>
      <c r="R72" s="516" t="n"/>
      <c r="S72" s="500" t="n"/>
      <c r="T72" s="519" t="n"/>
      <c r="U72" s="500" t="n"/>
      <c r="V72" s="92" t="n"/>
      <c r="W72" s="196" t="n"/>
      <c r="X72" s="196" t="n"/>
      <c r="Z72" s="196" t="n"/>
    </row>
    <row r="73">
      <c r="F73" s="101" t="n"/>
      <c r="G73" s="102" t="n"/>
      <c r="H73" s="102" t="n"/>
      <c r="I73" s="103" t="n"/>
      <c r="J73" s="515" t="n"/>
      <c r="K73" s="646" t="n"/>
      <c r="L73" s="516" t="n"/>
      <c r="M73" s="517" t="n"/>
      <c r="N73" s="518" t="n"/>
      <c r="O73" s="518" t="n"/>
      <c r="P73" s="515" t="n"/>
      <c r="Q73" s="646" t="n"/>
      <c r="R73" s="516" t="n"/>
      <c r="S73" s="500" t="n"/>
      <c r="T73" s="519" t="n"/>
      <c r="U73" s="500" t="n"/>
      <c r="V73" s="92" t="n"/>
      <c r="W73" s="196" t="n"/>
      <c r="X73" s="196" t="n"/>
      <c r="Z73" s="196" t="n"/>
    </row>
    <row r="74">
      <c r="F74" s="101" t="n"/>
      <c r="G74" s="102" t="n"/>
      <c r="H74" s="102" t="n"/>
      <c r="I74" s="103" t="n"/>
      <c r="J74" s="515" t="n"/>
      <c r="K74" s="646" t="n"/>
      <c r="L74" s="516" t="n"/>
      <c r="M74" s="517" t="n"/>
      <c r="N74" s="518" t="n"/>
      <c r="O74" s="518" t="n"/>
      <c r="P74" s="515" t="n"/>
      <c r="Q74" s="646" t="n"/>
      <c r="R74" s="516" t="n"/>
      <c r="S74" s="500" t="n"/>
      <c r="T74" s="519" t="n"/>
      <c r="U74" s="500" t="n"/>
      <c r="V74" s="92" t="n"/>
      <c r="W74" s="196" t="n"/>
      <c r="X74" s="196" t="n"/>
      <c r="Z74" s="196" t="n"/>
    </row>
    <row r="75">
      <c r="F75" s="101" t="n"/>
      <c r="G75" s="102" t="n"/>
      <c r="H75" s="102" t="n"/>
      <c r="I75" s="103" t="n"/>
      <c r="J75" s="515" t="n"/>
      <c r="K75" s="646" t="n"/>
      <c r="L75" s="516" t="n"/>
      <c r="M75" s="517" t="n"/>
      <c r="N75" s="518" t="n"/>
      <c r="O75" s="518" t="n"/>
      <c r="P75" s="515" t="n"/>
      <c r="Q75" s="646" t="n"/>
      <c r="R75" s="516" t="n"/>
      <c r="S75" s="500" t="n"/>
      <c r="T75" s="519" t="n"/>
      <c r="U75" s="500" t="n"/>
      <c r="V75" s="92" t="n"/>
      <c r="W75" s="196" t="n"/>
      <c r="X75" s="196" t="n"/>
      <c r="Z75" s="196" t="n"/>
    </row>
    <row r="76">
      <c r="F76" s="101" t="n"/>
      <c r="G76" s="102" t="n"/>
      <c r="H76" s="102" t="n"/>
      <c r="I76" s="103" t="n"/>
      <c r="J76" s="515" t="n"/>
      <c r="K76" s="646" t="n"/>
      <c r="L76" s="516" t="n"/>
      <c r="M76" s="517" t="n"/>
      <c r="N76" s="518" t="n"/>
      <c r="O76" s="518" t="n"/>
      <c r="P76" s="515" t="n"/>
      <c r="Q76" s="646" t="n"/>
      <c r="R76" s="516" t="n"/>
      <c r="S76" s="500" t="n"/>
      <c r="T76" s="519" t="n"/>
      <c r="U76" s="500" t="n"/>
      <c r="V76" s="92" t="n"/>
      <c r="W76" s="196" t="n"/>
      <c r="X76" s="196" t="n"/>
      <c r="Z76" s="196" t="n"/>
    </row>
    <row r="77">
      <c r="F77" s="101" t="n"/>
      <c r="G77" s="102" t="n"/>
      <c r="H77" s="102" t="n"/>
      <c r="I77" s="103" t="n"/>
      <c r="J77" s="515" t="n"/>
      <c r="K77" s="646" t="n"/>
      <c r="L77" s="516" t="n"/>
      <c r="M77" s="517" t="n"/>
      <c r="N77" s="518" t="n"/>
      <c r="O77" s="518" t="n"/>
      <c r="P77" s="515" t="n"/>
      <c r="Q77" s="646" t="n"/>
      <c r="R77" s="516" t="n"/>
      <c r="S77" s="500" t="n"/>
      <c r="T77" s="519" t="n"/>
      <c r="U77" s="500" t="n"/>
      <c r="V77" s="92" t="n"/>
      <c r="W77" s="196" t="n"/>
      <c r="X77" s="196" t="n"/>
      <c r="Z77" s="196" t="n"/>
    </row>
    <row r="78">
      <c r="F78" s="276" t="n"/>
      <c r="G78" s="277" t="n"/>
      <c r="H78" s="277" t="n"/>
      <c r="I78" s="278" t="n"/>
      <c r="J78" s="581" t="n"/>
      <c r="K78" s="653" t="n"/>
      <c r="L78" s="588" t="n"/>
      <c r="M78" s="640" t="n"/>
      <c r="N78" s="641" t="n"/>
      <c r="O78" s="641" t="n"/>
      <c r="P78" s="581" t="n"/>
      <c r="Q78" s="653" t="n"/>
      <c r="R78" s="588" t="n"/>
      <c r="S78" s="589" t="n"/>
      <c r="T78" s="642" t="n"/>
      <c r="U78" s="589" t="n"/>
      <c r="V78" s="59" t="n"/>
      <c r="W78" s="12" t="n"/>
      <c r="X78" s="12" t="n"/>
      <c r="Y78" s="95" t="n"/>
      <c r="Z78" s="12" t="n"/>
    </row>
    <row r="79">
      <c r="R79" s="500" t="n"/>
    </row>
  </sheetData>
  <pageMargins left="0.7" right="0.7" top="0.75" bottom="0.75" header="0.3" footer="0.3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2:T78"/>
  <sheetViews>
    <sheetView showGridLines="0" zoomScale="70" zoomScaleNormal="70" workbookViewId="0">
      <selection activeCell="V39" sqref="V39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.375" bestFit="1" customWidth="1" style="497" min="10" max="11"/>
    <col width="12.125" bestFit="1" customWidth="1" style="497" min="12" max="12"/>
    <col width="10.5" bestFit="1" customWidth="1" style="497" min="13" max="13"/>
    <col width="12.125" bestFit="1" customWidth="1" style="497" min="14" max="16"/>
    <col width="10.5" bestFit="1" customWidth="1" style="497" min="17" max="17"/>
    <col width="25.625" bestFit="1" customWidth="1" style="497" min="19" max="19"/>
    <col width="12.125" bestFit="1" customWidth="1" style="497" min="20" max="20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S3" s="9" t="inlineStr">
        <is>
          <t>고객노출 기본 구독료 (v+)</t>
        </is>
      </c>
      <c r="T3" s="506">
        <f>C15*1.1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S4" s="9" t="inlineStr">
        <is>
          <t>선납금 월할(v+)</t>
        </is>
      </c>
      <c r="T4" s="506">
        <f>C22*1.1/C7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15">
        <f>ROUNDDOWN(($C$34/$C$7)*(H5-G5+1)/DAY(H5),-2)</f>
        <v/>
      </c>
      <c r="O5" s="516">
        <f>N5-P5-Q5</f>
        <v/>
      </c>
      <c r="P5" s="500">
        <f>L5</f>
        <v/>
      </c>
      <c r="Q5" s="519">
        <f>M5</f>
        <v/>
      </c>
      <c r="S5" s="9" t="inlineStr">
        <is>
          <t>선납할인금 월할 (v+)</t>
        </is>
      </c>
      <c r="T5" s="506">
        <f>C31*1.1/C7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$C$33</f>
        <v/>
      </c>
      <c r="O6" s="516">
        <f>N6-P6-Q6</f>
        <v/>
      </c>
      <c r="P6" s="500">
        <f>L6</f>
        <v/>
      </c>
      <c r="Q6" s="519">
        <f>M6</f>
        <v/>
      </c>
      <c r="S6" s="9" t="inlineStr">
        <is>
          <t>선납시 최종 납부금 (v+)</t>
        </is>
      </c>
      <c r="T6" s="527">
        <f>T3-T4-T5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$C$33</f>
        <v/>
      </c>
      <c r="O7" s="516">
        <f>N7-P7-Q7</f>
        <v/>
      </c>
      <c r="P7" s="500">
        <f>L7</f>
        <v/>
      </c>
      <c r="Q7" s="519">
        <f>M7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$C$33</f>
        <v/>
      </c>
      <c r="O8" s="516">
        <f>N8-P8-Q8</f>
        <v/>
      </c>
      <c r="P8" s="500">
        <f>L8</f>
        <v/>
      </c>
      <c r="Q8" s="519">
        <f>M8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$C$33</f>
        <v/>
      </c>
      <c r="O9" s="516">
        <f>N9-P9-Q9</f>
        <v/>
      </c>
      <c r="P9" s="500">
        <f>L9</f>
        <v/>
      </c>
      <c r="Q9" s="519">
        <f>M9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$C$33</f>
        <v/>
      </c>
      <c r="O10" s="516">
        <f>N10-P10-Q10</f>
        <v/>
      </c>
      <c r="P10" s="500">
        <f>L10</f>
        <v/>
      </c>
      <c r="Q10" s="519">
        <f>M10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$C$33</f>
        <v/>
      </c>
      <c r="O11" s="516">
        <f>N11-P11-Q11</f>
        <v/>
      </c>
      <c r="P11" s="500">
        <f>L11</f>
        <v/>
      </c>
      <c r="Q11" s="519">
        <f>M11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$C$33</f>
        <v/>
      </c>
      <c r="O12" s="516">
        <f>N12-P12-Q12</f>
        <v/>
      </c>
      <c r="P12" s="500">
        <f>L12</f>
        <v/>
      </c>
      <c r="Q12" s="519">
        <f>M12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$C$33</f>
        <v/>
      </c>
      <c r="O13" s="516">
        <f>N13-P13-Q13</f>
        <v/>
      </c>
      <c r="P13" s="500">
        <f>L13</f>
        <v/>
      </c>
      <c r="Q13" s="519">
        <f>M13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$C$33</f>
        <v/>
      </c>
      <c r="O14" s="516">
        <f>N14-P14-Q14</f>
        <v/>
      </c>
      <c r="P14" s="500">
        <f>L14</f>
        <v/>
      </c>
      <c r="Q14" s="519">
        <f>M14</f>
        <v/>
      </c>
    </row>
    <row r="15">
      <c r="B15" s="9" t="inlineStr">
        <is>
          <t>월구독료(v-)</t>
        </is>
      </c>
      <c r="C15" s="526" t="n">
        <v>163300</v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$C$33</f>
        <v/>
      </c>
      <c r="O15" s="516">
        <f>N15-P15-Q15</f>
        <v/>
      </c>
      <c r="P15" s="500">
        <f>L15</f>
        <v/>
      </c>
      <c r="Q15" s="519">
        <f>M15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$C$33</f>
        <v/>
      </c>
      <c r="O16" s="516">
        <f>N16-P16-Q16</f>
        <v/>
      </c>
      <c r="P16" s="500">
        <f>L16</f>
        <v/>
      </c>
      <c r="Q16" s="519">
        <f>M16</f>
        <v/>
      </c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$C$33</f>
        <v/>
      </c>
      <c r="O17" s="516">
        <f>N17-P17-Q17</f>
        <v/>
      </c>
      <c r="P17" s="500">
        <f>L17</f>
        <v/>
      </c>
      <c r="Q17" s="519">
        <f>M17</f>
        <v/>
      </c>
    </row>
    <row r="18" ht="17.45" customHeight="1" s="497">
      <c r="A18" s="176" t="n"/>
      <c r="B18" s="9" t="inlineStr">
        <is>
          <t>선납금 %</t>
        </is>
      </c>
      <c r="C18" s="288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$C$33</f>
        <v/>
      </c>
      <c r="O18" s="516">
        <f>N18-P18-Q18</f>
        <v/>
      </c>
      <c r="P18" s="500">
        <f>L18</f>
        <v/>
      </c>
      <c r="Q18" s="519">
        <f>M18</f>
        <v/>
      </c>
    </row>
    <row r="19">
      <c r="A19" s="176" t="n"/>
      <c r="B19" s="9" t="inlineStr">
        <is>
          <t>(계산용) 선납금(V+)</t>
        </is>
      </c>
      <c r="C19" s="506">
        <f>C16*C18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$C$33</f>
        <v/>
      </c>
      <c r="O19" s="516">
        <f>N19-P19-Q19</f>
        <v/>
      </c>
      <c r="P19" s="500">
        <f>L19</f>
        <v/>
      </c>
      <c r="Q19" s="519">
        <f>M19</f>
        <v/>
      </c>
    </row>
    <row r="20">
      <c r="A20" s="176" t="n"/>
      <c r="B20" s="9" t="inlineStr">
        <is>
          <t>(계산용) 선납금(V-)</t>
        </is>
      </c>
      <c r="C20" s="506">
        <f>+C19/1.1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$C$33</f>
        <v/>
      </c>
      <c r="O20" s="516">
        <f>N20-P20-Q20</f>
        <v/>
      </c>
      <c r="P20" s="500">
        <f>L20</f>
        <v/>
      </c>
      <c r="Q20" s="519">
        <f>M20</f>
        <v/>
      </c>
    </row>
    <row r="21">
      <c r="A21" s="176" t="n"/>
      <c r="B21" s="63" t="inlineStr">
        <is>
          <t>(계산용) 월 선납금(V-)</t>
        </is>
      </c>
      <c r="C21" s="649">
        <f>+ROUND(C20/C7,-2)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$C$33</f>
        <v/>
      </c>
      <c r="O21" s="516">
        <f>N21-P21-Q21</f>
        <v/>
      </c>
      <c r="P21" s="500">
        <f>L21</f>
        <v/>
      </c>
      <c r="Q21" s="519">
        <f>M21</f>
        <v/>
      </c>
    </row>
    <row r="22">
      <c r="A22" s="176" t="n"/>
      <c r="B22" s="9" t="inlineStr">
        <is>
          <t>(최종) 선납금 (V-)</t>
        </is>
      </c>
      <c r="C22" s="506">
        <f>+C21*C7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$C$33</f>
        <v/>
      </c>
      <c r="O22" s="516">
        <f>N22-P22-Q22</f>
        <v/>
      </c>
      <c r="P22" s="500">
        <f>L22</f>
        <v/>
      </c>
      <c r="Q22" s="519">
        <f>M22</f>
        <v/>
      </c>
    </row>
    <row r="23">
      <c r="A23" s="176" t="n"/>
      <c r="B23" s="9" t="inlineStr">
        <is>
          <t>(최종) 월 선납금 (V-)</t>
        </is>
      </c>
      <c r="C23" s="506">
        <f>+C22/C7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$C$33</f>
        <v/>
      </c>
      <c r="O23" s="516">
        <f>N23-P23-Q23</f>
        <v/>
      </c>
      <c r="P23" s="500">
        <f>L23</f>
        <v/>
      </c>
      <c r="Q23" s="519">
        <f>M23</f>
        <v/>
      </c>
    </row>
    <row r="24">
      <c r="B24" s="9" t="inlineStr">
        <is>
          <t>(최종) 선납금 반영 월 구독료 (V+)</t>
        </is>
      </c>
      <c r="C24" s="506">
        <f>+(C15-C23)*1.1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$C$33</f>
        <v/>
      </c>
      <c r="O24" s="516">
        <f>N24-P24-Q24</f>
        <v/>
      </c>
      <c r="P24" s="500">
        <f>L24</f>
        <v/>
      </c>
      <c r="Q24" s="519">
        <f>M24</f>
        <v/>
      </c>
    </row>
    <row r="25">
      <c r="B25" s="9" t="inlineStr">
        <is>
          <t>(최종) 선납금 반영 총 구독료 (V+)</t>
        </is>
      </c>
      <c r="C25" s="506">
        <f>+C24*C7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$C$33</f>
        <v/>
      </c>
      <c r="O25" s="516">
        <f>N25-P25-Q25</f>
        <v/>
      </c>
      <c r="P25" s="500">
        <f>L25</f>
        <v/>
      </c>
      <c r="Q25" s="519">
        <f>M25</f>
        <v/>
      </c>
    </row>
    <row r="26" ht="17.25" customHeight="1" s="497" thickBot="1">
      <c r="B26" s="63" t="inlineStr">
        <is>
          <t>(최종) 선납금 (V+)</t>
        </is>
      </c>
      <c r="C26" s="649">
        <f>+C16-C25</f>
        <v/>
      </c>
      <c r="D26" s="505">
        <f>C22*1.1=C26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$C$33</f>
        <v/>
      </c>
      <c r="O26" s="516">
        <f>N26-P26-Q26</f>
        <v/>
      </c>
      <c r="P26" s="500">
        <f>L26</f>
        <v/>
      </c>
      <c r="Q26" s="519">
        <f>M26</f>
        <v/>
      </c>
    </row>
    <row r="27">
      <c r="A27" s="176" t="n"/>
      <c r="B27" s="296" t="inlineStr">
        <is>
          <t>(계산용) 선납 할인금 (V+)</t>
        </is>
      </c>
      <c r="C27" s="576">
        <f>C16*4%</f>
        <v/>
      </c>
      <c r="D27" s="505" t="n"/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$C$33</f>
        <v/>
      </c>
      <c r="O27" s="516">
        <f>N27-P27-Q27</f>
        <v/>
      </c>
      <c r="P27" s="500">
        <f>L27</f>
        <v/>
      </c>
      <c r="Q27" s="519">
        <f>M27</f>
        <v/>
      </c>
    </row>
    <row r="28">
      <c r="B28" s="298" t="inlineStr">
        <is>
          <t>(계산용) 선납 할인금 (V-)</t>
        </is>
      </c>
      <c r="C28" s="578">
        <f>+C27/1.1</f>
        <v/>
      </c>
      <c r="D28" s="500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$C$33</f>
        <v/>
      </c>
      <c r="O28" s="516">
        <f>N28-P28-Q28</f>
        <v/>
      </c>
      <c r="P28" s="500">
        <f>L28</f>
        <v/>
      </c>
      <c r="Q28" s="519">
        <f>M28</f>
        <v/>
      </c>
    </row>
    <row r="29">
      <c r="B29" s="298" t="inlineStr">
        <is>
          <t>(계산용) 선납 월할인금 (V-)</t>
        </is>
      </c>
      <c r="C29" s="579">
        <f>+ROUNDUP(C28/C7,-2)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$C$33</f>
        <v/>
      </c>
      <c r="O29" s="516">
        <f>N29-P29-Q29</f>
        <v/>
      </c>
      <c r="P29" s="500">
        <f>L29</f>
        <v/>
      </c>
      <c r="Q29" s="519">
        <f>M29</f>
        <v/>
      </c>
    </row>
    <row r="30" ht="17.25" customHeight="1" s="497" thickBot="1">
      <c r="B30" s="301" t="inlineStr">
        <is>
          <t>(계산용) 선납 월할인금 (V+)</t>
        </is>
      </c>
      <c r="C30" s="580">
        <f>+C29*1.1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$C$33</f>
        <v/>
      </c>
      <c r="O30" s="516">
        <f>N30-P30-Q30</f>
        <v/>
      </c>
      <c r="P30" s="500">
        <f>L30</f>
        <v/>
      </c>
      <c r="Q30" s="519">
        <f>M30</f>
        <v/>
      </c>
    </row>
    <row r="31">
      <c r="B31" s="265" t="inlineStr">
        <is>
          <t>(최종) 선납 할인금 (V-)</t>
        </is>
      </c>
      <c r="C31" s="506">
        <f>+C29*C7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$C$33</f>
        <v/>
      </c>
      <c r="O31" s="516">
        <f>N31-P31-Q31</f>
        <v/>
      </c>
      <c r="P31" s="500">
        <f>L31</f>
        <v/>
      </c>
      <c r="Q31" s="519">
        <f>M31</f>
        <v/>
      </c>
    </row>
    <row r="32" ht="17.25" customHeight="1" s="497" thickBot="1">
      <c r="B32" s="9" t="inlineStr">
        <is>
          <t>(최종) 선납 할인금 (V+)</t>
        </is>
      </c>
      <c r="C32" s="506">
        <f>+C30*C7</f>
        <v/>
      </c>
      <c r="D32" s="505">
        <f>C31*1.1=C32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$C$33</f>
        <v/>
      </c>
      <c r="O32" s="516">
        <f>N32-P32-Q32</f>
        <v/>
      </c>
      <c r="P32" s="500">
        <f>L32</f>
        <v/>
      </c>
      <c r="Q32" s="519">
        <f>M32</f>
        <v/>
      </c>
    </row>
    <row r="33">
      <c r="B33" s="293" t="inlineStr">
        <is>
          <t>(최종) 선납금+선납 할인 반영 월 구독료 (V-)</t>
        </is>
      </c>
      <c r="C33" s="536">
        <f>+(C14-C31-C22)/C7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$C$33</f>
        <v/>
      </c>
      <c r="O33" s="516">
        <f>N33-P33-Q33</f>
        <v/>
      </c>
      <c r="P33" s="500">
        <f>L33</f>
        <v/>
      </c>
      <c r="Q33" s="519">
        <f>M33</f>
        <v/>
      </c>
    </row>
    <row r="34" ht="17.25" customHeight="1" s="497" thickBot="1">
      <c r="B34" s="294" t="inlineStr">
        <is>
          <t>(최종) 선납금+선납 할인 반영 총 구독료 (V-)</t>
        </is>
      </c>
      <c r="C34" s="537">
        <f>C33*C7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$C$33</f>
        <v/>
      </c>
      <c r="O34" s="516">
        <f>N34-P34-Q34</f>
        <v/>
      </c>
      <c r="P34" s="500">
        <f>L34</f>
        <v/>
      </c>
      <c r="Q34" s="519">
        <f>M34</f>
        <v/>
      </c>
    </row>
    <row r="35">
      <c r="B35" s="295" t="inlineStr">
        <is>
          <t>(최종) 선납금+선납 할인 반영 월 구독료 (V+)</t>
        </is>
      </c>
      <c r="C35" s="538">
        <f>+(C16-C22*1.1-C32)/C7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$C$33</f>
        <v/>
      </c>
      <c r="O35" s="516">
        <f>N35-P35-Q35</f>
        <v/>
      </c>
      <c r="P35" s="500">
        <f>L35</f>
        <v/>
      </c>
      <c r="Q35" s="519">
        <f>M35</f>
        <v/>
      </c>
    </row>
    <row r="36" ht="17.25" customHeight="1" s="497" thickBot="1">
      <c r="B36" s="294" t="inlineStr">
        <is>
          <t>(최종) 선납금+선납 할인 반영 총 구독료 (V+)</t>
        </is>
      </c>
      <c r="C36" s="537">
        <f>C35*C7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$C$33</f>
        <v/>
      </c>
      <c r="O36" s="516">
        <f>N36-P36-Q36</f>
        <v/>
      </c>
      <c r="P36" s="500">
        <f>L36</f>
        <v/>
      </c>
      <c r="Q36" s="519">
        <f>M36</f>
        <v/>
      </c>
    </row>
    <row r="37">
      <c r="C37" s="505" t="n"/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$C$33</f>
        <v/>
      </c>
      <c r="O37" s="516">
        <f>N37-P37-Q37</f>
        <v/>
      </c>
      <c r="P37" s="500">
        <f>L37</f>
        <v/>
      </c>
      <c r="Q37" s="519">
        <f>M37</f>
        <v/>
      </c>
    </row>
    <row r="38">
      <c r="B38" s="9" t="inlineStr">
        <is>
          <t>선납금+선납 할인 반영 순수 구독료 (V-)</t>
        </is>
      </c>
      <c r="C38" s="506">
        <f>C34-C11-C12</f>
        <v/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$C$33</f>
        <v/>
      </c>
      <c r="O38" s="516">
        <f>N38-P38-Q38</f>
        <v/>
      </c>
      <c r="P38" s="500">
        <f>L38</f>
        <v/>
      </c>
      <c r="Q38" s="519">
        <f>M38</f>
        <v/>
      </c>
    </row>
    <row r="39">
      <c r="B39" s="9" t="inlineStr">
        <is>
          <t>선납금+선납 할인 반영 순수 구독료 월할 (V-)</t>
        </is>
      </c>
      <c r="C39" s="506">
        <f>C38/C7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$C$33</f>
        <v/>
      </c>
      <c r="O39" s="516">
        <f>N39-P39-Q39</f>
        <v/>
      </c>
      <c r="P39" s="500">
        <f>L39</f>
        <v/>
      </c>
      <c r="Q39" s="519">
        <f>M39</f>
        <v/>
      </c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$C$33</f>
        <v/>
      </c>
      <c r="O40" s="516">
        <f>N40-P40-Q40</f>
        <v/>
      </c>
      <c r="P40" s="500">
        <f>L40</f>
        <v/>
      </c>
      <c r="Q40" s="519">
        <f>M40</f>
        <v/>
      </c>
    </row>
    <row r="41">
      <c r="C41" s="505">
        <f>(C15*1.1)*5%/1.1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$C$33</f>
        <v/>
      </c>
      <c r="O41" s="516">
        <f>N41-P41-Q41</f>
        <v/>
      </c>
      <c r="P41" s="500">
        <f>L41</f>
        <v/>
      </c>
      <c r="Q41" s="519">
        <f>M41</f>
        <v/>
      </c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$C$33</f>
        <v/>
      </c>
      <c r="O42" s="516">
        <f>N42-P42-Q42</f>
        <v/>
      </c>
      <c r="P42" s="500">
        <f>L42</f>
        <v/>
      </c>
      <c r="Q42" s="519">
        <f>M42</f>
        <v/>
      </c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$C$33</f>
        <v/>
      </c>
      <c r="O43" s="516">
        <f>N43-P43-Q43</f>
        <v/>
      </c>
      <c r="P43" s="500">
        <f>L43</f>
        <v/>
      </c>
      <c r="Q43" s="519">
        <f>M43</f>
        <v/>
      </c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$C$33</f>
        <v/>
      </c>
      <c r="O44" s="516">
        <f>N44-P44-Q44</f>
        <v/>
      </c>
      <c r="P44" s="500">
        <f>L44</f>
        <v/>
      </c>
      <c r="Q44" s="519">
        <f>M44</f>
        <v/>
      </c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$C$33</f>
        <v/>
      </c>
      <c r="O45" s="516">
        <f>N45-P45-Q45</f>
        <v/>
      </c>
      <c r="P45" s="500">
        <f>L45</f>
        <v/>
      </c>
      <c r="Q45" s="519">
        <f>M45</f>
        <v/>
      </c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$C$33</f>
        <v/>
      </c>
      <c r="O46" s="516">
        <f>N46-P46-Q46</f>
        <v/>
      </c>
      <c r="P46" s="500">
        <f>L46</f>
        <v/>
      </c>
      <c r="Q46" s="519">
        <f>M46</f>
        <v/>
      </c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$C$33</f>
        <v/>
      </c>
      <c r="O47" s="516">
        <f>N47-P47-Q47</f>
        <v/>
      </c>
      <c r="P47" s="500">
        <f>L47</f>
        <v/>
      </c>
      <c r="Q47" s="519">
        <f>M47</f>
        <v/>
      </c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$C$33</f>
        <v/>
      </c>
      <c r="O48" s="516">
        <f>N48-P48-Q48</f>
        <v/>
      </c>
      <c r="P48" s="500">
        <f>L48</f>
        <v/>
      </c>
      <c r="Q48" s="519">
        <f>M48</f>
        <v/>
      </c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$C$33</f>
        <v/>
      </c>
      <c r="O49" s="516">
        <f>N49-P49-Q49</f>
        <v/>
      </c>
      <c r="P49" s="500">
        <f>L49</f>
        <v/>
      </c>
      <c r="Q49" s="519">
        <f>M49</f>
        <v/>
      </c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$C$33</f>
        <v/>
      </c>
      <c r="O50" s="516">
        <f>N50-P50-Q50</f>
        <v/>
      </c>
      <c r="P50" s="500">
        <f>L50</f>
        <v/>
      </c>
      <c r="Q50" s="519">
        <f>M50</f>
        <v/>
      </c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$C$33</f>
        <v/>
      </c>
      <c r="O51" s="516">
        <f>N51-P51-Q51</f>
        <v/>
      </c>
      <c r="P51" s="500">
        <f>L51</f>
        <v/>
      </c>
      <c r="Q51" s="519">
        <f>M51</f>
        <v/>
      </c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$C$33</f>
        <v/>
      </c>
      <c r="O52" s="516">
        <f>N52-P52-Q52</f>
        <v/>
      </c>
      <c r="P52" s="500">
        <f>L52</f>
        <v/>
      </c>
      <c r="Q52" s="519">
        <f>M52</f>
        <v/>
      </c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$C$33</f>
        <v/>
      </c>
      <c r="O53" s="516">
        <f>N53-P53-Q53</f>
        <v/>
      </c>
      <c r="P53" s="500">
        <f>L53</f>
        <v/>
      </c>
      <c r="Q53" s="519">
        <f>M53</f>
        <v/>
      </c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$C$33</f>
        <v/>
      </c>
      <c r="O54" s="516">
        <f>N54-P54-Q54</f>
        <v/>
      </c>
      <c r="P54" s="500">
        <f>L54</f>
        <v/>
      </c>
      <c r="Q54" s="519">
        <f>M54</f>
        <v/>
      </c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$C$33</f>
        <v/>
      </c>
      <c r="O55" s="516">
        <f>N55-P55-Q55</f>
        <v/>
      </c>
      <c r="P55" s="500">
        <f>L55</f>
        <v/>
      </c>
      <c r="Q55" s="519">
        <f>M55</f>
        <v/>
      </c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$C$33</f>
        <v/>
      </c>
      <c r="O56" s="516">
        <f>N56-P56-Q56</f>
        <v/>
      </c>
      <c r="P56" s="500">
        <f>L56</f>
        <v/>
      </c>
      <c r="Q56" s="519">
        <f>M56</f>
        <v/>
      </c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$C$33</f>
        <v/>
      </c>
      <c r="O57" s="516">
        <f>N57-P57-Q57</f>
        <v/>
      </c>
      <c r="P57" s="500">
        <f>L57</f>
        <v/>
      </c>
      <c r="Q57" s="519">
        <f>M57</f>
        <v/>
      </c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$C$33</f>
        <v/>
      </c>
      <c r="O58" s="516">
        <f>N58-P58-Q58</f>
        <v/>
      </c>
      <c r="P58" s="500">
        <f>L58</f>
        <v/>
      </c>
      <c r="Q58" s="519">
        <f>M58</f>
        <v/>
      </c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$C$33</f>
        <v/>
      </c>
      <c r="O59" s="516">
        <f>N59-P59-Q59</f>
        <v/>
      </c>
      <c r="P59" s="500">
        <f>L59</f>
        <v/>
      </c>
      <c r="Q59" s="519">
        <f>M59</f>
        <v/>
      </c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$C$33</f>
        <v/>
      </c>
      <c r="O60" s="516">
        <f>N60-P60-Q60</f>
        <v/>
      </c>
      <c r="P60" s="500">
        <f>L60</f>
        <v/>
      </c>
      <c r="Q60" s="519">
        <f>M60</f>
        <v/>
      </c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$C$33</f>
        <v/>
      </c>
      <c r="O61" s="516">
        <f>N61-P61-Q61</f>
        <v/>
      </c>
      <c r="P61" s="500">
        <f>L61</f>
        <v/>
      </c>
      <c r="Q61" s="519">
        <f>M61</f>
        <v/>
      </c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$C$33</f>
        <v/>
      </c>
      <c r="O62" s="516">
        <f>N62-P62-Q62</f>
        <v/>
      </c>
      <c r="P62" s="500">
        <f>L62</f>
        <v/>
      </c>
      <c r="Q62" s="519">
        <f>M62</f>
        <v/>
      </c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$C$33</f>
        <v/>
      </c>
      <c r="O63" s="516">
        <f>N63-P63-Q63</f>
        <v/>
      </c>
      <c r="P63" s="500">
        <f>L63</f>
        <v/>
      </c>
      <c r="Q63" s="519">
        <f>M63</f>
        <v/>
      </c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$C$33</f>
        <v/>
      </c>
      <c r="O64" s="516">
        <f>N64-P64-Q64</f>
        <v/>
      </c>
      <c r="P64" s="500">
        <f>L64</f>
        <v/>
      </c>
      <c r="Q64" s="519">
        <f>M64</f>
        <v/>
      </c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$C$33</f>
        <v/>
      </c>
      <c r="O65" s="516">
        <f>N65-P65-Q65</f>
        <v/>
      </c>
      <c r="P65" s="500">
        <f>L65</f>
        <v/>
      </c>
      <c r="Q65" s="519">
        <f>M65</f>
        <v/>
      </c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$C$33</f>
        <v/>
      </c>
      <c r="O66" s="516">
        <f>N66-P66-Q66</f>
        <v/>
      </c>
      <c r="P66" s="500">
        <f>L66</f>
        <v/>
      </c>
      <c r="Q66" s="519">
        <f>M66</f>
        <v/>
      </c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$C$33</f>
        <v/>
      </c>
      <c r="O67" s="516">
        <f>N67-P67-Q67</f>
        <v/>
      </c>
      <c r="P67" s="500">
        <f>L67</f>
        <v/>
      </c>
      <c r="Q67" s="519">
        <f>M67</f>
        <v/>
      </c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$C$33</f>
        <v/>
      </c>
      <c r="O68" s="516">
        <f>N68-P68-Q68</f>
        <v/>
      </c>
      <c r="P68" s="500">
        <f>L68</f>
        <v/>
      </c>
      <c r="Q68" s="519">
        <f>M68</f>
        <v/>
      </c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$C$33</f>
        <v/>
      </c>
      <c r="O69" s="516">
        <f>N69-P69-Q69</f>
        <v/>
      </c>
      <c r="P69" s="500">
        <f>L69</f>
        <v/>
      </c>
      <c r="Q69" s="519">
        <f>M69</f>
        <v/>
      </c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$C$33</f>
        <v/>
      </c>
      <c r="O70" s="516">
        <f>N70-P70-Q70</f>
        <v/>
      </c>
      <c r="P70" s="500">
        <f>L70</f>
        <v/>
      </c>
      <c r="Q70" s="519">
        <f>M70</f>
        <v/>
      </c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$C$33</f>
        <v/>
      </c>
      <c r="O71" s="516">
        <f>N71-P71-Q71</f>
        <v/>
      </c>
      <c r="P71" s="500">
        <f>L71</f>
        <v/>
      </c>
      <c r="Q71" s="519">
        <f>M71</f>
        <v/>
      </c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$C$33</f>
        <v/>
      </c>
      <c r="O72" s="516">
        <f>N72-P72-Q72</f>
        <v/>
      </c>
      <c r="P72" s="500">
        <f>L72</f>
        <v/>
      </c>
      <c r="Q72" s="519">
        <f>M72</f>
        <v/>
      </c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$C$33</f>
        <v/>
      </c>
      <c r="O73" s="516">
        <f>N73-P73-Q73</f>
        <v/>
      </c>
      <c r="P73" s="500">
        <f>L73</f>
        <v/>
      </c>
      <c r="Q73" s="519">
        <f>M73</f>
        <v/>
      </c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$C$33</f>
        <v/>
      </c>
      <c r="O74" s="516">
        <f>N74-P74-Q74</f>
        <v/>
      </c>
      <c r="P74" s="500">
        <f>L74</f>
        <v/>
      </c>
      <c r="Q74" s="519">
        <f>M74</f>
        <v/>
      </c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$C$33</f>
        <v/>
      </c>
      <c r="O75" s="516">
        <f>N75-P75-Q75</f>
        <v/>
      </c>
      <c r="P75" s="500">
        <f>L75</f>
        <v/>
      </c>
      <c r="Q75" s="519">
        <f>M75</f>
        <v/>
      </c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$C$33</f>
        <v/>
      </c>
      <c r="O76" s="516">
        <f>N76-P76-Q76</f>
        <v/>
      </c>
      <c r="P76" s="500">
        <f>L76</f>
        <v/>
      </c>
      <c r="Q76" s="519">
        <f>M76</f>
        <v/>
      </c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81">
        <f>$C$33-N5</f>
        <v/>
      </c>
      <c r="O77" s="588">
        <f>N77-P77-Q77</f>
        <v/>
      </c>
      <c r="P77" s="589">
        <f>L77</f>
        <v/>
      </c>
      <c r="Q77" s="642">
        <f>M77</f>
        <v/>
      </c>
    </row>
    <row r="78">
      <c r="O78" s="500" t="n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T78"/>
  <sheetViews>
    <sheetView showGridLines="0" zoomScale="60" zoomScaleNormal="60" workbookViewId="0">
      <selection activeCell="K14" sqref="K1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.375" bestFit="1" customWidth="1" style="497" min="10" max="11"/>
    <col width="12.125" bestFit="1" customWidth="1" style="497" min="12" max="12"/>
    <col width="10.5" bestFit="1" customWidth="1" style="497" min="13" max="13"/>
    <col width="12.125" bestFit="1" customWidth="1" style="497" min="14" max="16"/>
    <col width="10.5" bestFit="1" customWidth="1" style="497" min="17" max="17"/>
    <col width="25.625" bestFit="1" customWidth="1" style="497" min="19" max="19"/>
    <col width="12.125" bestFit="1" customWidth="1" style="497" min="20" max="20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S3" s="9" t="inlineStr">
        <is>
          <t>고객노출 기본 구독료 (v+)</t>
        </is>
      </c>
      <c r="T3" s="506">
        <f>C15*1.1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S4" s="9" t="inlineStr">
        <is>
          <t>선납금 월할(v+)</t>
        </is>
      </c>
      <c r="T4" s="506">
        <f>C24*1.1/C7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15">
        <f>ROUNDDOWN(($C$30/$C$7)*(H5-G5+1)/DAY(H5),-2)</f>
        <v/>
      </c>
      <c r="O5" s="516">
        <f>N5-P5-Q5</f>
        <v/>
      </c>
      <c r="P5" s="500">
        <f>L5</f>
        <v/>
      </c>
      <c r="Q5" s="519">
        <f>M5</f>
        <v/>
      </c>
      <c r="S5" s="9" t="inlineStr">
        <is>
          <t>선납할인금 월할 (v+)</t>
        </is>
      </c>
      <c r="T5" s="506">
        <f>C28*1.1/C7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$C$29</f>
        <v/>
      </c>
      <c r="O6" s="516">
        <f>N6-P6-Q6</f>
        <v/>
      </c>
      <c r="P6" s="500">
        <f>L6</f>
        <v/>
      </c>
      <c r="Q6" s="519">
        <f>M6</f>
        <v/>
      </c>
      <c r="S6" s="9" t="inlineStr">
        <is>
          <t>선납시 최종 납부금 (v+)</t>
        </is>
      </c>
      <c r="T6" s="527">
        <f>T3-T4-T5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$C$29</f>
        <v/>
      </c>
      <c r="O7" s="516">
        <f>N7-P7-Q7</f>
        <v/>
      </c>
      <c r="P7" s="500">
        <f>L7</f>
        <v/>
      </c>
      <c r="Q7" s="519">
        <f>M7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$C$29</f>
        <v/>
      </c>
      <c r="O8" s="516">
        <f>N8-P8-Q8</f>
        <v/>
      </c>
      <c r="P8" s="500">
        <f>L8</f>
        <v/>
      </c>
      <c r="Q8" s="519">
        <f>M8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$C$29</f>
        <v/>
      </c>
      <c r="O9" s="516">
        <f>N9-P9-Q9</f>
        <v/>
      </c>
      <c r="P9" s="500">
        <f>L9</f>
        <v/>
      </c>
      <c r="Q9" s="519">
        <f>M9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$C$29</f>
        <v/>
      </c>
      <c r="O10" s="516">
        <f>N10-P10-Q10</f>
        <v/>
      </c>
      <c r="P10" s="500">
        <f>L10</f>
        <v/>
      </c>
      <c r="Q10" s="519">
        <f>M10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$C$29</f>
        <v/>
      </c>
      <c r="O11" s="516">
        <f>N11-P11-Q11</f>
        <v/>
      </c>
      <c r="P11" s="500">
        <f>L11</f>
        <v/>
      </c>
      <c r="Q11" s="519">
        <f>M11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$C$29</f>
        <v/>
      </c>
      <c r="O12" s="516">
        <f>N12-P12-Q12</f>
        <v/>
      </c>
      <c r="P12" s="500">
        <f>L12</f>
        <v/>
      </c>
      <c r="Q12" s="519">
        <f>M12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$C$29</f>
        <v/>
      </c>
      <c r="O13" s="516">
        <f>N13-P13-Q13</f>
        <v/>
      </c>
      <c r="P13" s="500">
        <f>L13</f>
        <v/>
      </c>
      <c r="Q13" s="519">
        <f>M13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$C$29</f>
        <v/>
      </c>
      <c r="O14" s="516">
        <f>N14-P14-Q14</f>
        <v/>
      </c>
      <c r="P14" s="500">
        <f>L14</f>
        <v/>
      </c>
      <c r="Q14" s="519">
        <f>M14</f>
        <v/>
      </c>
    </row>
    <row r="15">
      <c r="B15" s="9" t="inlineStr">
        <is>
          <t>월구독료(v-)</t>
        </is>
      </c>
      <c r="C15" s="526" t="n">
        <v>163300</v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$C$29</f>
        <v/>
      </c>
      <c r="O15" s="516">
        <f>N15-P15-Q15</f>
        <v/>
      </c>
      <c r="P15" s="500">
        <f>L15</f>
        <v/>
      </c>
      <c r="Q15" s="519">
        <f>M15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$C$29</f>
        <v/>
      </c>
      <c r="O16" s="516">
        <f>N16-P16-Q16</f>
        <v/>
      </c>
      <c r="P16" s="500">
        <f>L16</f>
        <v/>
      </c>
      <c r="Q16" s="519">
        <f>M16</f>
        <v/>
      </c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$C$29</f>
        <v/>
      </c>
      <c r="O17" s="516">
        <f>N17-P17-Q17</f>
        <v/>
      </c>
      <c r="P17" s="500">
        <f>L17</f>
        <v/>
      </c>
      <c r="Q17" s="519">
        <f>M17</f>
        <v/>
      </c>
    </row>
    <row r="18">
      <c r="A18" s="492" t="inlineStr">
        <is>
          <t>기적용 버전</t>
        </is>
      </c>
      <c r="B18" s="9" t="inlineStr">
        <is>
          <t>선납금 %</t>
        </is>
      </c>
      <c r="C18" s="288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$C$29</f>
        <v/>
      </c>
      <c r="O18" s="516">
        <f>N18-P18-Q18</f>
        <v/>
      </c>
      <c r="P18" s="500">
        <f>L18</f>
        <v/>
      </c>
      <c r="Q18" s="519">
        <f>M18</f>
        <v/>
      </c>
    </row>
    <row r="19">
      <c r="A19" s="628" t="n"/>
      <c r="B19" s="9" t="inlineStr">
        <is>
          <t>(계산용) 선납금(v-) (총구독료 v- 기준)</t>
        </is>
      </c>
      <c r="C19" s="506">
        <f>C14*C18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$C$29</f>
        <v/>
      </c>
      <c r="O19" s="516">
        <f>N19-P19-Q19</f>
        <v/>
      </c>
      <c r="P19" s="500">
        <f>L19</f>
        <v/>
      </c>
      <c r="Q19" s="519">
        <f>M19</f>
        <v/>
      </c>
    </row>
    <row r="20">
      <c r="A20" s="628" t="n"/>
      <c r="B20" s="9" t="inlineStr">
        <is>
          <t>(계산용) 선납금 반영 총 구독료 (V-)</t>
        </is>
      </c>
      <c r="C20" s="506">
        <f>C14-C19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$C$29</f>
        <v/>
      </c>
      <c r="O20" s="516">
        <f>N20-P20-Q20</f>
        <v/>
      </c>
      <c r="P20" s="500">
        <f>L20</f>
        <v/>
      </c>
      <c r="Q20" s="519">
        <f>M20</f>
        <v/>
      </c>
    </row>
    <row r="21">
      <c r="A21" s="628" t="n"/>
      <c r="B21" s="9" t="inlineStr">
        <is>
          <t>(계산용) 선납금 반영 월 구독료(V-)</t>
        </is>
      </c>
      <c r="C21" s="506">
        <f>C20/C7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$C$29</f>
        <v/>
      </c>
      <c r="O21" s="516">
        <f>N21-P21-Q21</f>
        <v/>
      </c>
      <c r="P21" s="500">
        <f>L21</f>
        <v/>
      </c>
      <c r="Q21" s="519">
        <f>M21</f>
        <v/>
      </c>
    </row>
    <row r="22">
      <c r="A22" s="628" t="n"/>
      <c r="B22" s="9" t="inlineStr">
        <is>
          <t>(최종) 선납금 반영 월 구독료 (V-)</t>
        </is>
      </c>
      <c r="C22" s="506">
        <f>ROUNDDOWN(C21,-2)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$C$29</f>
        <v/>
      </c>
      <c r="O22" s="516">
        <f>N22-P22-Q22</f>
        <v/>
      </c>
      <c r="P22" s="500">
        <f>L22</f>
        <v/>
      </c>
      <c r="Q22" s="519">
        <f>M22</f>
        <v/>
      </c>
    </row>
    <row r="23">
      <c r="A23" s="628" t="n"/>
      <c r="B23" s="9" t="inlineStr">
        <is>
          <t>(최종) 선납금 반영 총 구독료 (V-)</t>
        </is>
      </c>
      <c r="C23" s="506">
        <f>C22*C7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$C$29</f>
        <v/>
      </c>
      <c r="O23" s="516">
        <f>N23-P23-Q23</f>
        <v/>
      </c>
      <c r="P23" s="500">
        <f>L23</f>
        <v/>
      </c>
      <c r="Q23" s="519">
        <f>M23</f>
        <v/>
      </c>
    </row>
    <row r="24">
      <c r="A24" s="628" t="n"/>
      <c r="B24" s="63" t="inlineStr">
        <is>
          <t>(최종) 선납금 (V-)</t>
        </is>
      </c>
      <c r="C24" s="649">
        <f>C14-C23</f>
        <v/>
      </c>
      <c r="D24" s="505" t="n"/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$C$29</f>
        <v/>
      </c>
      <c r="O24" s="516">
        <f>N24-P24-Q24</f>
        <v/>
      </c>
      <c r="P24" s="500">
        <f>L24</f>
        <v/>
      </c>
      <c r="Q24" s="519">
        <f>M24</f>
        <v/>
      </c>
    </row>
    <row r="25">
      <c r="B25" s="170" t="inlineStr">
        <is>
          <t>(계산용) 선납 할인금 (V-) (총구독료 v+기준)</t>
        </is>
      </c>
      <c r="C25" s="650">
        <f>C16*4%/1.1</f>
        <v/>
      </c>
      <c r="D25" s="500" t="n"/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$C$29</f>
        <v/>
      </c>
      <c r="O25" s="516">
        <f>N25-P25-Q25</f>
        <v/>
      </c>
      <c r="P25" s="500">
        <f>L25</f>
        <v/>
      </c>
      <c r="Q25" s="519">
        <f>M25</f>
        <v/>
      </c>
    </row>
    <row r="26">
      <c r="B26" s="9" t="inlineStr">
        <is>
          <t>(계산용) 선납 할인금 월할 (V-)</t>
        </is>
      </c>
      <c r="C26" s="506">
        <f>C25/C7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$C$29</f>
        <v/>
      </c>
      <c r="O26" s="516">
        <f>N26-P26-Q26</f>
        <v/>
      </c>
      <c r="P26" s="500">
        <f>L26</f>
        <v/>
      </c>
      <c r="Q26" s="519">
        <f>M26</f>
        <v/>
      </c>
    </row>
    <row r="27">
      <c r="B27" s="9" t="inlineStr">
        <is>
          <t>(계산용) 선납 할인금 월할 보정 (V-)</t>
        </is>
      </c>
      <c r="C27" s="506">
        <f>ROUNDUP(C26,-2)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$C$29</f>
        <v/>
      </c>
      <c r="O27" s="516">
        <f>N27-P27-Q27</f>
        <v/>
      </c>
      <c r="P27" s="500">
        <f>L27</f>
        <v/>
      </c>
      <c r="Q27" s="519">
        <f>M27</f>
        <v/>
      </c>
    </row>
    <row r="28">
      <c r="B28" s="63" t="inlineStr">
        <is>
          <t>(최종) 선납 할인금 (V-)</t>
        </is>
      </c>
      <c r="C28" s="649">
        <f>C27*C7</f>
        <v/>
      </c>
      <c r="D28" s="505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$C$29</f>
        <v/>
      </c>
      <c r="O28" s="516">
        <f>N28-P28-Q28</f>
        <v/>
      </c>
      <c r="P28" s="500">
        <f>L28</f>
        <v/>
      </c>
      <c r="Q28" s="519">
        <f>M28</f>
        <v/>
      </c>
    </row>
    <row r="29">
      <c r="B29" s="9" t="inlineStr">
        <is>
          <t>(최종) 선납금+선납 할인 반영 월 구독료 (V-)</t>
        </is>
      </c>
      <c r="C29" s="506">
        <f>(C14-C24-C28)/C7</f>
        <v/>
      </c>
      <c r="D29" s="505">
        <f>C29*1.1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$C$29</f>
        <v/>
      </c>
      <c r="O29" s="516">
        <f>N29-P29-Q29</f>
        <v/>
      </c>
      <c r="P29" s="500">
        <f>L29</f>
        <v/>
      </c>
      <c r="Q29" s="519">
        <f>M29</f>
        <v/>
      </c>
    </row>
    <row r="30">
      <c r="B30" s="9" t="inlineStr">
        <is>
          <t>(최종) 선납금+선납 할인 반영 총 구독료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$C$29</f>
        <v/>
      </c>
      <c r="O30" s="516">
        <f>N30-P30-Q30</f>
        <v/>
      </c>
      <c r="P30" s="500">
        <f>L30</f>
        <v/>
      </c>
      <c r="Q30" s="519">
        <f>M30</f>
        <v/>
      </c>
    </row>
    <row r="31">
      <c r="C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$C$29</f>
        <v/>
      </c>
      <c r="O31" s="516">
        <f>N31-P31-Q31</f>
        <v/>
      </c>
      <c r="P31" s="500">
        <f>L31</f>
        <v/>
      </c>
      <c r="Q31" s="519">
        <f>M31</f>
        <v/>
      </c>
    </row>
    <row r="32">
      <c r="B32" s="9" t="inlineStr">
        <is>
          <t>선납금+선납 할인 반영 순수 구독료 (V-)</t>
        </is>
      </c>
      <c r="C32" s="506">
        <f>C30-C11-C12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$C$29</f>
        <v/>
      </c>
      <c r="O32" s="516">
        <f>N32-P32-Q32</f>
        <v/>
      </c>
      <c r="P32" s="500">
        <f>L32</f>
        <v/>
      </c>
      <c r="Q32" s="519">
        <f>M32</f>
        <v/>
      </c>
    </row>
    <row r="33">
      <c r="B33" s="9" t="inlineStr">
        <is>
          <t>선납금+선납 할인 반영 순수 구독료 월할 (V-)</t>
        </is>
      </c>
      <c r="C33" s="506">
        <f>C32/C7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$C$29</f>
        <v/>
      </c>
      <c r="O33" s="516">
        <f>N33-P33-Q33</f>
        <v/>
      </c>
      <c r="P33" s="500">
        <f>L33</f>
        <v/>
      </c>
      <c r="Q33" s="519">
        <f>M33</f>
        <v/>
      </c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$C$29</f>
        <v/>
      </c>
      <c r="O34" s="516">
        <f>N34-P34-Q34</f>
        <v/>
      </c>
      <c r="P34" s="500">
        <f>L34</f>
        <v/>
      </c>
      <c r="Q34" s="519">
        <f>M34</f>
        <v/>
      </c>
    </row>
    <row r="35">
      <c r="C35" s="505">
        <f>(C15*1.1)*5%/1.1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$C$29</f>
        <v/>
      </c>
      <c r="O35" s="516">
        <f>N35-P35-Q35</f>
        <v/>
      </c>
      <c r="P35" s="500">
        <f>L35</f>
        <v/>
      </c>
      <c r="Q35" s="519">
        <f>M35</f>
        <v/>
      </c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$C$29</f>
        <v/>
      </c>
      <c r="O36" s="516">
        <f>N36-P36-Q36</f>
        <v/>
      </c>
      <c r="P36" s="500">
        <f>L36</f>
        <v/>
      </c>
      <c r="Q36" s="519">
        <f>M36</f>
        <v/>
      </c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$C$29</f>
        <v/>
      </c>
      <c r="O37" s="516">
        <f>N37-P37-Q37</f>
        <v/>
      </c>
      <c r="P37" s="500">
        <f>L37</f>
        <v/>
      </c>
      <c r="Q37" s="519">
        <f>M37</f>
        <v/>
      </c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$C$29</f>
        <v/>
      </c>
      <c r="O38" s="516">
        <f>N38-P38-Q38</f>
        <v/>
      </c>
      <c r="P38" s="500">
        <f>L38</f>
        <v/>
      </c>
      <c r="Q38" s="519">
        <f>M38</f>
        <v/>
      </c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$C$29</f>
        <v/>
      </c>
      <c r="O39" s="516">
        <f>N39-P39-Q39</f>
        <v/>
      </c>
      <c r="P39" s="500">
        <f>L39</f>
        <v/>
      </c>
      <c r="Q39" s="519">
        <f>M39</f>
        <v/>
      </c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$C$29</f>
        <v/>
      </c>
      <c r="O40" s="516">
        <f>N40-P40-Q40</f>
        <v/>
      </c>
      <c r="P40" s="500">
        <f>L40</f>
        <v/>
      </c>
      <c r="Q40" s="519">
        <f>M40</f>
        <v/>
      </c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$C$29</f>
        <v/>
      </c>
      <c r="O41" s="516">
        <f>N41-P41-Q41</f>
        <v/>
      </c>
      <c r="P41" s="500">
        <f>L41</f>
        <v/>
      </c>
      <c r="Q41" s="519">
        <f>M41</f>
        <v/>
      </c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$C$29</f>
        <v/>
      </c>
      <c r="O42" s="516">
        <f>N42-P42-Q42</f>
        <v/>
      </c>
      <c r="P42" s="500">
        <f>L42</f>
        <v/>
      </c>
      <c r="Q42" s="519">
        <f>M42</f>
        <v/>
      </c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$C$29</f>
        <v/>
      </c>
      <c r="O43" s="516">
        <f>N43-P43-Q43</f>
        <v/>
      </c>
      <c r="P43" s="500">
        <f>L43</f>
        <v/>
      </c>
      <c r="Q43" s="519">
        <f>M43</f>
        <v/>
      </c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$C$29</f>
        <v/>
      </c>
      <c r="O44" s="516">
        <f>N44-P44-Q44</f>
        <v/>
      </c>
      <c r="P44" s="500">
        <f>L44</f>
        <v/>
      </c>
      <c r="Q44" s="519">
        <f>M44</f>
        <v/>
      </c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$C$29</f>
        <v/>
      </c>
      <c r="O45" s="516">
        <f>N45-P45-Q45</f>
        <v/>
      </c>
      <c r="P45" s="500">
        <f>L45</f>
        <v/>
      </c>
      <c r="Q45" s="519">
        <f>M45</f>
        <v/>
      </c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$C$29</f>
        <v/>
      </c>
      <c r="O46" s="516">
        <f>N46-P46-Q46</f>
        <v/>
      </c>
      <c r="P46" s="500">
        <f>L46</f>
        <v/>
      </c>
      <c r="Q46" s="519">
        <f>M46</f>
        <v/>
      </c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$C$29</f>
        <v/>
      </c>
      <c r="O47" s="516">
        <f>N47-P47-Q47</f>
        <v/>
      </c>
      <c r="P47" s="500">
        <f>L47</f>
        <v/>
      </c>
      <c r="Q47" s="519">
        <f>M47</f>
        <v/>
      </c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$C$29</f>
        <v/>
      </c>
      <c r="O48" s="516">
        <f>N48-P48-Q48</f>
        <v/>
      </c>
      <c r="P48" s="500">
        <f>L48</f>
        <v/>
      </c>
      <c r="Q48" s="519">
        <f>M48</f>
        <v/>
      </c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$C$29</f>
        <v/>
      </c>
      <c r="O49" s="516">
        <f>N49-P49-Q49</f>
        <v/>
      </c>
      <c r="P49" s="500">
        <f>L49</f>
        <v/>
      </c>
      <c r="Q49" s="519">
        <f>M49</f>
        <v/>
      </c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$C$29</f>
        <v/>
      </c>
      <c r="O50" s="516">
        <f>N50-P50-Q50</f>
        <v/>
      </c>
      <c r="P50" s="500">
        <f>L50</f>
        <v/>
      </c>
      <c r="Q50" s="519">
        <f>M50</f>
        <v/>
      </c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$C$29</f>
        <v/>
      </c>
      <c r="O51" s="516">
        <f>N51-P51-Q51</f>
        <v/>
      </c>
      <c r="P51" s="500">
        <f>L51</f>
        <v/>
      </c>
      <c r="Q51" s="519">
        <f>M51</f>
        <v/>
      </c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$C$29</f>
        <v/>
      </c>
      <c r="O52" s="516">
        <f>N52-P52-Q52</f>
        <v/>
      </c>
      <c r="P52" s="500">
        <f>L52</f>
        <v/>
      </c>
      <c r="Q52" s="519">
        <f>M52</f>
        <v/>
      </c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$C$29</f>
        <v/>
      </c>
      <c r="O53" s="516">
        <f>N53-P53-Q53</f>
        <v/>
      </c>
      <c r="P53" s="500">
        <f>L53</f>
        <v/>
      </c>
      <c r="Q53" s="519">
        <f>M53</f>
        <v/>
      </c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$C$29</f>
        <v/>
      </c>
      <c r="O54" s="516">
        <f>N54-P54-Q54</f>
        <v/>
      </c>
      <c r="P54" s="500">
        <f>L54</f>
        <v/>
      </c>
      <c r="Q54" s="519">
        <f>M54</f>
        <v/>
      </c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$C$29</f>
        <v/>
      </c>
      <c r="O55" s="516">
        <f>N55-P55-Q55</f>
        <v/>
      </c>
      <c r="P55" s="500">
        <f>L55</f>
        <v/>
      </c>
      <c r="Q55" s="519">
        <f>M55</f>
        <v/>
      </c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$C$29</f>
        <v/>
      </c>
      <c r="O56" s="516">
        <f>N56-P56-Q56</f>
        <v/>
      </c>
      <c r="P56" s="500">
        <f>L56</f>
        <v/>
      </c>
      <c r="Q56" s="519">
        <f>M56</f>
        <v/>
      </c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$C$29</f>
        <v/>
      </c>
      <c r="O57" s="516">
        <f>N57-P57-Q57</f>
        <v/>
      </c>
      <c r="P57" s="500">
        <f>L57</f>
        <v/>
      </c>
      <c r="Q57" s="519">
        <f>M57</f>
        <v/>
      </c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$C$29</f>
        <v/>
      </c>
      <c r="O58" s="516">
        <f>N58-P58-Q58</f>
        <v/>
      </c>
      <c r="P58" s="500">
        <f>L58</f>
        <v/>
      </c>
      <c r="Q58" s="519">
        <f>M58</f>
        <v/>
      </c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$C$29</f>
        <v/>
      </c>
      <c r="O59" s="516">
        <f>N59-P59-Q59</f>
        <v/>
      </c>
      <c r="P59" s="500">
        <f>L59</f>
        <v/>
      </c>
      <c r="Q59" s="519">
        <f>M59</f>
        <v/>
      </c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$C$29</f>
        <v/>
      </c>
      <c r="O60" s="516">
        <f>N60-P60-Q60</f>
        <v/>
      </c>
      <c r="P60" s="500">
        <f>L60</f>
        <v/>
      </c>
      <c r="Q60" s="519">
        <f>M60</f>
        <v/>
      </c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$C$29</f>
        <v/>
      </c>
      <c r="O61" s="516">
        <f>N61-P61-Q61</f>
        <v/>
      </c>
      <c r="P61" s="500">
        <f>L61</f>
        <v/>
      </c>
      <c r="Q61" s="519">
        <f>M61</f>
        <v/>
      </c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$C$29</f>
        <v/>
      </c>
      <c r="O62" s="516">
        <f>N62-P62-Q62</f>
        <v/>
      </c>
      <c r="P62" s="500">
        <f>L62</f>
        <v/>
      </c>
      <c r="Q62" s="519">
        <f>M62</f>
        <v/>
      </c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$C$29</f>
        <v/>
      </c>
      <c r="O63" s="516">
        <f>N63-P63-Q63</f>
        <v/>
      </c>
      <c r="P63" s="500">
        <f>L63</f>
        <v/>
      </c>
      <c r="Q63" s="519">
        <f>M63</f>
        <v/>
      </c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$C$29</f>
        <v/>
      </c>
      <c r="O64" s="516">
        <f>N64-P64-Q64</f>
        <v/>
      </c>
      <c r="P64" s="500">
        <f>L64</f>
        <v/>
      </c>
      <c r="Q64" s="519">
        <f>M64</f>
        <v/>
      </c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$C$29</f>
        <v/>
      </c>
      <c r="O65" s="516">
        <f>N65-P65-Q65</f>
        <v/>
      </c>
      <c r="P65" s="500">
        <f>L65</f>
        <v/>
      </c>
      <c r="Q65" s="519">
        <f>M65</f>
        <v/>
      </c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$C$29</f>
        <v/>
      </c>
      <c r="O66" s="516">
        <f>N66-P66-Q66</f>
        <v/>
      </c>
      <c r="P66" s="500">
        <f>L66</f>
        <v/>
      </c>
      <c r="Q66" s="519">
        <f>M66</f>
        <v/>
      </c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$C$29</f>
        <v/>
      </c>
      <c r="O67" s="516">
        <f>N67-P67-Q67</f>
        <v/>
      </c>
      <c r="P67" s="500">
        <f>L67</f>
        <v/>
      </c>
      <c r="Q67" s="519">
        <f>M67</f>
        <v/>
      </c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$C$29</f>
        <v/>
      </c>
      <c r="O68" s="516">
        <f>N68-P68-Q68</f>
        <v/>
      </c>
      <c r="P68" s="500">
        <f>L68</f>
        <v/>
      </c>
      <c r="Q68" s="519">
        <f>M68</f>
        <v/>
      </c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$C$29</f>
        <v/>
      </c>
      <c r="O69" s="516">
        <f>N69-P69-Q69</f>
        <v/>
      </c>
      <c r="P69" s="500">
        <f>L69</f>
        <v/>
      </c>
      <c r="Q69" s="519">
        <f>M69</f>
        <v/>
      </c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$C$29</f>
        <v/>
      </c>
      <c r="O70" s="516">
        <f>N70-P70-Q70</f>
        <v/>
      </c>
      <c r="P70" s="500">
        <f>L70</f>
        <v/>
      </c>
      <c r="Q70" s="519">
        <f>M70</f>
        <v/>
      </c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$C$29</f>
        <v/>
      </c>
      <c r="O71" s="516">
        <f>N71-P71-Q71</f>
        <v/>
      </c>
      <c r="P71" s="500">
        <f>L71</f>
        <v/>
      </c>
      <c r="Q71" s="519">
        <f>M71</f>
        <v/>
      </c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$C$29</f>
        <v/>
      </c>
      <c r="O72" s="516">
        <f>N72-P72-Q72</f>
        <v/>
      </c>
      <c r="P72" s="500">
        <f>L72</f>
        <v/>
      </c>
      <c r="Q72" s="519">
        <f>M72</f>
        <v/>
      </c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$C$29</f>
        <v/>
      </c>
      <c r="O73" s="516">
        <f>N73-P73-Q73</f>
        <v/>
      </c>
      <c r="P73" s="500">
        <f>L73</f>
        <v/>
      </c>
      <c r="Q73" s="519">
        <f>M73</f>
        <v/>
      </c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$C$29</f>
        <v/>
      </c>
      <c r="O74" s="516">
        <f>N74-P74-Q74</f>
        <v/>
      </c>
      <c r="P74" s="500">
        <f>L74</f>
        <v/>
      </c>
      <c r="Q74" s="519">
        <f>M74</f>
        <v/>
      </c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$C$29</f>
        <v/>
      </c>
      <c r="O75" s="516">
        <f>N75-P75-Q75</f>
        <v/>
      </c>
      <c r="P75" s="500">
        <f>L75</f>
        <v/>
      </c>
      <c r="Q75" s="519">
        <f>M75</f>
        <v/>
      </c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$C$29</f>
        <v/>
      </c>
      <c r="O76" s="516">
        <f>N76-P76-Q76</f>
        <v/>
      </c>
      <c r="P76" s="500">
        <f>L76</f>
        <v/>
      </c>
      <c r="Q76" s="519">
        <f>M76</f>
        <v/>
      </c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81">
        <f>$C$29-N5</f>
        <v/>
      </c>
      <c r="O77" s="588">
        <f>N77-P77-Q77</f>
        <v/>
      </c>
      <c r="P77" s="589">
        <f>L77</f>
        <v/>
      </c>
      <c r="Q77" s="642">
        <f>M77</f>
        <v/>
      </c>
    </row>
    <row r="78">
      <c r="O78" s="500" t="n"/>
    </row>
  </sheetData>
  <mergeCells count="1">
    <mergeCell ref="A18:A2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D79"/>
  <sheetViews>
    <sheetView showGridLines="0" zoomScale="70" zoomScaleNormal="70" workbookViewId="0">
      <selection activeCell="V39" sqref="V39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hidden="1" width="13.375" customWidth="1" style="224" min="10" max="11"/>
    <col hidden="1" width="12.125" customWidth="1" style="224" min="12" max="12"/>
    <col hidden="1" width="10.5" customWidth="1" style="224" min="13" max="14"/>
    <col hidden="1" width="12.125" customWidth="1" style="224" min="15" max="15"/>
    <col width="20" bestFit="1" customWidth="1" style="497" min="16" max="16"/>
    <col width="13.375" bestFit="1" customWidth="1" style="497" min="17" max="17"/>
    <col width="12.125" bestFit="1" customWidth="1" style="497" min="18" max="18"/>
    <col width="10.5" bestFit="1" customWidth="1" style="497" min="19" max="19"/>
    <col width="10.5" customWidth="1" style="497" min="20" max="20"/>
    <col width="12.125" bestFit="1" customWidth="1" style="497" min="21" max="21"/>
    <col width="20" bestFit="1" customWidth="1" style="497" min="22" max="22"/>
    <col width="12.125" customWidth="1" style="497" min="23" max="24"/>
    <col width="10.5" customWidth="1" style="497" min="25" max="26"/>
    <col width="13.125" customWidth="1" style="497" min="27" max="27"/>
    <col width="25.625" bestFit="1" customWidth="1" style="497" min="29" max="29"/>
    <col width="12.125" bestFit="1" customWidth="1" style="497" min="30" max="30"/>
  </cols>
  <sheetData>
    <row r="1">
      <c r="I1" s="552" t="n"/>
      <c r="J1" s="244" t="n"/>
      <c r="K1" s="245" t="n"/>
      <c r="L1" s="245" t="n"/>
      <c r="M1" s="245" t="n"/>
      <c r="N1" s="245" t="n"/>
      <c r="O1" s="553" t="n"/>
      <c r="P1" s="505">
        <f>P2=C20/1.1</f>
        <v/>
      </c>
      <c r="Q1" s="505" t="n"/>
      <c r="R1" s="505" t="n"/>
      <c r="S1" s="505" t="n"/>
      <c r="T1" s="500" t="n"/>
      <c r="U1" s="505" t="n"/>
      <c r="V1" s="206">
        <f>V2=C44/1.1</f>
        <v/>
      </c>
    </row>
    <row r="2">
      <c r="I2" s="8" t="inlineStr">
        <is>
          <t>SUM =</t>
        </is>
      </c>
      <c r="J2" s="554">
        <f>SUM(J6:J78)</f>
        <v/>
      </c>
      <c r="K2" s="554">
        <f>SUM(K6:K78)</f>
        <v/>
      </c>
      <c r="L2" s="554">
        <f>SUM(L6:L78)</f>
        <v/>
      </c>
      <c r="M2" s="554">
        <f>SUM(M6:M78)</f>
        <v/>
      </c>
      <c r="N2" s="554">
        <f>SUM(N6:N78)</f>
        <v/>
      </c>
      <c r="O2" s="554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V2" s="500">
        <f>SUM(V6:V78)</f>
        <v/>
      </c>
      <c r="W2" s="500">
        <f>SUM(W6:W78)</f>
        <v/>
      </c>
      <c r="X2" s="500">
        <f>SUM(X6:X78)</f>
        <v/>
      </c>
      <c r="Y2" s="500">
        <f>SUM(Y6:Y78)</f>
        <v/>
      </c>
      <c r="Z2" s="500">
        <f>SUM(Z6:Z78)</f>
        <v/>
      </c>
      <c r="AA2" s="500">
        <f>SUM(AA6:AA78)</f>
        <v/>
      </c>
    </row>
    <row r="3">
      <c r="I3" s="8" t="n"/>
      <c r="J3" s="555" t="inlineStr">
        <is>
          <t>기본 (v-)</t>
        </is>
      </c>
      <c r="K3" s="556" t="n"/>
      <c r="L3" s="556" t="n"/>
      <c r="M3" s="557" t="n"/>
      <c r="N3" s="556" t="n"/>
      <c r="O3" s="556" t="n"/>
      <c r="P3" s="501" t="inlineStr">
        <is>
          <t>기본 (v-)</t>
        </is>
      </c>
      <c r="Q3" s="502" t="n"/>
      <c r="R3" s="502" t="n"/>
      <c r="S3" s="503" t="n"/>
      <c r="T3" s="502" t="n"/>
      <c r="U3" s="558" t="inlineStr">
        <is>
          <t>부가세포함</t>
        </is>
      </c>
      <c r="V3" s="75" t="inlineStr">
        <is>
          <t>선납+선납할인 시 (v-)</t>
        </is>
      </c>
      <c r="W3" s="76" t="n"/>
      <c r="X3" s="76" t="n"/>
      <c r="Y3" s="76" t="n"/>
      <c r="Z3" s="137" t="n"/>
      <c r="AA3" s="558" t="inlineStr">
        <is>
          <t>부가세포함</t>
        </is>
      </c>
    </row>
    <row r="4">
      <c r="I4" s="8" t="n"/>
      <c r="J4" s="555" t="n"/>
      <c r="K4" s="556" t="n"/>
      <c r="L4" s="556" t="n"/>
      <c r="M4" s="556" t="n"/>
      <c r="N4" s="556" t="n"/>
      <c r="O4" s="556" t="n"/>
      <c r="P4" s="261" t="inlineStr">
        <is>
          <t>파손제외 구독료청구</t>
        </is>
      </c>
      <c r="Q4" s="560" t="n"/>
      <c r="R4" s="560" t="n"/>
      <c r="S4" s="561" t="n"/>
      <c r="T4" s="264" t="inlineStr">
        <is>
          <t>파손</t>
        </is>
      </c>
      <c r="U4" s="264" t="inlineStr">
        <is>
          <t>월청구(v+)</t>
        </is>
      </c>
      <c r="V4" s="261" t="inlineStr">
        <is>
          <t>파손제외 구독료청구</t>
        </is>
      </c>
      <c r="W4" s="560" t="n"/>
      <c r="X4" s="560" t="n"/>
      <c r="Y4" s="561" t="n"/>
      <c r="Z4" s="264" t="inlineStr">
        <is>
          <t>파손</t>
        </is>
      </c>
      <c r="AA4" s="264" t="inlineStr">
        <is>
          <t>월청구(v+)</t>
        </is>
      </c>
      <c r="AC4" s="9" t="inlineStr">
        <is>
          <t>고객노출 기본 구독료 (v+)</t>
        </is>
      </c>
      <c r="AD4" s="506">
        <f>C19</f>
        <v/>
      </c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29" t="inlineStr">
        <is>
          <t>구독료청구</t>
        </is>
      </c>
      <c r="K5" s="230" t="inlineStr">
        <is>
          <t>제품</t>
        </is>
      </c>
      <c r="L5" s="231" t="inlineStr">
        <is>
          <t>케어</t>
        </is>
      </c>
      <c r="M5" s="231" t="inlineStr">
        <is>
          <t>보증</t>
        </is>
      </c>
      <c r="N5" s="232" t="inlineStr">
        <is>
          <t>파손</t>
        </is>
      </c>
      <c r="O5" s="232" t="inlineStr">
        <is>
          <t>월청구(v+)</t>
        </is>
      </c>
      <c r="P5" s="265" t="n"/>
      <c r="Q5" s="26" t="inlineStr">
        <is>
          <t>제품</t>
        </is>
      </c>
      <c r="R5" s="15" t="inlineStr">
        <is>
          <t>케어</t>
        </is>
      </c>
      <c r="S5" s="15" t="inlineStr">
        <is>
          <t>보증</t>
        </is>
      </c>
      <c r="T5" s="265" t="n"/>
      <c r="U5" s="265" t="n"/>
      <c r="V5" s="265" t="n"/>
      <c r="W5" s="26" t="inlineStr">
        <is>
          <t>제품</t>
        </is>
      </c>
      <c r="X5" s="15" t="inlineStr">
        <is>
          <t>케어</t>
        </is>
      </c>
      <c r="Y5" s="15" t="inlineStr">
        <is>
          <t>보증</t>
        </is>
      </c>
      <c r="Z5" s="265" t="n"/>
      <c r="AA5" s="265" t="n"/>
      <c r="AC5" s="9" t="inlineStr">
        <is>
          <t>선납금 월할(v+)</t>
        </is>
      </c>
      <c r="AD5" s="506">
        <f>C26*1.1/C8</f>
        <v/>
      </c>
    </row>
    <row r="6">
      <c r="B6" s="9" t="inlineStr">
        <is>
          <t>모델코드</t>
        </is>
      </c>
      <c r="C6" s="6" t="inlineStr">
        <is>
          <t>SM-X920NZAAKOO</t>
        </is>
      </c>
      <c r="F6" s="28" t="inlineStr">
        <is>
          <t>1회차</t>
        </is>
      </c>
      <c r="G6" s="29" t="n">
        <v>45912</v>
      </c>
      <c r="H6" s="29" t="n">
        <v>45930</v>
      </c>
      <c r="I6" s="30">
        <f>EOMONTH(G6,0)+15</f>
        <v/>
      </c>
      <c r="J6" s="562">
        <f>ROUNDDOWN(($C$16/$C$8)*(H6-G6+1)/DAY(H6),-2)</f>
        <v/>
      </c>
      <c r="K6" s="563">
        <f>J6-L6-M6-N6</f>
        <v/>
      </c>
      <c r="L6" s="564">
        <f>ROUNDDOWN(($C$12/$C$8)*(H6-G6+1)/DAY(H6),-2)</f>
        <v/>
      </c>
      <c r="M6" s="564">
        <f>ROUNDDOWN(($C$13/$C$8)*(H6-G6+1)/DAY(H6),-2)</f>
        <v/>
      </c>
      <c r="N6" s="565">
        <f>ROUNDDOWN(($C$14/$C$8)*(H6-G6+1)/DAY(H6),-2)</f>
        <v/>
      </c>
      <c r="O6" s="566">
        <f>SUM(K6:M6)*1.1+N6</f>
        <v/>
      </c>
      <c r="P6" s="508">
        <f>ROUNDDOWN((($C$20/1.1)/$C$8)*(H6-G6+1)/DAY(H6),-2)</f>
        <v/>
      </c>
      <c r="Q6" s="567">
        <f>P6-R6-S6</f>
        <v/>
      </c>
      <c r="R6" s="568">
        <f>ROUNDDOWN(($C$12/$C$8)*(H6-G6+1)/DAY(H6),-2)</f>
        <v/>
      </c>
      <c r="S6" s="568">
        <f>ROUNDDOWN(($C$13/$C$8)*(H6-G6+1)/DAY(H6),-2)</f>
        <v/>
      </c>
      <c r="T6" s="569">
        <f>ROUNDDOWN(($C$14/$C$8)*(H6-G6+1)/DAY(H6),-2)</f>
        <v/>
      </c>
      <c r="U6" s="511">
        <f>P6*1.1+T6</f>
        <v/>
      </c>
      <c r="V6" s="508">
        <f>ROUNDDOWN(((C44/1.1)/$C$8)*(H6-G6+1)/DAY(H6),-2)</f>
        <v/>
      </c>
      <c r="W6" s="567">
        <f>V6-X6-Y6</f>
        <v/>
      </c>
      <c r="X6" s="568">
        <f>L6</f>
        <v/>
      </c>
      <c r="Y6" s="568">
        <f>M6</f>
        <v/>
      </c>
      <c r="Z6" s="570">
        <f>T6</f>
        <v/>
      </c>
      <c r="AA6" s="511">
        <f>V6*1.1+Z6</f>
        <v/>
      </c>
      <c r="AC6" s="9" t="inlineStr">
        <is>
          <t>선납할인금 월할 (v+)</t>
        </is>
      </c>
      <c r="AD6" s="506">
        <f>C35*1.1/C8</f>
        <v/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62">
        <f>$C$17</f>
        <v/>
      </c>
      <c r="K7" s="571">
        <f>J7-L7-M7-N7</f>
        <v/>
      </c>
      <c r="L7" s="572">
        <f>$C$12/$C$8</f>
        <v/>
      </c>
      <c r="M7" s="572">
        <f>$C$13/$C$8</f>
        <v/>
      </c>
      <c r="N7" s="566">
        <f>$C$14/$C$8</f>
        <v/>
      </c>
      <c r="O7" s="566">
        <f>SUM(K7:M7)*1.1+N7</f>
        <v/>
      </c>
      <c r="P7" s="515">
        <f>($C$20/1.1)/$C$8</f>
        <v/>
      </c>
      <c r="Q7" s="516">
        <f>P7-R7-S7</f>
        <v/>
      </c>
      <c r="R7" s="517">
        <f>$C$12/$C$8</f>
        <v/>
      </c>
      <c r="S7" s="517">
        <f>$C$13/$C$8</f>
        <v/>
      </c>
      <c r="T7" s="515">
        <f>$C$14/$C$8</f>
        <v/>
      </c>
      <c r="U7" s="518">
        <f>P7*1.1+T7</f>
        <v/>
      </c>
      <c r="V7" s="515">
        <f>($C$44/1.1)/$C$8</f>
        <v/>
      </c>
      <c r="W7" s="516">
        <f>V7-X7-Y7</f>
        <v/>
      </c>
      <c r="X7" s="517">
        <f>L7</f>
        <v/>
      </c>
      <c r="Y7" s="517">
        <f>M7</f>
        <v/>
      </c>
      <c r="Z7" s="573">
        <f>T7</f>
        <v/>
      </c>
      <c r="AA7" s="518">
        <f>V7*1.1+Z7</f>
        <v/>
      </c>
      <c r="AC7" s="9" t="inlineStr">
        <is>
          <t>선납시 최종 납부금 (v+)</t>
        </is>
      </c>
      <c r="AD7" s="527">
        <f>AD4-AD5-AD6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62">
        <f>$C$17</f>
        <v/>
      </c>
      <c r="K8" s="571">
        <f>$C$15/$C$8</f>
        <v/>
      </c>
      <c r="L8" s="572">
        <f>$C$12/$C$8</f>
        <v/>
      </c>
      <c r="M8" s="572">
        <f>$C$13/$C$8</f>
        <v/>
      </c>
      <c r="N8" s="566">
        <f>$C$14/$C$8</f>
        <v/>
      </c>
      <c r="O8" s="566">
        <f>SUM(K8:M8)*1.1+N8</f>
        <v/>
      </c>
      <c r="P8" s="515">
        <f>($C$20/1.1)/$C$8</f>
        <v/>
      </c>
      <c r="Q8" s="516">
        <f>P8-R8-S8</f>
        <v/>
      </c>
      <c r="R8" s="517">
        <f>$C$12/$C$8</f>
        <v/>
      </c>
      <c r="S8" s="517">
        <f>$C$13/$C$8</f>
        <v/>
      </c>
      <c r="T8" s="515">
        <f>$C$14/$C$8</f>
        <v/>
      </c>
      <c r="U8" s="518">
        <f>P8*1.1+T8</f>
        <v/>
      </c>
      <c r="V8" s="515">
        <f>($C$44/1.1)/$C$8</f>
        <v/>
      </c>
      <c r="W8" s="516">
        <f>V8-X8-Y8</f>
        <v/>
      </c>
      <c r="X8" s="517">
        <f>L8</f>
        <v/>
      </c>
      <c r="Y8" s="517">
        <f>M8</f>
        <v/>
      </c>
      <c r="Z8" s="573">
        <f>T8</f>
        <v/>
      </c>
      <c r="AA8" s="518">
        <f>V8*1.1+Z8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62">
        <f>$C$17</f>
        <v/>
      </c>
      <c r="K9" s="571">
        <f>$C$15/$C$8</f>
        <v/>
      </c>
      <c r="L9" s="572">
        <f>$C$12/$C$8</f>
        <v/>
      </c>
      <c r="M9" s="572">
        <f>$C$13/$C$8</f>
        <v/>
      </c>
      <c r="N9" s="566">
        <f>$C$14/$C$8</f>
        <v/>
      </c>
      <c r="O9" s="566">
        <f>SUM(K9:M9)*1.1+N9</f>
        <v/>
      </c>
      <c r="P9" s="515">
        <f>($C$20/1.1)/$C$8</f>
        <v/>
      </c>
      <c r="Q9" s="516">
        <f>P9-R9-S9</f>
        <v/>
      </c>
      <c r="R9" s="517">
        <f>$C$12/$C$8</f>
        <v/>
      </c>
      <c r="S9" s="517">
        <f>$C$13/$C$8</f>
        <v/>
      </c>
      <c r="T9" s="515">
        <f>$C$14/$C$8</f>
        <v/>
      </c>
      <c r="U9" s="518">
        <f>P9*1.1+T9</f>
        <v/>
      </c>
      <c r="V9" s="515">
        <f>($C$44/1.1)/$C$8</f>
        <v/>
      </c>
      <c r="W9" s="516">
        <f>V9-X9-Y9</f>
        <v/>
      </c>
      <c r="X9" s="517">
        <f>L9</f>
        <v/>
      </c>
      <c r="Y9" s="517">
        <f>M9</f>
        <v/>
      </c>
      <c r="Z9" s="573">
        <f>T9</f>
        <v/>
      </c>
      <c r="AA9" s="518">
        <f>V9*1.1+Z9</f>
        <v/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62">
        <f>$C$17</f>
        <v/>
      </c>
      <c r="K10" s="571">
        <f>$C$15/$C$8</f>
        <v/>
      </c>
      <c r="L10" s="572">
        <f>$C$12/$C$8</f>
        <v/>
      </c>
      <c r="M10" s="572">
        <f>$C$13/$C$8</f>
        <v/>
      </c>
      <c r="N10" s="566">
        <f>$C$14/$C$8</f>
        <v/>
      </c>
      <c r="O10" s="566">
        <f>SUM(K10:M10)*1.1+N10</f>
        <v/>
      </c>
      <c r="P10" s="515">
        <f>($C$20/1.1)/$C$8</f>
        <v/>
      </c>
      <c r="Q10" s="516">
        <f>P10-R10-S10</f>
        <v/>
      </c>
      <c r="R10" s="517">
        <f>$C$12/$C$8</f>
        <v/>
      </c>
      <c r="S10" s="517">
        <f>$C$13/$C$8</f>
        <v/>
      </c>
      <c r="T10" s="515">
        <f>$C$14/$C$8</f>
        <v/>
      </c>
      <c r="U10" s="518">
        <f>P10*1.1+T10</f>
        <v/>
      </c>
      <c r="V10" s="515">
        <f>($C$44/1.1)/$C$8</f>
        <v/>
      </c>
      <c r="W10" s="516">
        <f>V10-X10-Y10</f>
        <v/>
      </c>
      <c r="X10" s="517">
        <f>L10</f>
        <v/>
      </c>
      <c r="Y10" s="517">
        <f>M10</f>
        <v/>
      </c>
      <c r="Z10" s="573">
        <f>T10</f>
        <v/>
      </c>
      <c r="AA10" s="518">
        <f>V10*1.1+Z10</f>
        <v/>
      </c>
      <c r="AC10" s="505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62">
        <f>$C$17</f>
        <v/>
      </c>
      <c r="K11" s="571">
        <f>$C$15/$C$8</f>
        <v/>
      </c>
      <c r="L11" s="572">
        <f>$C$12/$C$8</f>
        <v/>
      </c>
      <c r="M11" s="572">
        <f>$C$13/$C$8</f>
        <v/>
      </c>
      <c r="N11" s="566">
        <f>$C$14/$C$8</f>
        <v/>
      </c>
      <c r="O11" s="566">
        <f>SUM(K11:M11)*1.1+N11</f>
        <v/>
      </c>
      <c r="P11" s="515">
        <f>($C$20/1.1)/$C$8</f>
        <v/>
      </c>
      <c r="Q11" s="516">
        <f>P11-R11-S11</f>
        <v/>
      </c>
      <c r="R11" s="517">
        <f>$C$12/$C$8</f>
        <v/>
      </c>
      <c r="S11" s="517">
        <f>$C$13/$C$8</f>
        <v/>
      </c>
      <c r="T11" s="515">
        <f>$C$14/$C$8</f>
        <v/>
      </c>
      <c r="U11" s="518">
        <f>P11*1.1+T11</f>
        <v/>
      </c>
      <c r="V11" s="515">
        <f>($C$44/1.1)/$C$8</f>
        <v/>
      </c>
      <c r="W11" s="516">
        <f>V11-X11-Y11</f>
        <v/>
      </c>
      <c r="X11" s="517">
        <f>L11</f>
        <v/>
      </c>
      <c r="Y11" s="517">
        <f>M11</f>
        <v/>
      </c>
      <c r="Z11" s="573">
        <f>T11</f>
        <v/>
      </c>
      <c r="AA11" s="518">
        <f>V11*1.1+Z11</f>
        <v/>
      </c>
      <c r="AC11" s="500" t="n"/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62">
        <f>$C$17</f>
        <v/>
      </c>
      <c r="K12" s="571">
        <f>$C$15/$C$8</f>
        <v/>
      </c>
      <c r="L12" s="572">
        <f>$C$12/$C$8</f>
        <v/>
      </c>
      <c r="M12" s="572">
        <f>$C$13/$C$8</f>
        <v/>
      </c>
      <c r="N12" s="566">
        <f>$C$14/$C$8</f>
        <v/>
      </c>
      <c r="O12" s="566">
        <f>SUM(K12:M12)*1.1+N12</f>
        <v/>
      </c>
      <c r="P12" s="515">
        <f>($C$20/1.1)/$C$8</f>
        <v/>
      </c>
      <c r="Q12" s="516">
        <f>P12-R12-S12</f>
        <v/>
      </c>
      <c r="R12" s="517">
        <f>$C$12/$C$8</f>
        <v/>
      </c>
      <c r="S12" s="517">
        <f>$C$13/$C$8</f>
        <v/>
      </c>
      <c r="T12" s="515">
        <f>$C$14/$C$8</f>
        <v/>
      </c>
      <c r="U12" s="518">
        <f>P12*1.1+T12</f>
        <v/>
      </c>
      <c r="V12" s="515">
        <f>($C$44/1.1)/$C$8</f>
        <v/>
      </c>
      <c r="W12" s="516">
        <f>V12-X12-Y12</f>
        <v/>
      </c>
      <c r="X12" s="517">
        <f>L12</f>
        <v/>
      </c>
      <c r="Y12" s="517">
        <f>M12</f>
        <v/>
      </c>
      <c r="Z12" s="573">
        <f>T12</f>
        <v/>
      </c>
      <c r="AA12" s="518">
        <f>V12*1.1+Z12</f>
        <v/>
      </c>
      <c r="AC12" s="500" t="n"/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62">
        <f>$C$17</f>
        <v/>
      </c>
      <c r="K13" s="571">
        <f>$C$15/$C$8</f>
        <v/>
      </c>
      <c r="L13" s="572">
        <f>$C$12/$C$8</f>
        <v/>
      </c>
      <c r="M13" s="572">
        <f>$C$13/$C$8</f>
        <v/>
      </c>
      <c r="N13" s="566">
        <f>$C$14/$C$8</f>
        <v/>
      </c>
      <c r="O13" s="566">
        <f>SUM(K13:M13)*1.1+N13</f>
        <v/>
      </c>
      <c r="P13" s="515">
        <f>($C$20/1.1)/$C$8</f>
        <v/>
      </c>
      <c r="Q13" s="516">
        <f>P13-R13-S13</f>
        <v/>
      </c>
      <c r="R13" s="517">
        <f>$C$12/$C$8</f>
        <v/>
      </c>
      <c r="S13" s="517">
        <f>$C$13/$C$8</f>
        <v/>
      </c>
      <c r="T13" s="515">
        <f>$C$14/$C$8</f>
        <v/>
      </c>
      <c r="U13" s="518">
        <f>P13*1.1+T13</f>
        <v/>
      </c>
      <c r="V13" s="515">
        <f>($C$44/1.1)/$C$8</f>
        <v/>
      </c>
      <c r="W13" s="516">
        <f>V13-X13-Y13</f>
        <v/>
      </c>
      <c r="X13" s="517">
        <f>L13</f>
        <v/>
      </c>
      <c r="Y13" s="517">
        <f>M13</f>
        <v/>
      </c>
      <c r="Z13" s="573">
        <f>T13</f>
        <v/>
      </c>
      <c r="AA13" s="518">
        <f>V13*1.1+Z13</f>
        <v/>
      </c>
      <c r="AC13" s="500" t="n"/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62">
        <f>$C$17</f>
        <v/>
      </c>
      <c r="K14" s="571">
        <f>$C$15/$C$8</f>
        <v/>
      </c>
      <c r="L14" s="572">
        <f>$C$12/$C$8</f>
        <v/>
      </c>
      <c r="M14" s="572">
        <f>$C$13/$C$8</f>
        <v/>
      </c>
      <c r="N14" s="566">
        <f>$C$14/$C$8</f>
        <v/>
      </c>
      <c r="O14" s="566">
        <f>SUM(K14:M14)*1.1+N14</f>
        <v/>
      </c>
      <c r="P14" s="515">
        <f>($C$20/1.1)/$C$8</f>
        <v/>
      </c>
      <c r="Q14" s="516">
        <f>P14-R14-S14</f>
        <v/>
      </c>
      <c r="R14" s="517">
        <f>$C$12/$C$8</f>
        <v/>
      </c>
      <c r="S14" s="517">
        <f>$C$13/$C$8</f>
        <v/>
      </c>
      <c r="T14" s="515">
        <f>$C$14/$C$8</f>
        <v/>
      </c>
      <c r="U14" s="518">
        <f>P14*1.1+T14</f>
        <v/>
      </c>
      <c r="V14" s="515">
        <f>($C$44/1.1)/$C$8</f>
        <v/>
      </c>
      <c r="W14" s="516">
        <f>V14-X14-Y14</f>
        <v/>
      </c>
      <c r="X14" s="517">
        <f>L14</f>
        <v/>
      </c>
      <c r="Y14" s="517">
        <f>M14</f>
        <v/>
      </c>
      <c r="Z14" s="573">
        <f>T14</f>
        <v/>
      </c>
      <c r="AA14" s="518">
        <f>V14*1.1+Z14</f>
        <v/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62">
        <f>$C$17</f>
        <v/>
      </c>
      <c r="K15" s="571">
        <f>$C$15/$C$8</f>
        <v/>
      </c>
      <c r="L15" s="572">
        <f>$C$12/$C$8</f>
        <v/>
      </c>
      <c r="M15" s="572">
        <f>$C$13/$C$8</f>
        <v/>
      </c>
      <c r="N15" s="566">
        <f>$C$14/$C$8</f>
        <v/>
      </c>
      <c r="O15" s="566">
        <f>SUM(K15:M15)*1.1+N15</f>
        <v/>
      </c>
      <c r="P15" s="515">
        <f>($C$20/1.1)/$C$8</f>
        <v/>
      </c>
      <c r="Q15" s="516">
        <f>P15-R15-S15</f>
        <v/>
      </c>
      <c r="R15" s="517">
        <f>$C$12/$C$8</f>
        <v/>
      </c>
      <c r="S15" s="517">
        <f>$C$13/$C$8</f>
        <v/>
      </c>
      <c r="T15" s="515">
        <f>$C$14/$C$8</f>
        <v/>
      </c>
      <c r="U15" s="518">
        <f>P15*1.1+T15</f>
        <v/>
      </c>
      <c r="V15" s="515">
        <f>($C$44/1.1)/$C$8</f>
        <v/>
      </c>
      <c r="W15" s="516">
        <f>V15-X15-Y15</f>
        <v/>
      </c>
      <c r="X15" s="517">
        <f>L15</f>
        <v/>
      </c>
      <c r="Y15" s="517">
        <f>M15</f>
        <v/>
      </c>
      <c r="Z15" s="573">
        <f>T15</f>
        <v/>
      </c>
      <c r="AA15" s="518">
        <f>V15*1.1+Z15</f>
        <v/>
      </c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62">
        <f>$C$17</f>
        <v/>
      </c>
      <c r="K16" s="571">
        <f>$C$15/$C$8</f>
        <v/>
      </c>
      <c r="L16" s="572">
        <f>$C$12/$C$8</f>
        <v/>
      </c>
      <c r="M16" s="572">
        <f>$C$13/$C$8</f>
        <v/>
      </c>
      <c r="N16" s="566">
        <f>$C$14/$C$8</f>
        <v/>
      </c>
      <c r="O16" s="566">
        <f>SUM(K16:M16)*1.1+N16</f>
        <v/>
      </c>
      <c r="P16" s="515">
        <f>($C$20/1.1)/$C$8</f>
        <v/>
      </c>
      <c r="Q16" s="516">
        <f>P16-R16-S16</f>
        <v/>
      </c>
      <c r="R16" s="517">
        <f>$C$12/$C$8</f>
        <v/>
      </c>
      <c r="S16" s="517">
        <f>$C$13/$C$8</f>
        <v/>
      </c>
      <c r="T16" s="515">
        <f>$C$14/$C$8</f>
        <v/>
      </c>
      <c r="U16" s="518">
        <f>P16*1.1+T16</f>
        <v/>
      </c>
      <c r="V16" s="515">
        <f>($C$44/1.1)/$C$8</f>
        <v/>
      </c>
      <c r="W16" s="516">
        <f>V16-X16-Y16</f>
        <v/>
      </c>
      <c r="X16" s="517">
        <f>L16</f>
        <v/>
      </c>
      <c r="Y16" s="517">
        <f>M16</f>
        <v/>
      </c>
      <c r="Z16" s="573">
        <f>T16</f>
        <v/>
      </c>
      <c r="AA16" s="518">
        <f>V16*1.1+Z16</f>
        <v/>
      </c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62">
        <f>$C$17</f>
        <v/>
      </c>
      <c r="K17" s="571">
        <f>$C$15/$C$8</f>
        <v/>
      </c>
      <c r="L17" s="572">
        <f>$C$12/$C$8</f>
        <v/>
      </c>
      <c r="M17" s="572">
        <f>$C$13/$C$8</f>
        <v/>
      </c>
      <c r="N17" s="566">
        <f>$C$14/$C$8</f>
        <v/>
      </c>
      <c r="O17" s="566">
        <f>SUM(K17:M17)*1.1+N17</f>
        <v/>
      </c>
      <c r="P17" s="515">
        <f>($C$20/1.1)/$C$8</f>
        <v/>
      </c>
      <c r="Q17" s="516">
        <f>P17-R17-S17</f>
        <v/>
      </c>
      <c r="R17" s="517">
        <f>$C$12/$C$8</f>
        <v/>
      </c>
      <c r="S17" s="517">
        <f>$C$13/$C$8</f>
        <v/>
      </c>
      <c r="T17" s="515">
        <f>$C$14/$C$8</f>
        <v/>
      </c>
      <c r="U17" s="518">
        <f>P17*1.1+T17</f>
        <v/>
      </c>
      <c r="V17" s="515">
        <f>($C$44/1.1)/$C$8</f>
        <v/>
      </c>
      <c r="W17" s="516">
        <f>V17-X17-Y17</f>
        <v/>
      </c>
      <c r="X17" s="517">
        <f>L17</f>
        <v/>
      </c>
      <c r="Y17" s="517">
        <f>M17</f>
        <v/>
      </c>
      <c r="Z17" s="573">
        <f>T17</f>
        <v/>
      </c>
      <c r="AA17" s="518">
        <f>V17*1.1+Z17</f>
        <v/>
      </c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62">
        <f>$C$17</f>
        <v/>
      </c>
      <c r="K18" s="571">
        <f>$C$15/$C$8</f>
        <v/>
      </c>
      <c r="L18" s="572">
        <f>$C$12/$C$8</f>
        <v/>
      </c>
      <c r="M18" s="572">
        <f>$C$13/$C$8</f>
        <v/>
      </c>
      <c r="N18" s="566">
        <f>$C$14/$C$8</f>
        <v/>
      </c>
      <c r="O18" s="566">
        <f>SUM(K18:M18)*1.1+N18</f>
        <v/>
      </c>
      <c r="P18" s="515">
        <f>($C$20/1.1)/$C$8</f>
        <v/>
      </c>
      <c r="Q18" s="516">
        <f>P18-R18-S18</f>
        <v/>
      </c>
      <c r="R18" s="517">
        <f>$C$12/$C$8</f>
        <v/>
      </c>
      <c r="S18" s="517">
        <f>$C$13/$C$8</f>
        <v/>
      </c>
      <c r="T18" s="515">
        <f>$C$14/$C$8</f>
        <v/>
      </c>
      <c r="U18" s="518">
        <f>P18*1.1+T18</f>
        <v/>
      </c>
      <c r="V18" s="515">
        <f>($C$44/1.1)/$C$8</f>
        <v/>
      </c>
      <c r="W18" s="516">
        <f>V18-X18-Y18</f>
        <v/>
      </c>
      <c r="X18" s="517">
        <f>L18</f>
        <v/>
      </c>
      <c r="Y18" s="517">
        <f>M18</f>
        <v/>
      </c>
      <c r="Z18" s="573">
        <f>T18</f>
        <v/>
      </c>
      <c r="AA18" s="518">
        <f>V18*1.1+Z18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62">
        <f>$C$17</f>
        <v/>
      </c>
      <c r="K19" s="571">
        <f>$C$15/$C$8</f>
        <v/>
      </c>
      <c r="L19" s="572">
        <f>$C$12/$C$8</f>
        <v/>
      </c>
      <c r="M19" s="572">
        <f>$C$13/$C$8</f>
        <v/>
      </c>
      <c r="N19" s="566">
        <f>$C$14/$C$8</f>
        <v/>
      </c>
      <c r="O19" s="566">
        <f>SUM(K19:M19)*1.1+N19</f>
        <v/>
      </c>
      <c r="P19" s="515">
        <f>($C$20/1.1)/$C$8</f>
        <v/>
      </c>
      <c r="Q19" s="516">
        <f>P19-R19-S19</f>
        <v/>
      </c>
      <c r="R19" s="517">
        <f>$C$12/$C$8</f>
        <v/>
      </c>
      <c r="S19" s="517">
        <f>$C$13/$C$8</f>
        <v/>
      </c>
      <c r="T19" s="515">
        <f>$C$14/$C$8</f>
        <v/>
      </c>
      <c r="U19" s="518">
        <f>P19*1.1+T19</f>
        <v/>
      </c>
      <c r="V19" s="515">
        <f>($C$44/1.1)/$C$8</f>
        <v/>
      </c>
      <c r="W19" s="516">
        <f>V19-X19-Y19</f>
        <v/>
      </c>
      <c r="X19" s="517">
        <f>L19</f>
        <v/>
      </c>
      <c r="Y19" s="517">
        <f>M19</f>
        <v/>
      </c>
      <c r="Z19" s="573">
        <f>T19</f>
        <v/>
      </c>
      <c r="AA19" s="518">
        <f>V19*1.1+Z19</f>
        <v/>
      </c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62">
        <f>$C$17</f>
        <v/>
      </c>
      <c r="K20" s="571">
        <f>$C$15/$C$8</f>
        <v/>
      </c>
      <c r="L20" s="572">
        <f>$C$12/$C$8</f>
        <v/>
      </c>
      <c r="M20" s="572">
        <f>$C$13/$C$8</f>
        <v/>
      </c>
      <c r="N20" s="566">
        <f>$C$14/$C$8</f>
        <v/>
      </c>
      <c r="O20" s="566">
        <f>SUM(K20:M20)*1.1+N20</f>
        <v/>
      </c>
      <c r="P20" s="515">
        <f>($C$20/1.1)/$C$8</f>
        <v/>
      </c>
      <c r="Q20" s="516">
        <f>P20-R20-S20</f>
        <v/>
      </c>
      <c r="R20" s="517">
        <f>$C$12/$C$8</f>
        <v/>
      </c>
      <c r="S20" s="517">
        <f>$C$13/$C$8</f>
        <v/>
      </c>
      <c r="T20" s="515">
        <f>$C$14/$C$8</f>
        <v/>
      </c>
      <c r="U20" s="518">
        <f>P20*1.1+T20</f>
        <v/>
      </c>
      <c r="V20" s="515">
        <f>($C$44/1.1)/$C$8</f>
        <v/>
      </c>
      <c r="W20" s="516">
        <f>V20-X20-Y20</f>
        <v/>
      </c>
      <c r="X20" s="517">
        <f>L20</f>
        <v/>
      </c>
      <c r="Y20" s="517">
        <f>M20</f>
        <v/>
      </c>
      <c r="Z20" s="573">
        <f>T20</f>
        <v/>
      </c>
      <c r="AA20" s="518">
        <f>V20*1.1+Z20</f>
        <v/>
      </c>
    </row>
    <row r="21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62">
        <f>$C$17</f>
        <v/>
      </c>
      <c r="K21" s="571">
        <f>$C$15/$C$8</f>
        <v/>
      </c>
      <c r="L21" s="572">
        <f>$C$12/$C$8</f>
        <v/>
      </c>
      <c r="M21" s="572">
        <f>$C$13/$C$8</f>
        <v/>
      </c>
      <c r="N21" s="566">
        <f>$C$14/$C$8</f>
        <v/>
      </c>
      <c r="O21" s="566">
        <f>SUM(K21:M21)*1.1+N21</f>
        <v/>
      </c>
      <c r="P21" s="515">
        <f>($C$20/1.1)/$C$8</f>
        <v/>
      </c>
      <c r="Q21" s="516">
        <f>P21-R21-S21</f>
        <v/>
      </c>
      <c r="R21" s="517">
        <f>$C$12/$C$8</f>
        <v/>
      </c>
      <c r="S21" s="517">
        <f>$C$13/$C$8</f>
        <v/>
      </c>
      <c r="T21" s="515">
        <f>$C$14/$C$8</f>
        <v/>
      </c>
      <c r="U21" s="518">
        <f>P21*1.1+T21</f>
        <v/>
      </c>
      <c r="V21" s="515">
        <f>($C$44/1.1)/$C$8</f>
        <v/>
      </c>
      <c r="W21" s="516">
        <f>V21-X21-Y21</f>
        <v/>
      </c>
      <c r="X21" s="517">
        <f>L21</f>
        <v/>
      </c>
      <c r="Y21" s="517">
        <f>M21</f>
        <v/>
      </c>
      <c r="Z21" s="573">
        <f>T21</f>
        <v/>
      </c>
      <c r="AA21" s="518">
        <f>V21*1.1+Z21</f>
        <v/>
      </c>
    </row>
    <row r="22" ht="17.45" customHeight="1" s="497">
      <c r="A22" s="303" t="n"/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62">
        <f>$C$17</f>
        <v/>
      </c>
      <c r="K22" s="571">
        <f>$C$15/$C$8</f>
        <v/>
      </c>
      <c r="L22" s="572">
        <f>$C$12/$C$8</f>
        <v/>
      </c>
      <c r="M22" s="572">
        <f>$C$13/$C$8</f>
        <v/>
      </c>
      <c r="N22" s="566">
        <f>$C$14/$C$8</f>
        <v/>
      </c>
      <c r="O22" s="566">
        <f>SUM(K22:M22)*1.1+N22</f>
        <v/>
      </c>
      <c r="P22" s="515">
        <f>($C$20/1.1)/$C$8</f>
        <v/>
      </c>
      <c r="Q22" s="516">
        <f>P22-R22-S22</f>
        <v/>
      </c>
      <c r="R22" s="517">
        <f>$C$12/$C$8</f>
        <v/>
      </c>
      <c r="S22" s="517">
        <f>$C$13/$C$8</f>
        <v/>
      </c>
      <c r="T22" s="515">
        <f>$C$14/$C$8</f>
        <v/>
      </c>
      <c r="U22" s="518">
        <f>P22*1.1+T22</f>
        <v/>
      </c>
      <c r="V22" s="515">
        <f>($C$44/1.1)/$C$8</f>
        <v/>
      </c>
      <c r="W22" s="516">
        <f>V22-X22-Y22</f>
        <v/>
      </c>
      <c r="X22" s="517">
        <f>L22</f>
        <v/>
      </c>
      <c r="Y22" s="517">
        <f>M22</f>
        <v/>
      </c>
      <c r="Z22" s="573">
        <f>T22</f>
        <v/>
      </c>
      <c r="AA22" s="518">
        <f>V22*1.1+Z22</f>
        <v/>
      </c>
    </row>
    <row r="23">
      <c r="A23" s="303" t="n"/>
      <c r="B23" s="9" t="inlineStr">
        <is>
          <t>(계산용) 선납금(V+)</t>
        </is>
      </c>
      <c r="C23" s="506">
        <f>+C18*C22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62">
        <f>$C$17</f>
        <v/>
      </c>
      <c r="K23" s="571">
        <f>$C$15/$C$8</f>
        <v/>
      </c>
      <c r="L23" s="572">
        <f>$C$12/$C$8</f>
        <v/>
      </c>
      <c r="M23" s="572">
        <f>$C$13/$C$8</f>
        <v/>
      </c>
      <c r="N23" s="566">
        <f>$C$14/$C$8</f>
        <v/>
      </c>
      <c r="O23" s="566">
        <f>SUM(K23:M23)*1.1+N23</f>
        <v/>
      </c>
      <c r="P23" s="515">
        <f>($C$20/1.1)/$C$8</f>
        <v/>
      </c>
      <c r="Q23" s="516">
        <f>P23-R23-S23</f>
        <v/>
      </c>
      <c r="R23" s="517">
        <f>$C$12/$C$8</f>
        <v/>
      </c>
      <c r="S23" s="517">
        <f>$C$13/$C$8</f>
        <v/>
      </c>
      <c r="T23" s="515">
        <f>$C$14/$C$8</f>
        <v/>
      </c>
      <c r="U23" s="518">
        <f>P23*1.1+T23</f>
        <v/>
      </c>
      <c r="V23" s="515">
        <f>($C$44/1.1)/$C$8</f>
        <v/>
      </c>
      <c r="W23" s="516">
        <f>V23-X23-Y23</f>
        <v/>
      </c>
      <c r="X23" s="517">
        <f>L23</f>
        <v/>
      </c>
      <c r="Y23" s="517">
        <f>M23</f>
        <v/>
      </c>
      <c r="Z23" s="573">
        <f>T23</f>
        <v/>
      </c>
      <c r="AA23" s="518">
        <f>V23*1.1+Z23</f>
        <v/>
      </c>
    </row>
    <row r="24">
      <c r="A24" s="303" t="n"/>
      <c r="B24" s="9" t="inlineStr">
        <is>
          <t>(계산용) 선납금(V-)</t>
        </is>
      </c>
      <c r="C24" s="506">
        <f>+C23/1.1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62">
        <f>$C$17</f>
        <v/>
      </c>
      <c r="K24" s="571">
        <f>$C$15/$C$8</f>
        <v/>
      </c>
      <c r="L24" s="572">
        <f>$C$12/$C$8</f>
        <v/>
      </c>
      <c r="M24" s="572">
        <f>$C$13/$C$8</f>
        <v/>
      </c>
      <c r="N24" s="566">
        <f>$C$14/$C$8</f>
        <v/>
      </c>
      <c r="O24" s="566">
        <f>SUM(K24:M24)*1.1+N24</f>
        <v/>
      </c>
      <c r="P24" s="515">
        <f>($C$20/1.1)/$C$8</f>
        <v/>
      </c>
      <c r="Q24" s="516">
        <f>P24-R24-S24</f>
        <v/>
      </c>
      <c r="R24" s="517">
        <f>$C$12/$C$8</f>
        <v/>
      </c>
      <c r="S24" s="517">
        <f>$C$13/$C$8</f>
        <v/>
      </c>
      <c r="T24" s="515">
        <f>$C$14/$C$8</f>
        <v/>
      </c>
      <c r="U24" s="518">
        <f>P24*1.1+T24</f>
        <v/>
      </c>
      <c r="V24" s="515">
        <f>($C$44/1.1)/$C$8</f>
        <v/>
      </c>
      <c r="W24" s="516">
        <f>V24-X24-Y24</f>
        <v/>
      </c>
      <c r="X24" s="517">
        <f>L24</f>
        <v/>
      </c>
      <c r="Y24" s="517">
        <f>M24</f>
        <v/>
      </c>
      <c r="Z24" s="573">
        <f>T24</f>
        <v/>
      </c>
      <c r="AA24" s="518">
        <f>V24*1.1+Z24</f>
        <v/>
      </c>
    </row>
    <row r="25">
      <c r="A25" s="303" t="n"/>
      <c r="B25" s="9" t="inlineStr">
        <is>
          <t>(계산용) 월 선납금(V-)</t>
        </is>
      </c>
      <c r="C25" s="506">
        <f>+ROUND(C24/C8,-2)</f>
        <v/>
      </c>
      <c r="F25" s="101" t="inlineStr">
        <is>
          <t>20회차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62">
        <f>$C$17</f>
        <v/>
      </c>
      <c r="K25" s="571">
        <f>$C$15/$C$8</f>
        <v/>
      </c>
      <c r="L25" s="572">
        <f>$C$12/$C$8</f>
        <v/>
      </c>
      <c r="M25" s="572">
        <f>$C$13/$C$8</f>
        <v/>
      </c>
      <c r="N25" s="566">
        <f>$C$14/$C$8</f>
        <v/>
      </c>
      <c r="O25" s="566">
        <f>SUM(K25:M25)*1.1+N25</f>
        <v/>
      </c>
      <c r="P25" s="515">
        <f>($C$20/1.1)/$C$8</f>
        <v/>
      </c>
      <c r="Q25" s="516">
        <f>P25-R25-S25</f>
        <v/>
      </c>
      <c r="R25" s="517">
        <f>$C$12/$C$8</f>
        <v/>
      </c>
      <c r="S25" s="517">
        <f>$C$13/$C$8</f>
        <v/>
      </c>
      <c r="T25" s="515">
        <f>$C$14/$C$8</f>
        <v/>
      </c>
      <c r="U25" s="518">
        <f>P25*1.1+T25</f>
        <v/>
      </c>
      <c r="V25" s="515">
        <f>($C$44/1.1)/$C$8</f>
        <v/>
      </c>
      <c r="W25" s="516">
        <f>V25-X25-Y25</f>
        <v/>
      </c>
      <c r="X25" s="517">
        <f>L25</f>
        <v/>
      </c>
      <c r="Y25" s="517">
        <f>M25</f>
        <v/>
      </c>
      <c r="Z25" s="573">
        <f>T25</f>
        <v/>
      </c>
      <c r="AA25" s="518">
        <f>V25*1.1+Z25</f>
        <v/>
      </c>
    </row>
    <row r="26">
      <c r="A26" s="303" t="n"/>
      <c r="B26" s="9" t="inlineStr">
        <is>
          <t>(최종) 선납금 (V-)</t>
        </is>
      </c>
      <c r="C26" s="506">
        <f>+C25*C8</f>
        <v/>
      </c>
      <c r="D26" s="505" t="n"/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62">
        <f>$C$17</f>
        <v/>
      </c>
      <c r="K26" s="571">
        <f>$C$15/$C$8</f>
        <v/>
      </c>
      <c r="L26" s="572">
        <f>$C$12/$C$8</f>
        <v/>
      </c>
      <c r="M26" s="572">
        <f>$C$13/$C$8</f>
        <v/>
      </c>
      <c r="N26" s="566">
        <f>$C$14/$C$8</f>
        <v/>
      </c>
      <c r="O26" s="566">
        <f>SUM(K26:M26)*1.1+N26</f>
        <v/>
      </c>
      <c r="P26" s="515">
        <f>($C$20/1.1)/$C$8</f>
        <v/>
      </c>
      <c r="Q26" s="516">
        <f>P26-R26-S26</f>
        <v/>
      </c>
      <c r="R26" s="517">
        <f>$C$12/$C$8</f>
        <v/>
      </c>
      <c r="S26" s="517">
        <f>$C$13/$C$8</f>
        <v/>
      </c>
      <c r="T26" s="515">
        <f>$C$14/$C$8</f>
        <v/>
      </c>
      <c r="U26" s="518">
        <f>P26*1.1+T26</f>
        <v/>
      </c>
      <c r="V26" s="515">
        <f>($C$44/1.1)/$C$8</f>
        <v/>
      </c>
      <c r="W26" s="516">
        <f>V26-X26-Y26</f>
        <v/>
      </c>
      <c r="X26" s="517">
        <f>L26</f>
        <v/>
      </c>
      <c r="Y26" s="517">
        <f>M26</f>
        <v/>
      </c>
      <c r="Z26" s="573">
        <f>T26</f>
        <v/>
      </c>
      <c r="AA26" s="518">
        <f>V26*1.1+Z26</f>
        <v/>
      </c>
    </row>
    <row r="27">
      <c r="A27" s="303" t="n"/>
      <c r="B27" s="264" t="inlineStr">
        <is>
          <t>(최종) 월 선납금 (V-)</t>
        </is>
      </c>
      <c r="C27" s="574">
        <f>+C26/C8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62">
        <f>$C$17</f>
        <v/>
      </c>
      <c r="K27" s="571">
        <f>$C$15/$C$8</f>
        <v/>
      </c>
      <c r="L27" s="572">
        <f>$C$12/$C$8</f>
        <v/>
      </c>
      <c r="M27" s="572">
        <f>$C$13/$C$8</f>
        <v/>
      </c>
      <c r="N27" s="566">
        <f>$C$14/$C$8</f>
        <v/>
      </c>
      <c r="O27" s="566">
        <f>SUM(K27:M27)*1.1+N27</f>
        <v/>
      </c>
      <c r="P27" s="515">
        <f>($C$20/1.1)/$C$8</f>
        <v/>
      </c>
      <c r="Q27" s="516">
        <f>P27-R27-S27</f>
        <v/>
      </c>
      <c r="R27" s="517">
        <f>$C$12/$C$8</f>
        <v/>
      </c>
      <c r="S27" s="517">
        <f>$C$13/$C$8</f>
        <v/>
      </c>
      <c r="T27" s="515">
        <f>$C$14/$C$8</f>
        <v/>
      </c>
      <c r="U27" s="518">
        <f>P27*1.1+T27</f>
        <v/>
      </c>
      <c r="V27" s="515">
        <f>($C$44/1.1)/$C$8</f>
        <v/>
      </c>
      <c r="W27" s="516">
        <f>V27-X27-Y27</f>
        <v/>
      </c>
      <c r="X27" s="517">
        <f>L27</f>
        <v/>
      </c>
      <c r="Y27" s="517">
        <f>M27</f>
        <v/>
      </c>
      <c r="Z27" s="573">
        <f>T27</f>
        <v/>
      </c>
      <c r="AA27" s="518">
        <f>V27*1.1+Z27</f>
        <v/>
      </c>
    </row>
    <row r="28">
      <c r="B28" s="9" t="inlineStr">
        <is>
          <t>(최종) 선납금 반영 월 구독료 (V+)</t>
        </is>
      </c>
      <c r="C28" s="506">
        <f>+C19-C27*1.1</f>
        <v/>
      </c>
      <c r="D28" s="539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62">
        <f>$C$17</f>
        <v/>
      </c>
      <c r="K28" s="571">
        <f>$C$15/$C$8</f>
        <v/>
      </c>
      <c r="L28" s="572">
        <f>$C$12/$C$8</f>
        <v/>
      </c>
      <c r="M28" s="572">
        <f>$C$13/$C$8</f>
        <v/>
      </c>
      <c r="N28" s="566">
        <f>$C$14/$C$8</f>
        <v/>
      </c>
      <c r="O28" s="566">
        <f>SUM(K28:M28)*1.1+N28</f>
        <v/>
      </c>
      <c r="P28" s="515">
        <f>($C$20/1.1)/$C$8</f>
        <v/>
      </c>
      <c r="Q28" s="516">
        <f>P28-R28-S28</f>
        <v/>
      </c>
      <c r="R28" s="517">
        <f>$C$12/$C$8</f>
        <v/>
      </c>
      <c r="S28" s="517">
        <f>$C$13/$C$8</f>
        <v/>
      </c>
      <c r="T28" s="515">
        <f>$C$14/$C$8</f>
        <v/>
      </c>
      <c r="U28" s="518">
        <f>P28*1.1+T28</f>
        <v/>
      </c>
      <c r="V28" s="515">
        <f>($C$44/1.1)/$C$8</f>
        <v/>
      </c>
      <c r="W28" s="516">
        <f>V28-X28-Y28</f>
        <v/>
      </c>
      <c r="X28" s="517">
        <f>L28</f>
        <v/>
      </c>
      <c r="Y28" s="517">
        <f>M28</f>
        <v/>
      </c>
      <c r="Z28" s="573">
        <f>T28</f>
        <v/>
      </c>
      <c r="AA28" s="518">
        <f>V28*1.1+Z28</f>
        <v/>
      </c>
    </row>
    <row r="29">
      <c r="B29" s="9" t="inlineStr">
        <is>
          <t>(최종) 선납금 반영 총 구독료 (V+)</t>
        </is>
      </c>
      <c r="C29" s="506">
        <f>+C28*C8</f>
        <v/>
      </c>
      <c r="D29" s="539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62">
        <f>$C$17</f>
        <v/>
      </c>
      <c r="K29" s="571">
        <f>$C$15/$C$8</f>
        <v/>
      </c>
      <c r="L29" s="572">
        <f>$C$12/$C$8</f>
        <v/>
      </c>
      <c r="M29" s="572">
        <f>$C$13/$C$8</f>
        <v/>
      </c>
      <c r="N29" s="566">
        <f>$C$14/$C$8</f>
        <v/>
      </c>
      <c r="O29" s="566">
        <f>SUM(K29:M29)*1.1+N29</f>
        <v/>
      </c>
      <c r="P29" s="515">
        <f>($C$20/1.1)/$C$8</f>
        <v/>
      </c>
      <c r="Q29" s="516">
        <f>P29-R29-S29</f>
        <v/>
      </c>
      <c r="R29" s="517">
        <f>$C$12/$C$8</f>
        <v/>
      </c>
      <c r="S29" s="517">
        <f>$C$13/$C$8</f>
        <v/>
      </c>
      <c r="T29" s="515">
        <f>$C$14/$C$8</f>
        <v/>
      </c>
      <c r="U29" s="518">
        <f>P29*1.1+T29</f>
        <v/>
      </c>
      <c r="V29" s="515">
        <f>($C$44/1.1)/$C$8</f>
        <v/>
      </c>
      <c r="W29" s="516">
        <f>V29-X29-Y29</f>
        <v/>
      </c>
      <c r="X29" s="517">
        <f>L29</f>
        <v/>
      </c>
      <c r="Y29" s="517">
        <f>M29</f>
        <v/>
      </c>
      <c r="Z29" s="573">
        <f>T29</f>
        <v/>
      </c>
      <c r="AA29" s="518">
        <f>V29*1.1+Z29</f>
        <v/>
      </c>
    </row>
    <row r="30" ht="17.25" customHeight="1" s="497" thickBot="1">
      <c r="B30" s="264" t="inlineStr">
        <is>
          <t>(최종) 선납금 (V+)</t>
        </is>
      </c>
      <c r="C30" s="574">
        <f>+C18-C29</f>
        <v/>
      </c>
      <c r="D30" s="517">
        <f>C26*1.1=C30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62">
        <f>$C$17</f>
        <v/>
      </c>
      <c r="K30" s="571">
        <f>$C$15/$C$8</f>
        <v/>
      </c>
      <c r="L30" s="572">
        <f>$C$12/$C$8</f>
        <v/>
      </c>
      <c r="M30" s="572">
        <f>$C$13/$C$8</f>
        <v/>
      </c>
      <c r="N30" s="566">
        <f>$C$14/$C$8</f>
        <v/>
      </c>
      <c r="O30" s="566">
        <f>SUM(K30:M30)*1.1+N30</f>
        <v/>
      </c>
      <c r="P30" s="515">
        <f>($C$20/1.1)/$C$8</f>
        <v/>
      </c>
      <c r="Q30" s="516">
        <f>P30-R30-S30</f>
        <v/>
      </c>
      <c r="R30" s="517">
        <f>$C$12/$C$8</f>
        <v/>
      </c>
      <c r="S30" s="517">
        <f>$C$13/$C$8</f>
        <v/>
      </c>
      <c r="T30" s="515">
        <f>$C$14/$C$8</f>
        <v/>
      </c>
      <c r="U30" s="518">
        <f>P30*1.1+T30</f>
        <v/>
      </c>
      <c r="V30" s="515">
        <f>($C$44/1.1)/$C$8</f>
        <v/>
      </c>
      <c r="W30" s="516">
        <f>V30-X30-Y30</f>
        <v/>
      </c>
      <c r="X30" s="517">
        <f>L30</f>
        <v/>
      </c>
      <c r="Y30" s="517">
        <f>M30</f>
        <v/>
      </c>
      <c r="Z30" s="573">
        <f>T30</f>
        <v/>
      </c>
      <c r="AA30" s="518">
        <f>V30*1.1+Z30</f>
        <v/>
      </c>
    </row>
    <row r="31">
      <c r="A31" s="303" t="n"/>
      <c r="B31" s="296" t="inlineStr">
        <is>
          <t>(계산용) 선납 할인금 (V+)</t>
        </is>
      </c>
      <c r="C31" s="576">
        <f>C18*4%</f>
        <v/>
      </c>
      <c r="D31" s="505" t="n"/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62">
        <f>$C$17</f>
        <v/>
      </c>
      <c r="K31" s="571">
        <f>$C$15/$C$8</f>
        <v/>
      </c>
      <c r="L31" s="572">
        <f>$C$12/$C$8</f>
        <v/>
      </c>
      <c r="M31" s="572">
        <f>$C$13/$C$8</f>
        <v/>
      </c>
      <c r="N31" s="566">
        <f>$C$14/$C$8</f>
        <v/>
      </c>
      <c r="O31" s="566">
        <f>SUM(K31:M31)*1.1+N31</f>
        <v/>
      </c>
      <c r="P31" s="515">
        <f>($C$20/1.1)/$C$8</f>
        <v/>
      </c>
      <c r="Q31" s="516">
        <f>P31-R31-S31</f>
        <v/>
      </c>
      <c r="R31" s="517">
        <f>$C$12/$C$8</f>
        <v/>
      </c>
      <c r="S31" s="517">
        <f>$C$13/$C$8</f>
        <v/>
      </c>
      <c r="T31" s="515">
        <f>$C$14/$C$8</f>
        <v/>
      </c>
      <c r="U31" s="518">
        <f>P31*1.1+T31</f>
        <v/>
      </c>
      <c r="V31" s="515">
        <f>($C$44/1.1)/$C$8</f>
        <v/>
      </c>
      <c r="W31" s="516">
        <f>V31-X31-Y31</f>
        <v/>
      </c>
      <c r="X31" s="517">
        <f>L31</f>
        <v/>
      </c>
      <c r="Y31" s="517">
        <f>M31</f>
        <v/>
      </c>
      <c r="Z31" s="573">
        <f>T31</f>
        <v/>
      </c>
      <c r="AA31" s="518">
        <f>V31*1.1+Z31</f>
        <v/>
      </c>
    </row>
    <row r="32">
      <c r="B32" s="298" t="inlineStr">
        <is>
          <t>(계산용) 선납 할인금 (V-)</t>
        </is>
      </c>
      <c r="C32" s="578">
        <f>+C31/1.1</f>
        <v/>
      </c>
      <c r="D32" s="539" t="n"/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62">
        <f>$C$17</f>
        <v/>
      </c>
      <c r="K32" s="571">
        <f>$C$15/$C$8</f>
        <v/>
      </c>
      <c r="L32" s="572">
        <f>$C$12/$C$8</f>
        <v/>
      </c>
      <c r="M32" s="572">
        <f>$C$13/$C$8</f>
        <v/>
      </c>
      <c r="N32" s="566">
        <f>$C$14/$C$8</f>
        <v/>
      </c>
      <c r="O32" s="566">
        <f>SUM(K32:M32)*1.1+N32</f>
        <v/>
      </c>
      <c r="P32" s="515">
        <f>($C$20/1.1)/$C$8</f>
        <v/>
      </c>
      <c r="Q32" s="516">
        <f>P32-R32-S32</f>
        <v/>
      </c>
      <c r="R32" s="517">
        <f>$C$12/$C$8</f>
        <v/>
      </c>
      <c r="S32" s="517">
        <f>$C$13/$C$8</f>
        <v/>
      </c>
      <c r="T32" s="515">
        <f>$C$14/$C$8</f>
        <v/>
      </c>
      <c r="U32" s="518">
        <f>P32*1.1+T32</f>
        <v/>
      </c>
      <c r="V32" s="515">
        <f>($C$44/1.1)/$C$8</f>
        <v/>
      </c>
      <c r="W32" s="516">
        <f>V32-X32-Y32</f>
        <v/>
      </c>
      <c r="X32" s="517">
        <f>L32</f>
        <v/>
      </c>
      <c r="Y32" s="517">
        <f>M32</f>
        <v/>
      </c>
      <c r="Z32" s="573">
        <f>T32</f>
        <v/>
      </c>
      <c r="AA32" s="518">
        <f>V32*1.1+Z32</f>
        <v/>
      </c>
    </row>
    <row r="33">
      <c r="B33" s="298" t="inlineStr">
        <is>
          <t>(계산용) 선납 월할인금 (V-)</t>
        </is>
      </c>
      <c r="C33" s="579">
        <f>+ROUNDUP(C32/C8,-2)</f>
        <v/>
      </c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62">
        <f>$C$17</f>
        <v/>
      </c>
      <c r="K33" s="571">
        <f>$C$15/$C$8</f>
        <v/>
      </c>
      <c r="L33" s="572">
        <f>$C$12/$C$8</f>
        <v/>
      </c>
      <c r="M33" s="572">
        <f>$C$13/$C$8</f>
        <v/>
      </c>
      <c r="N33" s="566">
        <f>$C$14/$C$8</f>
        <v/>
      </c>
      <c r="O33" s="566">
        <f>SUM(K33:M33)*1.1+N33</f>
        <v/>
      </c>
      <c r="P33" s="515">
        <f>($C$20/1.1)/$C$8</f>
        <v/>
      </c>
      <c r="Q33" s="516">
        <f>P33-R33-S33</f>
        <v/>
      </c>
      <c r="R33" s="517">
        <f>$C$12/$C$8</f>
        <v/>
      </c>
      <c r="S33" s="517">
        <f>$C$13/$C$8</f>
        <v/>
      </c>
      <c r="T33" s="515">
        <f>$C$14/$C$8</f>
        <v/>
      </c>
      <c r="U33" s="518">
        <f>P33*1.1+T33</f>
        <v/>
      </c>
      <c r="V33" s="515">
        <f>($C$44/1.1)/$C$8</f>
        <v/>
      </c>
      <c r="W33" s="516">
        <f>V33-X33-Y33</f>
        <v/>
      </c>
      <c r="X33" s="517">
        <f>L33</f>
        <v/>
      </c>
      <c r="Y33" s="517">
        <f>M33</f>
        <v/>
      </c>
      <c r="Z33" s="573">
        <f>T33</f>
        <v/>
      </c>
      <c r="AA33" s="518">
        <f>V33*1.1+Z33</f>
        <v/>
      </c>
    </row>
    <row r="34" ht="17.25" customHeight="1" s="497" thickBot="1">
      <c r="B34" s="301" t="inlineStr">
        <is>
          <t>(계산용) 선납 월할인금 (V+)</t>
        </is>
      </c>
      <c r="C34" s="580">
        <f>+C33*1.1</f>
        <v/>
      </c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62">
        <f>$C$17</f>
        <v/>
      </c>
      <c r="K34" s="571">
        <f>$C$15/$C$8</f>
        <v/>
      </c>
      <c r="L34" s="572">
        <f>$C$12/$C$8</f>
        <v/>
      </c>
      <c r="M34" s="572">
        <f>$C$13/$C$8</f>
        <v/>
      </c>
      <c r="N34" s="566">
        <f>$C$14/$C$8</f>
        <v/>
      </c>
      <c r="O34" s="566">
        <f>SUM(K34:M34)*1.1+N34</f>
        <v/>
      </c>
      <c r="P34" s="515">
        <f>($C$20/1.1)/$C$8</f>
        <v/>
      </c>
      <c r="Q34" s="516">
        <f>P34-R34-S34</f>
        <v/>
      </c>
      <c r="R34" s="517">
        <f>$C$12/$C$8</f>
        <v/>
      </c>
      <c r="S34" s="517">
        <f>$C$13/$C$8</f>
        <v/>
      </c>
      <c r="T34" s="515">
        <f>$C$14/$C$8</f>
        <v/>
      </c>
      <c r="U34" s="518">
        <f>P34*1.1+T34</f>
        <v/>
      </c>
      <c r="V34" s="515">
        <f>($C$44/1.1)/$C$8</f>
        <v/>
      </c>
      <c r="W34" s="516">
        <f>V34-X34-Y34</f>
        <v/>
      </c>
      <c r="X34" s="517">
        <f>L34</f>
        <v/>
      </c>
      <c r="Y34" s="517">
        <f>M34</f>
        <v/>
      </c>
      <c r="Z34" s="573">
        <f>T34</f>
        <v/>
      </c>
      <c r="AA34" s="518">
        <f>V34*1.1+Z34</f>
        <v/>
      </c>
    </row>
    <row r="35">
      <c r="B35" s="265" t="inlineStr">
        <is>
          <t>(최종) 선납 할인금 (V-)</t>
        </is>
      </c>
      <c r="C35" s="581">
        <f>+C33*C8</f>
        <v/>
      </c>
      <c r="D35" s="505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62">
        <f>$C$17</f>
        <v/>
      </c>
      <c r="K35" s="571">
        <f>$C$15/$C$8</f>
        <v/>
      </c>
      <c r="L35" s="572">
        <f>$C$12/$C$8</f>
        <v/>
      </c>
      <c r="M35" s="572">
        <f>$C$13/$C$8</f>
        <v/>
      </c>
      <c r="N35" s="566">
        <f>$C$14/$C$8</f>
        <v/>
      </c>
      <c r="O35" s="566">
        <f>SUM(K35:M35)*1.1+N35</f>
        <v/>
      </c>
      <c r="P35" s="515">
        <f>($C$20/1.1)/$C$8</f>
        <v/>
      </c>
      <c r="Q35" s="516">
        <f>P35-R35-S35</f>
        <v/>
      </c>
      <c r="R35" s="517">
        <f>$C$12/$C$8</f>
        <v/>
      </c>
      <c r="S35" s="517">
        <f>$C$13/$C$8</f>
        <v/>
      </c>
      <c r="T35" s="515">
        <f>$C$14/$C$8</f>
        <v/>
      </c>
      <c r="U35" s="518">
        <f>P35*1.1+T35</f>
        <v/>
      </c>
      <c r="V35" s="515">
        <f>($C$44/1.1)/$C$8</f>
        <v/>
      </c>
      <c r="W35" s="516">
        <f>V35-X35-Y35</f>
        <v/>
      </c>
      <c r="X35" s="517">
        <f>L35</f>
        <v/>
      </c>
      <c r="Y35" s="517">
        <f>M35</f>
        <v/>
      </c>
      <c r="Z35" s="573">
        <f>T35</f>
        <v/>
      </c>
      <c r="AA35" s="518">
        <f>V35*1.1+Z35</f>
        <v/>
      </c>
    </row>
    <row r="36" ht="17.25" customHeight="1" s="497" thickBot="1">
      <c r="B36" s="9" t="inlineStr">
        <is>
          <t>(최종) 선납 할인금 (V+)</t>
        </is>
      </c>
      <c r="C36" s="506">
        <f>+C34*C8</f>
        <v/>
      </c>
      <c r="D36" s="505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62">
        <f>$C$17</f>
        <v/>
      </c>
      <c r="K36" s="571">
        <f>$C$15/$C$8</f>
        <v/>
      </c>
      <c r="L36" s="572">
        <f>$C$12/$C$8</f>
        <v/>
      </c>
      <c r="M36" s="572">
        <f>$C$13/$C$8</f>
        <v/>
      </c>
      <c r="N36" s="566">
        <f>$C$14/$C$8</f>
        <v/>
      </c>
      <c r="O36" s="566">
        <f>SUM(K36:M36)*1.1+N36</f>
        <v/>
      </c>
      <c r="P36" s="515">
        <f>($C$20/1.1)/$C$8</f>
        <v/>
      </c>
      <c r="Q36" s="516">
        <f>P36-R36-S36</f>
        <v/>
      </c>
      <c r="R36" s="517">
        <f>$C$12/$C$8</f>
        <v/>
      </c>
      <c r="S36" s="517">
        <f>$C$13/$C$8</f>
        <v/>
      </c>
      <c r="T36" s="515">
        <f>$C$14/$C$8</f>
        <v/>
      </c>
      <c r="U36" s="518">
        <f>P36*1.1+T36</f>
        <v/>
      </c>
      <c r="V36" s="515">
        <f>($C$44/1.1)/$C$8</f>
        <v/>
      </c>
      <c r="W36" s="516">
        <f>V36-X36-Y36</f>
        <v/>
      </c>
      <c r="X36" s="517">
        <f>L36</f>
        <v/>
      </c>
      <c r="Y36" s="517">
        <f>M36</f>
        <v/>
      </c>
      <c r="Z36" s="573">
        <f>T36</f>
        <v/>
      </c>
      <c r="AA36" s="518">
        <f>V36*1.1+Z36</f>
        <v/>
      </c>
    </row>
    <row r="37">
      <c r="B37" s="293" t="inlineStr">
        <is>
          <t>(최종) 선납금+선납 할인 반영 월 구독료 (V-)</t>
        </is>
      </c>
      <c r="C37" s="536">
        <f>+(C16-C35-C26)/C8</f>
        <v/>
      </c>
      <c r="D37" s="505" t="n"/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62">
        <f>$C$17</f>
        <v/>
      </c>
      <c r="K37" s="571">
        <f>$C$15/$C$8</f>
        <v/>
      </c>
      <c r="L37" s="572">
        <f>$C$12/$C$8</f>
        <v/>
      </c>
      <c r="M37" s="572">
        <f>$C$13/$C$8</f>
        <v/>
      </c>
      <c r="N37" s="566">
        <f>$C$14/$C$8</f>
        <v/>
      </c>
      <c r="O37" s="566">
        <f>SUM(K37:M37)*1.1+N37</f>
        <v/>
      </c>
      <c r="P37" s="515">
        <f>($C$20/1.1)/$C$8</f>
        <v/>
      </c>
      <c r="Q37" s="516">
        <f>P37-R37-S37</f>
        <v/>
      </c>
      <c r="R37" s="517">
        <f>$C$12/$C$8</f>
        <v/>
      </c>
      <c r="S37" s="517">
        <f>$C$13/$C$8</f>
        <v/>
      </c>
      <c r="T37" s="515">
        <f>$C$14/$C$8</f>
        <v/>
      </c>
      <c r="U37" s="518">
        <f>P37*1.1+T37</f>
        <v/>
      </c>
      <c r="V37" s="515">
        <f>($C$44/1.1)/$C$8</f>
        <v/>
      </c>
      <c r="W37" s="516">
        <f>V37-X37-Y37</f>
        <v/>
      </c>
      <c r="X37" s="517">
        <f>L37</f>
        <v/>
      </c>
      <c r="Y37" s="517">
        <f>M37</f>
        <v/>
      </c>
      <c r="Z37" s="573">
        <f>T37</f>
        <v/>
      </c>
      <c r="AA37" s="518">
        <f>V37*1.1+Z37</f>
        <v/>
      </c>
    </row>
    <row r="38" ht="17.25" customHeight="1" s="497" thickBot="1">
      <c r="B38" s="294" t="inlineStr">
        <is>
          <t>(최종) 선납금+선납 할인 반영 총 구독료 (V-)</t>
        </is>
      </c>
      <c r="C38" s="537">
        <f>C37*C8</f>
        <v/>
      </c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62">
        <f>$C$17</f>
        <v/>
      </c>
      <c r="K38" s="571">
        <f>$C$15/$C$8</f>
        <v/>
      </c>
      <c r="L38" s="572">
        <f>$C$12/$C$8</f>
        <v/>
      </c>
      <c r="M38" s="572">
        <f>$C$13/$C$8</f>
        <v/>
      </c>
      <c r="N38" s="566">
        <f>$C$14/$C$8</f>
        <v/>
      </c>
      <c r="O38" s="566">
        <f>SUM(K38:M38)*1.1+N38</f>
        <v/>
      </c>
      <c r="P38" s="515">
        <f>($C$20/1.1)/$C$8</f>
        <v/>
      </c>
      <c r="Q38" s="516">
        <f>P38-R38-S38</f>
        <v/>
      </c>
      <c r="R38" s="517">
        <f>$C$12/$C$8</f>
        <v/>
      </c>
      <c r="S38" s="517">
        <f>$C$13/$C$8</f>
        <v/>
      </c>
      <c r="T38" s="515">
        <f>$C$14/$C$8</f>
        <v/>
      </c>
      <c r="U38" s="518">
        <f>P38*1.1+T38</f>
        <v/>
      </c>
      <c r="V38" s="515">
        <f>($C$44/1.1)/$C$8</f>
        <v/>
      </c>
      <c r="W38" s="516">
        <f>V38-X38-Y38</f>
        <v/>
      </c>
      <c r="X38" s="517">
        <f>L38</f>
        <v/>
      </c>
      <c r="Y38" s="517">
        <f>M38</f>
        <v/>
      </c>
      <c r="Z38" s="573">
        <f>T38</f>
        <v/>
      </c>
      <c r="AA38" s="518">
        <f>V38*1.1+Z38</f>
        <v/>
      </c>
    </row>
    <row r="39">
      <c r="B39" s="295" t="inlineStr">
        <is>
          <t>(최종) 선납금+선납 할인 반영 월 구독료 (V+)</t>
        </is>
      </c>
      <c r="C39" s="538">
        <f>+(C18-C26*1.1-C36)/C8</f>
        <v/>
      </c>
      <c r="D39" s="505">
        <f>+C18-C40-C26*1.1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62">
        <f>$C$17</f>
        <v/>
      </c>
      <c r="K39" s="571">
        <f>$C$15/$C$8</f>
        <v/>
      </c>
      <c r="L39" s="572">
        <f>$C$12/$C$8</f>
        <v/>
      </c>
      <c r="M39" s="572">
        <f>$C$13/$C$8</f>
        <v/>
      </c>
      <c r="N39" s="566">
        <f>$C$14/$C$8</f>
        <v/>
      </c>
      <c r="O39" s="566">
        <f>SUM(K39:M39)*1.1+N39</f>
        <v/>
      </c>
      <c r="P39" s="515">
        <f>($C$20/1.1)/$C$8</f>
        <v/>
      </c>
      <c r="Q39" s="516">
        <f>P39-R39-S39</f>
        <v/>
      </c>
      <c r="R39" s="517">
        <f>$C$12/$C$8</f>
        <v/>
      </c>
      <c r="S39" s="517">
        <f>$C$13/$C$8</f>
        <v/>
      </c>
      <c r="T39" s="515">
        <f>$C$14/$C$8</f>
        <v/>
      </c>
      <c r="U39" s="518">
        <f>P39*1.1+T39</f>
        <v/>
      </c>
      <c r="V39" s="515">
        <f>($C$44/1.1)/$C$8</f>
        <v/>
      </c>
      <c r="W39" s="516">
        <f>V39-X39-Y39</f>
        <v/>
      </c>
      <c r="X39" s="517">
        <f>L39</f>
        <v/>
      </c>
      <c r="Y39" s="517">
        <f>M39</f>
        <v/>
      </c>
      <c r="Z39" s="573">
        <f>T39</f>
        <v/>
      </c>
      <c r="AA39" s="518">
        <f>V39*1.1+Z39</f>
        <v/>
      </c>
    </row>
    <row r="40" ht="17.25" customHeight="1" s="497" thickBot="1">
      <c r="B40" s="294" t="inlineStr">
        <is>
          <t>(최종) 선납금+선납 할인 반영 총 구독료 (V+)</t>
        </is>
      </c>
      <c r="C40" s="537">
        <f>C39*C8</f>
        <v/>
      </c>
      <c r="D40" s="658">
        <f>+D39/C18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62">
        <f>$C$17</f>
        <v/>
      </c>
      <c r="K40" s="571">
        <f>$C$15/$C$8</f>
        <v/>
      </c>
      <c r="L40" s="572">
        <f>$C$12/$C$8</f>
        <v/>
      </c>
      <c r="M40" s="572">
        <f>$C$13/$C$8</f>
        <v/>
      </c>
      <c r="N40" s="566">
        <f>$C$14/$C$8</f>
        <v/>
      </c>
      <c r="O40" s="566">
        <f>SUM(K40:M40)*1.1+N40</f>
        <v/>
      </c>
      <c r="P40" s="515">
        <f>($C$20/1.1)/$C$8</f>
        <v/>
      </c>
      <c r="Q40" s="516">
        <f>P40-R40-S40</f>
        <v/>
      </c>
      <c r="R40" s="517">
        <f>$C$12/$C$8</f>
        <v/>
      </c>
      <c r="S40" s="517">
        <f>$C$13/$C$8</f>
        <v/>
      </c>
      <c r="T40" s="515">
        <f>$C$14/$C$8</f>
        <v/>
      </c>
      <c r="U40" s="518">
        <f>P40*1.1+T40</f>
        <v/>
      </c>
      <c r="V40" s="515">
        <f>($C$44/1.1)/$C$8</f>
        <v/>
      </c>
      <c r="W40" s="516">
        <f>V40-X40-Y40</f>
        <v/>
      </c>
      <c r="X40" s="517">
        <f>L40</f>
        <v/>
      </c>
      <c r="Y40" s="517">
        <f>M40</f>
        <v/>
      </c>
      <c r="Z40" s="573">
        <f>T40</f>
        <v/>
      </c>
      <c r="AA40" s="518">
        <f>V40*1.1+Z40</f>
        <v/>
      </c>
    </row>
    <row r="41">
      <c r="C41" s="505" t="n"/>
      <c r="D41" s="500">
        <f>+C19-C30/C8-C34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62">
        <f>$C$17</f>
        <v/>
      </c>
      <c r="K41" s="571">
        <f>$C$15/$C$8</f>
        <v/>
      </c>
      <c r="L41" s="572">
        <f>$C$12/$C$8</f>
        <v/>
      </c>
      <c r="M41" s="572">
        <f>$C$13/$C$8</f>
        <v/>
      </c>
      <c r="N41" s="566">
        <f>$C$14/$C$8</f>
        <v/>
      </c>
      <c r="O41" s="566">
        <f>SUM(K41:M41)*1.1+N41</f>
        <v/>
      </c>
      <c r="P41" s="515">
        <f>($C$20/1.1)/$C$8</f>
        <v/>
      </c>
      <c r="Q41" s="516">
        <f>P41-R41-S41</f>
        <v/>
      </c>
      <c r="R41" s="517">
        <f>$C$12/$C$8</f>
        <v/>
      </c>
      <c r="S41" s="517">
        <f>$C$13/$C$8</f>
        <v/>
      </c>
      <c r="T41" s="515">
        <f>$C$14/$C$8</f>
        <v/>
      </c>
      <c r="U41" s="518">
        <f>P41*1.1+T41</f>
        <v/>
      </c>
      <c r="V41" s="515">
        <f>($C$44/1.1)/$C$8</f>
        <v/>
      </c>
      <c r="W41" s="516">
        <f>V41-X41-Y41</f>
        <v/>
      </c>
      <c r="X41" s="517">
        <f>L41</f>
        <v/>
      </c>
      <c r="Y41" s="517">
        <f>M41</f>
        <v/>
      </c>
      <c r="Z41" s="573">
        <f>T41</f>
        <v/>
      </c>
      <c r="AA41" s="518">
        <f>V41*1.1+Z41</f>
        <v/>
      </c>
    </row>
    <row r="42">
      <c r="B42" s="9" t="inlineStr">
        <is>
          <t>선납금+선납 할인 반영 순수 구독료 (V-)</t>
        </is>
      </c>
      <c r="C42" s="506">
        <f>C38-C12-C13-C14</f>
        <v/>
      </c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62">
        <f>$C$17</f>
        <v/>
      </c>
      <c r="K42" s="571">
        <f>$C$15/$C$8</f>
        <v/>
      </c>
      <c r="L42" s="572">
        <f>$C$12/$C$8</f>
        <v/>
      </c>
      <c r="M42" s="572">
        <f>$C$13/$C$8</f>
        <v/>
      </c>
      <c r="N42" s="566">
        <f>$C$14/$C$8</f>
        <v/>
      </c>
      <c r="O42" s="566">
        <f>SUM(K42:M42)*1.1+N42</f>
        <v/>
      </c>
      <c r="P42" s="515">
        <f>($C$20/1.1)/$C$8</f>
        <v/>
      </c>
      <c r="Q42" s="516">
        <f>P42-R42-S42</f>
        <v/>
      </c>
      <c r="R42" s="517">
        <f>$C$12/$C$8</f>
        <v/>
      </c>
      <c r="S42" s="517">
        <f>$C$13/$C$8</f>
        <v/>
      </c>
      <c r="T42" s="515">
        <f>$C$14/$C$8</f>
        <v/>
      </c>
      <c r="U42" s="518">
        <f>P42*1.1+T42</f>
        <v/>
      </c>
      <c r="V42" s="515">
        <f>($C$44/1.1)/$C$8</f>
        <v/>
      </c>
      <c r="W42" s="516">
        <f>V42-X42-Y42</f>
        <v/>
      </c>
      <c r="X42" s="517">
        <f>L42</f>
        <v/>
      </c>
      <c r="Y42" s="517">
        <f>M42</f>
        <v/>
      </c>
      <c r="Z42" s="573">
        <f>T42</f>
        <v/>
      </c>
      <c r="AA42" s="518">
        <f>V42*1.1+Z42</f>
        <v/>
      </c>
    </row>
    <row r="43">
      <c r="B43" s="9" t="inlineStr">
        <is>
          <t>선납금+선납 할인 반영 순수 구독료 월할 (V-)</t>
        </is>
      </c>
      <c r="C43" s="506">
        <f>C42/C8</f>
        <v/>
      </c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62">
        <f>$C$17</f>
        <v/>
      </c>
      <c r="K43" s="571">
        <f>$C$15/$C$8</f>
        <v/>
      </c>
      <c r="L43" s="572">
        <f>$C$12/$C$8</f>
        <v/>
      </c>
      <c r="M43" s="572">
        <f>$C$13/$C$8</f>
        <v/>
      </c>
      <c r="N43" s="566">
        <f>$C$14/$C$8</f>
        <v/>
      </c>
      <c r="O43" s="566">
        <f>SUM(K43:M43)*1.1+N43</f>
        <v/>
      </c>
      <c r="P43" s="515">
        <f>($C$20/1.1)/$C$8</f>
        <v/>
      </c>
      <c r="Q43" s="516">
        <f>P43-R43-S43</f>
        <v/>
      </c>
      <c r="R43" s="517">
        <f>$C$12/$C$8</f>
        <v/>
      </c>
      <c r="S43" s="517">
        <f>$C$13/$C$8</f>
        <v/>
      </c>
      <c r="T43" s="515">
        <f>$C$14/$C$8</f>
        <v/>
      </c>
      <c r="U43" s="518">
        <f>P43*1.1+T43</f>
        <v/>
      </c>
      <c r="V43" s="515">
        <f>($C$44/1.1)/$C$8</f>
        <v/>
      </c>
      <c r="W43" s="516">
        <f>V43-X43-Y43</f>
        <v/>
      </c>
      <c r="X43" s="517">
        <f>L43</f>
        <v/>
      </c>
      <c r="Y43" s="517">
        <f>M43</f>
        <v/>
      </c>
      <c r="Z43" s="573">
        <f>T43</f>
        <v/>
      </c>
      <c r="AA43" s="518">
        <f>V43*1.1+Z43</f>
        <v/>
      </c>
    </row>
    <row r="44">
      <c r="B44" s="9" t="inlineStr">
        <is>
          <t>선납금+선납 할인 반영 파손제외 구독료 (v+)</t>
        </is>
      </c>
      <c r="C44" s="527">
        <f>C40-C14</f>
        <v/>
      </c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62">
        <f>$C$17</f>
        <v/>
      </c>
      <c r="K44" s="571">
        <f>$C$15/$C$8</f>
        <v/>
      </c>
      <c r="L44" s="572">
        <f>$C$12/$C$8</f>
        <v/>
      </c>
      <c r="M44" s="572">
        <f>$C$13/$C$8</f>
        <v/>
      </c>
      <c r="N44" s="566">
        <f>$C$14/$C$8</f>
        <v/>
      </c>
      <c r="O44" s="566">
        <f>SUM(K44:M44)*1.1+N44</f>
        <v/>
      </c>
      <c r="P44" s="515">
        <f>($C$20/1.1)/$C$8</f>
        <v/>
      </c>
      <c r="Q44" s="516">
        <f>P44-R44-S44</f>
        <v/>
      </c>
      <c r="R44" s="517">
        <f>$C$12/$C$8</f>
        <v/>
      </c>
      <c r="S44" s="517">
        <f>$C$13/$C$8</f>
        <v/>
      </c>
      <c r="T44" s="515">
        <f>$C$14/$C$8</f>
        <v/>
      </c>
      <c r="U44" s="518">
        <f>P44*1.1+T44</f>
        <v/>
      </c>
      <c r="V44" s="515">
        <f>($C$44/1.1)/$C$8</f>
        <v/>
      </c>
      <c r="W44" s="516">
        <f>V44-X44-Y44</f>
        <v/>
      </c>
      <c r="X44" s="517">
        <f>L44</f>
        <v/>
      </c>
      <c r="Y44" s="517">
        <f>M44</f>
        <v/>
      </c>
      <c r="Z44" s="573">
        <f>T44</f>
        <v/>
      </c>
      <c r="AA44" s="518">
        <f>V44*1.1+Z44</f>
        <v/>
      </c>
    </row>
    <row r="45">
      <c r="C45" s="505" t="n"/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62">
        <f>$C$17</f>
        <v/>
      </c>
      <c r="K45" s="571">
        <f>$C$15/$C$8</f>
        <v/>
      </c>
      <c r="L45" s="572">
        <f>$C$12/$C$8</f>
        <v/>
      </c>
      <c r="M45" s="572">
        <f>$C$13/$C$8</f>
        <v/>
      </c>
      <c r="N45" s="566">
        <f>$C$14/$C$8</f>
        <v/>
      </c>
      <c r="O45" s="566">
        <f>SUM(K45:M45)*1.1+N45</f>
        <v/>
      </c>
      <c r="P45" s="515">
        <f>($C$20/1.1)/$C$8</f>
        <v/>
      </c>
      <c r="Q45" s="516">
        <f>P45-R45-S45</f>
        <v/>
      </c>
      <c r="R45" s="517">
        <f>$C$12/$C$8</f>
        <v/>
      </c>
      <c r="S45" s="517">
        <f>$C$13/$C$8</f>
        <v/>
      </c>
      <c r="T45" s="515">
        <f>$C$14/$C$8</f>
        <v/>
      </c>
      <c r="U45" s="518">
        <f>P45*1.1+T45</f>
        <v/>
      </c>
      <c r="V45" s="515">
        <f>($C$44/1.1)/$C$8</f>
        <v/>
      </c>
      <c r="W45" s="516">
        <f>V45-X45-Y45</f>
        <v/>
      </c>
      <c r="X45" s="517">
        <f>L45</f>
        <v/>
      </c>
      <c r="Y45" s="517">
        <f>M45</f>
        <v/>
      </c>
      <c r="Z45" s="573">
        <f>T45</f>
        <v/>
      </c>
      <c r="AA45" s="518">
        <f>V45*1.1+Z45</f>
        <v/>
      </c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62">
        <f>$C$17</f>
        <v/>
      </c>
      <c r="K46" s="571">
        <f>$C$15/$C$8</f>
        <v/>
      </c>
      <c r="L46" s="572">
        <f>$C$12/$C$8</f>
        <v/>
      </c>
      <c r="M46" s="572">
        <f>$C$13/$C$8</f>
        <v/>
      </c>
      <c r="N46" s="566">
        <f>$C$14/$C$8</f>
        <v/>
      </c>
      <c r="O46" s="566">
        <f>SUM(K46:M46)*1.1+N46</f>
        <v/>
      </c>
      <c r="P46" s="515">
        <f>($C$20/1.1)/$C$8</f>
        <v/>
      </c>
      <c r="Q46" s="516">
        <f>P46-R46-S46</f>
        <v/>
      </c>
      <c r="R46" s="517">
        <f>$C$12/$C$8</f>
        <v/>
      </c>
      <c r="S46" s="517">
        <f>$C$13/$C$8</f>
        <v/>
      </c>
      <c r="T46" s="515">
        <f>$C$14/$C$8</f>
        <v/>
      </c>
      <c r="U46" s="518">
        <f>P46*1.1+T46</f>
        <v/>
      </c>
      <c r="V46" s="515">
        <f>($C$44/1.1)/$C$8</f>
        <v/>
      </c>
      <c r="W46" s="516">
        <f>V46-X46-Y46</f>
        <v/>
      </c>
      <c r="X46" s="517">
        <f>L46</f>
        <v/>
      </c>
      <c r="Y46" s="517">
        <f>M46</f>
        <v/>
      </c>
      <c r="Z46" s="573">
        <f>T46</f>
        <v/>
      </c>
      <c r="AA46" s="518">
        <f>V46*1.1+Z46</f>
        <v/>
      </c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62">
        <f>$C$17</f>
        <v/>
      </c>
      <c r="K47" s="571">
        <f>$C$15/$C$8</f>
        <v/>
      </c>
      <c r="L47" s="572">
        <f>$C$12/$C$8</f>
        <v/>
      </c>
      <c r="M47" s="572">
        <f>$C$13/$C$8</f>
        <v/>
      </c>
      <c r="N47" s="566">
        <f>$C$14/$C$8</f>
        <v/>
      </c>
      <c r="O47" s="566">
        <f>SUM(K47:M47)*1.1+N47</f>
        <v/>
      </c>
      <c r="P47" s="515">
        <f>($C$20/1.1)/$C$8</f>
        <v/>
      </c>
      <c r="Q47" s="516">
        <f>P47-R47-S47</f>
        <v/>
      </c>
      <c r="R47" s="517">
        <f>$C$12/$C$8</f>
        <v/>
      </c>
      <c r="S47" s="517">
        <f>$C$13/$C$8</f>
        <v/>
      </c>
      <c r="T47" s="515">
        <f>$C$14/$C$8</f>
        <v/>
      </c>
      <c r="U47" s="518">
        <f>P47*1.1+T47</f>
        <v/>
      </c>
      <c r="V47" s="515">
        <f>($C$44/1.1)/$C$8</f>
        <v/>
      </c>
      <c r="W47" s="516">
        <f>V47-X47-Y47</f>
        <v/>
      </c>
      <c r="X47" s="517">
        <f>L47</f>
        <v/>
      </c>
      <c r="Y47" s="517">
        <f>M47</f>
        <v/>
      </c>
      <c r="Z47" s="573">
        <f>T47</f>
        <v/>
      </c>
      <c r="AA47" s="518">
        <f>V47*1.1+Z47</f>
        <v/>
      </c>
    </row>
    <row r="48">
      <c r="C48" s="505" t="n"/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62">
        <f>$C$17</f>
        <v/>
      </c>
      <c r="K48" s="571">
        <f>$C$15/$C$8</f>
        <v/>
      </c>
      <c r="L48" s="572">
        <f>$C$12/$C$8</f>
        <v/>
      </c>
      <c r="M48" s="572">
        <f>$C$13/$C$8</f>
        <v/>
      </c>
      <c r="N48" s="566">
        <f>$C$14/$C$8</f>
        <v/>
      </c>
      <c r="O48" s="566">
        <f>SUM(K48:M48)*1.1+N48</f>
        <v/>
      </c>
      <c r="P48" s="515">
        <f>($C$20/1.1)/$C$8</f>
        <v/>
      </c>
      <c r="Q48" s="516">
        <f>P48-R48-S48</f>
        <v/>
      </c>
      <c r="R48" s="517">
        <f>$C$12/$C$8</f>
        <v/>
      </c>
      <c r="S48" s="517">
        <f>$C$13/$C$8</f>
        <v/>
      </c>
      <c r="T48" s="515">
        <f>$C$14/$C$8</f>
        <v/>
      </c>
      <c r="U48" s="518">
        <f>P48*1.1+T48</f>
        <v/>
      </c>
      <c r="V48" s="515">
        <f>($C$44/1.1)/$C$8</f>
        <v/>
      </c>
      <c r="W48" s="516">
        <f>V48-X48-Y48</f>
        <v/>
      </c>
      <c r="X48" s="517">
        <f>L48</f>
        <v/>
      </c>
      <c r="Y48" s="517">
        <f>M48</f>
        <v/>
      </c>
      <c r="Z48" s="573">
        <f>T48</f>
        <v/>
      </c>
      <c r="AA48" s="518">
        <f>V48*1.1+Z48</f>
        <v/>
      </c>
    </row>
    <row r="49">
      <c r="C49" s="505" t="n"/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62">
        <f>$C$17</f>
        <v/>
      </c>
      <c r="K49" s="571">
        <f>$C$15/$C$8</f>
        <v/>
      </c>
      <c r="L49" s="572">
        <f>$C$12/$C$8</f>
        <v/>
      </c>
      <c r="M49" s="572">
        <f>$C$13/$C$8</f>
        <v/>
      </c>
      <c r="N49" s="566">
        <f>$C$14/$C$8</f>
        <v/>
      </c>
      <c r="O49" s="566">
        <f>SUM(K49:M49)*1.1+N49</f>
        <v/>
      </c>
      <c r="P49" s="515">
        <f>($C$20/1.1)/$C$8</f>
        <v/>
      </c>
      <c r="Q49" s="516">
        <f>P49-R49-S49</f>
        <v/>
      </c>
      <c r="R49" s="517">
        <f>$C$12/$C$8</f>
        <v/>
      </c>
      <c r="S49" s="517">
        <f>$C$13/$C$8</f>
        <v/>
      </c>
      <c r="T49" s="515">
        <f>$C$14/$C$8</f>
        <v/>
      </c>
      <c r="U49" s="518">
        <f>P49*1.1+T49</f>
        <v/>
      </c>
      <c r="V49" s="515">
        <f>($C$44/1.1)/$C$8</f>
        <v/>
      </c>
      <c r="W49" s="516">
        <f>V49-X49-Y49</f>
        <v/>
      </c>
      <c r="X49" s="517">
        <f>L49</f>
        <v/>
      </c>
      <c r="Y49" s="517">
        <f>M49</f>
        <v/>
      </c>
      <c r="Z49" s="573">
        <f>T49</f>
        <v/>
      </c>
      <c r="AA49" s="518">
        <f>V49*1.1+Z49</f>
        <v/>
      </c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62">
        <f>$C$17</f>
        <v/>
      </c>
      <c r="K50" s="571">
        <f>$C$15/$C$8</f>
        <v/>
      </c>
      <c r="L50" s="572">
        <f>$C$12/$C$8</f>
        <v/>
      </c>
      <c r="M50" s="572">
        <f>$C$13/$C$8</f>
        <v/>
      </c>
      <c r="N50" s="566">
        <f>$C$14/$C$8</f>
        <v/>
      </c>
      <c r="O50" s="566">
        <f>SUM(K50:M50)*1.1+N50</f>
        <v/>
      </c>
      <c r="P50" s="515">
        <f>($C$20/1.1)/$C$8</f>
        <v/>
      </c>
      <c r="Q50" s="516">
        <f>P50-R50-S50</f>
        <v/>
      </c>
      <c r="R50" s="517">
        <f>$C$12/$C$8</f>
        <v/>
      </c>
      <c r="S50" s="517">
        <f>$C$13/$C$8</f>
        <v/>
      </c>
      <c r="T50" s="515">
        <f>$C$14/$C$8</f>
        <v/>
      </c>
      <c r="U50" s="518">
        <f>P50*1.1+T50</f>
        <v/>
      </c>
      <c r="V50" s="515">
        <f>($C$44/1.1)/$C$8</f>
        <v/>
      </c>
      <c r="W50" s="516">
        <f>V50-X50-Y50</f>
        <v/>
      </c>
      <c r="X50" s="517">
        <f>L50</f>
        <v/>
      </c>
      <c r="Y50" s="517">
        <f>M50</f>
        <v/>
      </c>
      <c r="Z50" s="573">
        <f>T50</f>
        <v/>
      </c>
      <c r="AA50" s="518">
        <f>V50*1.1+Z50</f>
        <v/>
      </c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62">
        <f>$C$17</f>
        <v/>
      </c>
      <c r="K51" s="571">
        <f>$C$15/$C$8</f>
        <v/>
      </c>
      <c r="L51" s="572">
        <f>$C$12/$C$8</f>
        <v/>
      </c>
      <c r="M51" s="572">
        <f>$C$13/$C$8</f>
        <v/>
      </c>
      <c r="N51" s="566">
        <f>$C$14/$C$8</f>
        <v/>
      </c>
      <c r="O51" s="566">
        <f>SUM(K51:M51)*1.1+N51</f>
        <v/>
      </c>
      <c r="P51" s="515">
        <f>($C$20/1.1)/$C$8</f>
        <v/>
      </c>
      <c r="Q51" s="516">
        <f>P51-R51-S51</f>
        <v/>
      </c>
      <c r="R51" s="517">
        <f>$C$12/$C$8</f>
        <v/>
      </c>
      <c r="S51" s="517">
        <f>$C$13/$C$8</f>
        <v/>
      </c>
      <c r="T51" s="515">
        <f>$C$14/$C$8</f>
        <v/>
      </c>
      <c r="U51" s="518">
        <f>P51*1.1+T51</f>
        <v/>
      </c>
      <c r="V51" s="515">
        <f>($C$44/1.1)/$C$8</f>
        <v/>
      </c>
      <c r="W51" s="516">
        <f>V51-X51-Y51</f>
        <v/>
      </c>
      <c r="X51" s="517">
        <f>L51</f>
        <v/>
      </c>
      <c r="Y51" s="517">
        <f>M51</f>
        <v/>
      </c>
      <c r="Z51" s="573">
        <f>T51</f>
        <v/>
      </c>
      <c r="AA51" s="518">
        <f>V51*1.1+Z51</f>
        <v/>
      </c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62">
        <f>$C$17</f>
        <v/>
      </c>
      <c r="K52" s="571">
        <f>$C$15/$C$8</f>
        <v/>
      </c>
      <c r="L52" s="572">
        <f>$C$12/$C$8</f>
        <v/>
      </c>
      <c r="M52" s="572">
        <f>$C$13/$C$8</f>
        <v/>
      </c>
      <c r="N52" s="566">
        <f>$C$14/$C$8</f>
        <v/>
      </c>
      <c r="O52" s="566">
        <f>SUM(K52:M52)*1.1+N52</f>
        <v/>
      </c>
      <c r="P52" s="515">
        <f>($C$20/1.1)/$C$8</f>
        <v/>
      </c>
      <c r="Q52" s="516">
        <f>P52-R52-S52</f>
        <v/>
      </c>
      <c r="R52" s="517">
        <f>$C$12/$C$8</f>
        <v/>
      </c>
      <c r="S52" s="517">
        <f>$C$13/$C$8</f>
        <v/>
      </c>
      <c r="T52" s="515">
        <f>$C$14/$C$8</f>
        <v/>
      </c>
      <c r="U52" s="518">
        <f>P52*1.1+T52</f>
        <v/>
      </c>
      <c r="V52" s="515">
        <f>($C$44/1.1)/$C$8</f>
        <v/>
      </c>
      <c r="W52" s="516">
        <f>V52-X52-Y52</f>
        <v/>
      </c>
      <c r="X52" s="517">
        <f>L52</f>
        <v/>
      </c>
      <c r="Y52" s="517">
        <f>M52</f>
        <v/>
      </c>
      <c r="Z52" s="573">
        <f>T52</f>
        <v/>
      </c>
      <c r="AA52" s="518">
        <f>V52*1.1+Z52</f>
        <v/>
      </c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62">
        <f>$C$17</f>
        <v/>
      </c>
      <c r="K53" s="571">
        <f>$C$15/$C$8</f>
        <v/>
      </c>
      <c r="L53" s="572">
        <f>$C$12/$C$8</f>
        <v/>
      </c>
      <c r="M53" s="572">
        <f>$C$13/$C$8</f>
        <v/>
      </c>
      <c r="N53" s="566">
        <f>$C$14/$C$8</f>
        <v/>
      </c>
      <c r="O53" s="566">
        <f>SUM(K53:M53)*1.1+N53</f>
        <v/>
      </c>
      <c r="P53" s="515">
        <f>($C$20/1.1)/$C$8</f>
        <v/>
      </c>
      <c r="Q53" s="516">
        <f>P53-R53-S53</f>
        <v/>
      </c>
      <c r="R53" s="517">
        <f>$C$12/$C$8</f>
        <v/>
      </c>
      <c r="S53" s="517">
        <f>$C$13/$C$8</f>
        <v/>
      </c>
      <c r="T53" s="515">
        <f>$C$14/$C$8</f>
        <v/>
      </c>
      <c r="U53" s="518">
        <f>P53*1.1+T53</f>
        <v/>
      </c>
      <c r="V53" s="515">
        <f>($C$44/1.1)/$C$8</f>
        <v/>
      </c>
      <c r="W53" s="516">
        <f>V53-X53-Y53</f>
        <v/>
      </c>
      <c r="X53" s="517">
        <f>L53</f>
        <v/>
      </c>
      <c r="Y53" s="517">
        <f>M53</f>
        <v/>
      </c>
      <c r="Z53" s="573">
        <f>T53</f>
        <v/>
      </c>
      <c r="AA53" s="518">
        <f>V53*1.1+Z53</f>
        <v/>
      </c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62">
        <f>$C$17-J6</f>
        <v/>
      </c>
      <c r="K54" s="571">
        <f>$C$15/$C$8-K6</f>
        <v/>
      </c>
      <c r="L54" s="572">
        <f>$C$12/$C$8</f>
        <v/>
      </c>
      <c r="M54" s="572">
        <f>$C$13/$C$8-M6</f>
        <v/>
      </c>
      <c r="N54" s="566">
        <f>$C$14/$C$8-N6</f>
        <v/>
      </c>
      <c r="O54" s="566">
        <f>SUM(K54:M54)*1.1+N54</f>
        <v/>
      </c>
      <c r="P54" s="515">
        <f>($C$20/1.1)/$C$8-P6</f>
        <v/>
      </c>
      <c r="Q54" s="516">
        <f>P54-R54-S54</f>
        <v/>
      </c>
      <c r="R54" s="517">
        <f>$C$12/$C$8</f>
        <v/>
      </c>
      <c r="S54" s="517">
        <f>$C$13/$C$8-S6</f>
        <v/>
      </c>
      <c r="T54" s="515">
        <f>$C$14/$C$8-T6</f>
        <v/>
      </c>
      <c r="U54" s="518">
        <f>P54*1.1+T54</f>
        <v/>
      </c>
      <c r="V54" s="515">
        <f>($C$44/1.1)/$C$8-V6</f>
        <v/>
      </c>
      <c r="W54" s="516">
        <f>V54-X54-Y54</f>
        <v/>
      </c>
      <c r="X54" s="517">
        <f>L54</f>
        <v/>
      </c>
      <c r="Y54" s="517">
        <f>M54</f>
        <v/>
      </c>
      <c r="Z54" s="573">
        <f>T54</f>
        <v/>
      </c>
      <c r="AA54" s="518">
        <f>V54*1.1+Z54</f>
        <v/>
      </c>
    </row>
    <row r="55">
      <c r="F55" s="101" t="n"/>
      <c r="G55" s="102" t="n"/>
      <c r="H55" s="102" t="n"/>
      <c r="I55" s="103" t="n"/>
      <c r="J55" s="562" t="n"/>
      <c r="K55" s="571" t="n"/>
      <c r="L55" s="572" t="n"/>
      <c r="M55" s="572" t="n"/>
      <c r="N55" s="566" t="n"/>
      <c r="O55" s="566" t="n"/>
      <c r="P55" s="515" t="n"/>
      <c r="Q55" s="516" t="n"/>
      <c r="R55" s="517" t="n"/>
      <c r="S55" s="517" t="n"/>
      <c r="T55" s="515" t="n"/>
      <c r="U55" s="518" t="n"/>
      <c r="V55" s="515" t="n"/>
      <c r="W55" s="516" t="n"/>
      <c r="X55" s="500" t="n"/>
      <c r="Y55" s="500" t="n"/>
      <c r="Z55" s="573" t="n"/>
      <c r="AA55" s="518" t="n"/>
    </row>
    <row r="56">
      <c r="F56" s="101" t="n"/>
      <c r="G56" s="102" t="n"/>
      <c r="H56" s="102" t="n"/>
      <c r="I56" s="103" t="n"/>
      <c r="J56" s="562" t="n"/>
      <c r="K56" s="571" t="n"/>
      <c r="L56" s="572" t="n"/>
      <c r="M56" s="572" t="n"/>
      <c r="N56" s="566" t="n"/>
      <c r="O56" s="566" t="n"/>
      <c r="P56" s="515" t="n"/>
      <c r="Q56" s="516" t="n"/>
      <c r="R56" s="517" t="n"/>
      <c r="S56" s="517" t="n"/>
      <c r="T56" s="515" t="n"/>
      <c r="U56" s="518" t="n"/>
      <c r="V56" s="515" t="n"/>
      <c r="W56" s="516" t="n"/>
      <c r="X56" s="500" t="n"/>
      <c r="Y56" s="500" t="n"/>
      <c r="Z56" s="573" t="n"/>
      <c r="AA56" s="518" t="n"/>
    </row>
    <row r="57">
      <c r="F57" s="101" t="n"/>
      <c r="G57" s="102" t="n"/>
      <c r="H57" s="102" t="n"/>
      <c r="I57" s="103" t="n"/>
      <c r="J57" s="562" t="n"/>
      <c r="K57" s="571" t="n"/>
      <c r="L57" s="572" t="n"/>
      <c r="M57" s="572" t="n"/>
      <c r="N57" s="566" t="n"/>
      <c r="O57" s="566" t="n"/>
      <c r="P57" s="515" t="n"/>
      <c r="Q57" s="516" t="n"/>
      <c r="R57" s="517" t="n"/>
      <c r="S57" s="517" t="n"/>
      <c r="T57" s="515" t="n"/>
      <c r="U57" s="518" t="n"/>
      <c r="V57" s="515" t="n"/>
      <c r="W57" s="516" t="n"/>
      <c r="X57" s="500" t="n"/>
      <c r="Y57" s="500" t="n"/>
      <c r="Z57" s="573" t="n"/>
      <c r="AA57" s="518" t="n"/>
    </row>
    <row r="58">
      <c r="F58" s="101" t="n"/>
      <c r="G58" s="102" t="n"/>
      <c r="H58" s="102" t="n"/>
      <c r="I58" s="103" t="n"/>
      <c r="J58" s="562" t="n"/>
      <c r="K58" s="571" t="n"/>
      <c r="L58" s="572" t="n"/>
      <c r="M58" s="572" t="n"/>
      <c r="N58" s="566" t="n"/>
      <c r="O58" s="566" t="n"/>
      <c r="P58" s="515" t="n"/>
      <c r="Q58" s="516" t="n"/>
      <c r="R58" s="517" t="n"/>
      <c r="S58" s="517" t="n"/>
      <c r="T58" s="515" t="n"/>
      <c r="U58" s="518" t="n"/>
      <c r="V58" s="515" t="n"/>
      <c r="W58" s="516" t="n"/>
      <c r="X58" s="500" t="n"/>
      <c r="Y58" s="500" t="n"/>
      <c r="Z58" s="573" t="n"/>
      <c r="AA58" s="518" t="n"/>
    </row>
    <row r="59">
      <c r="F59" s="101" t="n"/>
      <c r="G59" s="102" t="n"/>
      <c r="H59" s="102" t="n"/>
      <c r="I59" s="103" t="n"/>
      <c r="J59" s="562" t="n"/>
      <c r="K59" s="571" t="n"/>
      <c r="L59" s="572" t="n"/>
      <c r="M59" s="572" t="n"/>
      <c r="N59" s="566" t="n"/>
      <c r="O59" s="566" t="n"/>
      <c r="P59" s="515" t="n"/>
      <c r="Q59" s="516" t="n"/>
      <c r="R59" s="517" t="n"/>
      <c r="S59" s="517" t="n"/>
      <c r="T59" s="515" t="n"/>
      <c r="U59" s="518" t="n"/>
      <c r="V59" s="515" t="n"/>
      <c r="W59" s="516" t="n"/>
      <c r="X59" s="500" t="n"/>
      <c r="Y59" s="500" t="n"/>
      <c r="Z59" s="573" t="n"/>
      <c r="AA59" s="518" t="n"/>
    </row>
    <row r="60">
      <c r="F60" s="101" t="n"/>
      <c r="G60" s="102" t="n"/>
      <c r="H60" s="102" t="n"/>
      <c r="I60" s="103" t="n"/>
      <c r="J60" s="562" t="n"/>
      <c r="K60" s="571" t="n"/>
      <c r="L60" s="572" t="n"/>
      <c r="M60" s="572" t="n"/>
      <c r="N60" s="566" t="n"/>
      <c r="O60" s="566" t="n"/>
      <c r="P60" s="515" t="n"/>
      <c r="Q60" s="516" t="n"/>
      <c r="R60" s="517" t="n"/>
      <c r="S60" s="517" t="n"/>
      <c r="T60" s="515" t="n"/>
      <c r="U60" s="518" t="n"/>
      <c r="V60" s="515" t="n"/>
      <c r="W60" s="516" t="n"/>
      <c r="X60" s="500" t="n"/>
      <c r="Y60" s="500" t="n"/>
      <c r="Z60" s="573" t="n"/>
      <c r="AA60" s="518" t="n"/>
    </row>
    <row r="61">
      <c r="F61" s="101" t="n"/>
      <c r="G61" s="102" t="n"/>
      <c r="H61" s="102" t="n"/>
      <c r="I61" s="103" t="n"/>
      <c r="J61" s="562" t="n"/>
      <c r="K61" s="571" t="n"/>
      <c r="L61" s="572" t="n"/>
      <c r="M61" s="572" t="n"/>
      <c r="N61" s="566" t="n"/>
      <c r="O61" s="566" t="n"/>
      <c r="P61" s="515" t="n"/>
      <c r="Q61" s="516" t="n"/>
      <c r="R61" s="517" t="n"/>
      <c r="S61" s="517" t="n"/>
      <c r="T61" s="515" t="n"/>
      <c r="U61" s="518" t="n"/>
      <c r="V61" s="515" t="n"/>
      <c r="W61" s="516" t="n"/>
      <c r="X61" s="500" t="n"/>
      <c r="Y61" s="500" t="n"/>
      <c r="Z61" s="573" t="n"/>
      <c r="AA61" s="518" t="n"/>
    </row>
    <row r="62">
      <c r="F62" s="101" t="n"/>
      <c r="G62" s="102" t="n"/>
      <c r="H62" s="102" t="n"/>
      <c r="I62" s="103" t="n"/>
      <c r="J62" s="562" t="n"/>
      <c r="K62" s="571" t="n"/>
      <c r="L62" s="572" t="n"/>
      <c r="M62" s="572" t="n"/>
      <c r="N62" s="566" t="n"/>
      <c r="O62" s="566" t="n"/>
      <c r="P62" s="515" t="n"/>
      <c r="Q62" s="516" t="n"/>
      <c r="R62" s="517" t="n"/>
      <c r="S62" s="517" t="n"/>
      <c r="T62" s="515" t="n"/>
      <c r="U62" s="518" t="n"/>
      <c r="V62" s="515" t="n"/>
      <c r="W62" s="516" t="n"/>
      <c r="X62" s="500" t="n"/>
      <c r="Y62" s="500" t="n"/>
      <c r="Z62" s="573" t="n"/>
      <c r="AA62" s="518" t="n"/>
    </row>
    <row r="63">
      <c r="F63" s="101" t="n"/>
      <c r="G63" s="102" t="n"/>
      <c r="H63" s="102" t="n"/>
      <c r="I63" s="103" t="n"/>
      <c r="J63" s="562" t="n"/>
      <c r="K63" s="571" t="n"/>
      <c r="L63" s="572" t="n"/>
      <c r="M63" s="572" t="n"/>
      <c r="N63" s="566" t="n"/>
      <c r="O63" s="566" t="n"/>
      <c r="P63" s="515" t="n"/>
      <c r="Q63" s="516" t="n"/>
      <c r="R63" s="517" t="n"/>
      <c r="S63" s="517" t="n"/>
      <c r="T63" s="515" t="n"/>
      <c r="U63" s="518" t="n"/>
      <c r="V63" s="515" t="n"/>
      <c r="W63" s="516" t="n"/>
      <c r="X63" s="500" t="n"/>
      <c r="Y63" s="500" t="n"/>
      <c r="Z63" s="573" t="n"/>
      <c r="AA63" s="518" t="n"/>
    </row>
    <row r="64">
      <c r="F64" s="101" t="n"/>
      <c r="G64" s="102" t="n"/>
      <c r="H64" s="102" t="n"/>
      <c r="I64" s="103" t="n"/>
      <c r="J64" s="562" t="n"/>
      <c r="K64" s="571" t="n"/>
      <c r="L64" s="572" t="n"/>
      <c r="M64" s="572" t="n"/>
      <c r="N64" s="566" t="n"/>
      <c r="O64" s="566" t="n"/>
      <c r="P64" s="515" t="n"/>
      <c r="Q64" s="516" t="n"/>
      <c r="R64" s="517" t="n"/>
      <c r="S64" s="517" t="n"/>
      <c r="T64" s="515" t="n"/>
      <c r="U64" s="518" t="n"/>
      <c r="V64" s="515" t="n"/>
      <c r="W64" s="516" t="n"/>
      <c r="X64" s="500" t="n"/>
      <c r="Y64" s="500" t="n"/>
      <c r="Z64" s="573" t="n"/>
      <c r="AA64" s="518" t="n"/>
    </row>
    <row r="65">
      <c r="F65" s="101" t="n"/>
      <c r="G65" s="102" t="n"/>
      <c r="H65" s="102" t="n"/>
      <c r="I65" s="103" t="n"/>
      <c r="J65" s="562" t="n"/>
      <c r="K65" s="571" t="n"/>
      <c r="L65" s="572" t="n"/>
      <c r="M65" s="572" t="n"/>
      <c r="N65" s="566" t="n"/>
      <c r="O65" s="566" t="n"/>
      <c r="P65" s="515" t="n"/>
      <c r="Q65" s="516" t="n"/>
      <c r="R65" s="517" t="n"/>
      <c r="S65" s="517" t="n"/>
      <c r="T65" s="515" t="n"/>
      <c r="U65" s="518" t="n"/>
      <c r="V65" s="515" t="n"/>
      <c r="W65" s="516" t="n"/>
      <c r="X65" s="500" t="n"/>
      <c r="Y65" s="500" t="n"/>
      <c r="Z65" s="573" t="n"/>
      <c r="AA65" s="518" t="n"/>
    </row>
    <row r="66">
      <c r="F66" s="101" t="n"/>
      <c r="G66" s="102" t="n"/>
      <c r="H66" s="102" t="n"/>
      <c r="I66" s="103" t="n"/>
      <c r="J66" s="562" t="n"/>
      <c r="K66" s="571" t="n"/>
      <c r="L66" s="572" t="n"/>
      <c r="M66" s="572" t="n"/>
      <c r="N66" s="566" t="n"/>
      <c r="O66" s="566" t="n"/>
      <c r="P66" s="515" t="n"/>
      <c r="Q66" s="516" t="n"/>
      <c r="R66" s="517" t="n"/>
      <c r="S66" s="517" t="n"/>
      <c r="T66" s="515" t="n"/>
      <c r="U66" s="518" t="n"/>
      <c r="V66" s="515" t="n"/>
      <c r="W66" s="516" t="n"/>
      <c r="X66" s="500" t="n"/>
      <c r="Y66" s="500" t="n"/>
      <c r="Z66" s="573" t="n"/>
      <c r="AA66" s="518" t="n"/>
    </row>
    <row r="67">
      <c r="F67" s="101" t="n"/>
      <c r="G67" s="102" t="n"/>
      <c r="H67" s="102" t="n"/>
      <c r="I67" s="103" t="n"/>
      <c r="J67" s="562" t="n"/>
      <c r="K67" s="571" t="n"/>
      <c r="L67" s="572" t="n"/>
      <c r="M67" s="572" t="n"/>
      <c r="N67" s="566" t="n"/>
      <c r="O67" s="566" t="n"/>
      <c r="P67" s="515" t="n"/>
      <c r="Q67" s="516" t="n"/>
      <c r="R67" s="517" t="n"/>
      <c r="S67" s="517" t="n"/>
      <c r="T67" s="515" t="n"/>
      <c r="U67" s="518" t="n"/>
      <c r="V67" s="515" t="n"/>
      <c r="W67" s="516" t="n"/>
      <c r="X67" s="500" t="n"/>
      <c r="Y67" s="500" t="n"/>
      <c r="Z67" s="573" t="n"/>
      <c r="AA67" s="518" t="n"/>
    </row>
    <row r="68">
      <c r="F68" s="101" t="n"/>
      <c r="G68" s="102" t="n"/>
      <c r="H68" s="102" t="n"/>
      <c r="I68" s="103" t="n"/>
      <c r="J68" s="562" t="n"/>
      <c r="K68" s="571" t="n"/>
      <c r="L68" s="572" t="n"/>
      <c r="M68" s="572" t="n"/>
      <c r="N68" s="566" t="n"/>
      <c r="O68" s="566" t="n"/>
      <c r="P68" s="515" t="n"/>
      <c r="Q68" s="516" t="n"/>
      <c r="R68" s="517" t="n"/>
      <c r="S68" s="517" t="n"/>
      <c r="T68" s="515" t="n"/>
      <c r="U68" s="518" t="n"/>
      <c r="V68" s="515" t="n"/>
      <c r="W68" s="516" t="n"/>
      <c r="X68" s="500" t="n"/>
      <c r="Y68" s="500" t="n"/>
      <c r="Z68" s="573" t="n"/>
      <c r="AA68" s="518" t="n"/>
    </row>
    <row r="69">
      <c r="F69" s="101" t="n"/>
      <c r="G69" s="102" t="n"/>
      <c r="H69" s="102" t="n"/>
      <c r="I69" s="103" t="n"/>
      <c r="J69" s="562" t="n"/>
      <c r="K69" s="571" t="n"/>
      <c r="L69" s="572" t="n"/>
      <c r="M69" s="572" t="n"/>
      <c r="N69" s="566" t="n"/>
      <c r="O69" s="566" t="n"/>
      <c r="P69" s="515" t="n"/>
      <c r="Q69" s="516" t="n"/>
      <c r="R69" s="517" t="n"/>
      <c r="S69" s="517" t="n"/>
      <c r="T69" s="515" t="n"/>
      <c r="U69" s="518" t="n"/>
      <c r="V69" s="515" t="n"/>
      <c r="W69" s="516" t="n"/>
      <c r="X69" s="500" t="n"/>
      <c r="Y69" s="500" t="n"/>
      <c r="Z69" s="573" t="n"/>
      <c r="AA69" s="518" t="n"/>
    </row>
    <row r="70">
      <c r="F70" s="101" t="n"/>
      <c r="G70" s="102" t="n"/>
      <c r="H70" s="102" t="n"/>
      <c r="I70" s="103" t="n"/>
      <c r="J70" s="562" t="n"/>
      <c r="K70" s="571" t="n"/>
      <c r="L70" s="572" t="n"/>
      <c r="M70" s="572" t="n"/>
      <c r="N70" s="566" t="n"/>
      <c r="O70" s="566" t="n"/>
      <c r="P70" s="515" t="n"/>
      <c r="Q70" s="516" t="n"/>
      <c r="R70" s="517" t="n"/>
      <c r="S70" s="517" t="n"/>
      <c r="T70" s="515" t="n"/>
      <c r="U70" s="518" t="n"/>
      <c r="V70" s="515" t="n"/>
      <c r="W70" s="516" t="n"/>
      <c r="X70" s="500" t="n"/>
      <c r="Y70" s="500" t="n"/>
      <c r="Z70" s="573" t="n"/>
      <c r="AA70" s="518" t="n"/>
    </row>
    <row r="71">
      <c r="F71" s="101" t="n"/>
      <c r="G71" s="102" t="n"/>
      <c r="H71" s="102" t="n"/>
      <c r="I71" s="103" t="n"/>
      <c r="J71" s="562" t="n"/>
      <c r="K71" s="571" t="n"/>
      <c r="L71" s="572" t="n"/>
      <c r="M71" s="572" t="n"/>
      <c r="N71" s="566" t="n"/>
      <c r="O71" s="566" t="n"/>
      <c r="P71" s="515" t="n"/>
      <c r="Q71" s="516" t="n"/>
      <c r="R71" s="517" t="n"/>
      <c r="S71" s="517" t="n"/>
      <c r="T71" s="515" t="n"/>
      <c r="U71" s="518" t="n"/>
      <c r="V71" s="515" t="n"/>
      <c r="W71" s="516" t="n"/>
      <c r="X71" s="500" t="n"/>
      <c r="Y71" s="500" t="n"/>
      <c r="Z71" s="573" t="n"/>
      <c r="AA71" s="518" t="n"/>
    </row>
    <row r="72">
      <c r="F72" s="101" t="n"/>
      <c r="G72" s="102" t="n"/>
      <c r="H72" s="102" t="n"/>
      <c r="I72" s="103" t="n"/>
      <c r="J72" s="562" t="n"/>
      <c r="K72" s="571" t="n"/>
      <c r="L72" s="572" t="n"/>
      <c r="M72" s="572" t="n"/>
      <c r="N72" s="566" t="n"/>
      <c r="O72" s="566" t="n"/>
      <c r="P72" s="515" t="n"/>
      <c r="Q72" s="516" t="n"/>
      <c r="R72" s="517" t="n"/>
      <c r="S72" s="517" t="n"/>
      <c r="T72" s="515" t="n"/>
      <c r="U72" s="518" t="n"/>
      <c r="V72" s="515" t="n"/>
      <c r="W72" s="516" t="n"/>
      <c r="X72" s="500" t="n"/>
      <c r="Y72" s="500" t="n"/>
      <c r="Z72" s="573" t="n"/>
      <c r="AA72" s="518" t="n"/>
    </row>
    <row r="73">
      <c r="F73" s="101" t="n"/>
      <c r="G73" s="102" t="n"/>
      <c r="H73" s="102" t="n"/>
      <c r="I73" s="103" t="n"/>
      <c r="J73" s="562" t="n"/>
      <c r="K73" s="571" t="n"/>
      <c r="L73" s="572" t="n"/>
      <c r="M73" s="572" t="n"/>
      <c r="N73" s="566" t="n"/>
      <c r="O73" s="566" t="n"/>
      <c r="P73" s="515" t="n"/>
      <c r="Q73" s="516" t="n"/>
      <c r="R73" s="517" t="n"/>
      <c r="S73" s="517" t="n"/>
      <c r="T73" s="515" t="n"/>
      <c r="U73" s="518" t="n"/>
      <c r="V73" s="515" t="n"/>
      <c r="W73" s="516" t="n"/>
      <c r="X73" s="500" t="n"/>
      <c r="Y73" s="500" t="n"/>
      <c r="Z73" s="573" t="n"/>
      <c r="AA73" s="518" t="n"/>
    </row>
    <row r="74">
      <c r="F74" s="101" t="n"/>
      <c r="G74" s="102" t="n"/>
      <c r="H74" s="102" t="n"/>
      <c r="I74" s="103" t="n"/>
      <c r="J74" s="562" t="n"/>
      <c r="K74" s="571" t="n"/>
      <c r="L74" s="572" t="n"/>
      <c r="M74" s="572" t="n"/>
      <c r="N74" s="566" t="n"/>
      <c r="O74" s="566" t="n"/>
      <c r="P74" s="515" t="n"/>
      <c r="Q74" s="516" t="n"/>
      <c r="R74" s="517" t="n"/>
      <c r="S74" s="517" t="n"/>
      <c r="T74" s="515" t="n"/>
      <c r="U74" s="518" t="n"/>
      <c r="V74" s="515" t="n"/>
      <c r="W74" s="516" t="n"/>
      <c r="X74" s="500" t="n"/>
      <c r="Y74" s="500" t="n"/>
      <c r="Z74" s="573" t="n"/>
      <c r="AA74" s="518" t="n"/>
    </row>
    <row r="75">
      <c r="F75" s="101" t="n"/>
      <c r="G75" s="102" t="n"/>
      <c r="H75" s="102" t="n"/>
      <c r="I75" s="103" t="n"/>
      <c r="J75" s="562" t="n"/>
      <c r="K75" s="571" t="n"/>
      <c r="L75" s="572" t="n"/>
      <c r="M75" s="572" t="n"/>
      <c r="N75" s="566" t="n"/>
      <c r="O75" s="566" t="n"/>
      <c r="P75" s="515" t="n"/>
      <c r="Q75" s="516" t="n"/>
      <c r="R75" s="517" t="n"/>
      <c r="S75" s="517" t="n"/>
      <c r="T75" s="515" t="n"/>
      <c r="U75" s="518" t="n"/>
      <c r="V75" s="515" t="n"/>
      <c r="W75" s="516" t="n"/>
      <c r="X75" s="500" t="n"/>
      <c r="Y75" s="500" t="n"/>
      <c r="Z75" s="573" t="n"/>
      <c r="AA75" s="518" t="n"/>
    </row>
    <row r="76">
      <c r="F76" s="101" t="n"/>
      <c r="G76" s="102" t="n"/>
      <c r="H76" s="102" t="n"/>
      <c r="I76" s="103" t="n"/>
      <c r="J76" s="562" t="n"/>
      <c r="K76" s="571" t="n"/>
      <c r="L76" s="572" t="n"/>
      <c r="M76" s="572" t="n"/>
      <c r="N76" s="566" t="n"/>
      <c r="O76" s="566" t="n"/>
      <c r="P76" s="515" t="n"/>
      <c r="Q76" s="516" t="n"/>
      <c r="R76" s="517" t="n"/>
      <c r="S76" s="517" t="n"/>
      <c r="T76" s="515" t="n"/>
      <c r="U76" s="518" t="n"/>
      <c r="V76" s="515" t="n"/>
      <c r="W76" s="516" t="n"/>
      <c r="X76" s="500" t="n"/>
      <c r="Y76" s="500" t="n"/>
      <c r="Z76" s="573" t="n"/>
      <c r="AA76" s="518" t="n"/>
    </row>
    <row r="77">
      <c r="F77" s="101" t="n"/>
      <c r="G77" s="102" t="n"/>
      <c r="H77" s="102" t="n"/>
      <c r="I77" s="103" t="n"/>
      <c r="J77" s="562" t="n"/>
      <c r="K77" s="571" t="n"/>
      <c r="L77" s="572" t="n"/>
      <c r="M77" s="572" t="n"/>
      <c r="N77" s="566" t="n"/>
      <c r="O77" s="566" t="n"/>
      <c r="P77" s="515" t="n"/>
      <c r="Q77" s="516" t="n"/>
      <c r="R77" s="517" t="n"/>
      <c r="S77" s="517" t="n"/>
      <c r="T77" s="515" t="n"/>
      <c r="U77" s="518" t="n"/>
      <c r="V77" s="515" t="n"/>
      <c r="W77" s="516" t="n"/>
      <c r="X77" s="500" t="n"/>
      <c r="Y77" s="500" t="n"/>
      <c r="Z77" s="573" t="n"/>
      <c r="AA77" s="518" t="n"/>
    </row>
    <row r="78">
      <c r="F78" s="35" t="n"/>
      <c r="G78" s="36" t="n"/>
      <c r="H78" s="36" t="n"/>
      <c r="I78" s="37" t="n"/>
      <c r="J78" s="584" t="n"/>
      <c r="K78" s="585" t="n"/>
      <c r="L78" s="586" t="n"/>
      <c r="M78" s="586" t="n"/>
      <c r="N78" s="587" t="n"/>
      <c r="O78" s="587" t="n"/>
      <c r="P78" s="546" t="n"/>
      <c r="Q78" s="547" t="n"/>
      <c r="R78" s="548" t="n"/>
      <c r="S78" s="548" t="n"/>
      <c r="T78" s="546" t="n"/>
      <c r="U78" s="549" t="n"/>
      <c r="V78" s="581" t="n"/>
      <c r="W78" s="588" t="n"/>
      <c r="X78" s="589" t="n"/>
      <c r="Y78" s="589" t="n"/>
      <c r="Z78" s="590" t="n"/>
      <c r="AA78" s="549" t="n"/>
    </row>
    <row r="79">
      <c r="W79" s="500" t="n"/>
    </row>
  </sheetData>
  <pageMargins left="0.7" right="0.7" top="0.75" bottom="0.75" header="0.3" footer="0.3"/>
  <pageSetup orientation="portrait" paperSize="9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66"/>
  <sheetViews>
    <sheetView zoomScale="80" zoomScaleNormal="80" workbookViewId="0">
      <pane xSplit="2" ySplit="3" topLeftCell="C4" activePane="bottomRight" state="frozen"/>
      <selection activeCell="V39" sqref="V39"/>
      <selection pane="topRight" activeCell="V39" sqref="V39"/>
      <selection pane="bottomLeft" activeCell="V39" sqref="V39"/>
      <selection pane="bottomRight" activeCell="V39" sqref="V39"/>
    </sheetView>
  </sheetViews>
  <sheetFormatPr baseColWidth="8" defaultColWidth="9" defaultRowHeight="16.9"/>
  <cols>
    <col width="12.375" bestFit="1" customWidth="1" style="591" min="1" max="1"/>
    <col width="14" bestFit="1" customWidth="1" style="591" min="2" max="2"/>
    <col width="12.125" bestFit="1" customWidth="1" style="591" min="3" max="3"/>
    <col width="10.625" bestFit="1" customWidth="1" style="591" min="4" max="4"/>
    <col width="11.3125" bestFit="1" customWidth="1" style="591" min="5" max="5"/>
    <col width="12.125" bestFit="1" customWidth="1" style="591" min="6" max="6"/>
    <col width="40.875" bestFit="1" customWidth="1" style="591" min="7" max="7"/>
    <col width="13.5" customWidth="1" style="591" min="8" max="8"/>
    <col width="9.875" bestFit="1" customWidth="1" style="591" min="9" max="9"/>
    <col width="13.375" bestFit="1" customWidth="1" style="591" min="10" max="10"/>
    <col width="7.125" bestFit="1" customWidth="1" style="591" min="11" max="11"/>
    <col width="9" customWidth="1" style="591" min="12" max="12"/>
    <col width="9.375" bestFit="1" customWidth="1" style="591" min="13" max="13"/>
    <col width="12.375" bestFit="1" customWidth="1" style="591" min="14" max="14"/>
    <col width="9" customWidth="1" style="591" min="15" max="15"/>
    <col width="20.875" bestFit="1" customWidth="1" style="591" min="16" max="16"/>
    <col width="14.1875" bestFit="1" customWidth="1" style="591" min="17" max="17"/>
    <col width="12.125" bestFit="1" customWidth="1" style="591" min="18" max="18"/>
    <col width="10.5" bestFit="1" customWidth="1" style="591" min="19" max="19"/>
    <col width="8.375" customWidth="1" style="591" min="20" max="20"/>
    <col width="43.1875" customWidth="1" style="591" min="21" max="21"/>
    <col width="12.125" customWidth="1" style="591" min="22" max="22"/>
    <col width="1.5" customWidth="1" style="591" min="23" max="23"/>
    <col width="13.1875" customWidth="1" style="591" min="24" max="24"/>
    <col width="43.1875" bestFit="1" customWidth="1" style="591" min="25" max="25"/>
    <col width="11.6875" bestFit="1" customWidth="1" style="591" min="26" max="26"/>
    <col width="9" customWidth="1" style="591" min="27" max="16384"/>
  </cols>
  <sheetData>
    <row r="1">
      <c r="M1" s="591" t="inlineStr">
        <is>
          <t>구독기간</t>
        </is>
      </c>
      <c r="N1" s="591" t="n">
        <v>60</v>
      </c>
      <c r="R1" s="591" t="inlineStr">
        <is>
          <t>v+</t>
        </is>
      </c>
      <c r="S1" s="591" t="inlineStr">
        <is>
          <t>v-</t>
        </is>
      </c>
      <c r="U1" s="47" t="inlineStr">
        <is>
          <t>선납할인율 %</t>
        </is>
      </c>
      <c r="V1" s="61" t="n">
        <v>0.04</v>
      </c>
      <c r="Y1" s="314" t="inlineStr">
        <is>
          <t>선납할인율 %</t>
        </is>
      </c>
      <c r="Z1" s="315" t="n">
        <v>0.04</v>
      </c>
    </row>
    <row r="2">
      <c r="B2" s="591" t="inlineStr">
        <is>
          <t>리스채권</t>
        </is>
      </c>
      <c r="C2" s="659">
        <f>MIN(S3,PV(K2/12,N1,-(S2-S5-S6-S8)/N1))-S7</f>
        <v/>
      </c>
      <c r="D2" s="591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C3/N1</f>
        <v/>
      </c>
      <c r="J2" s="591" t="inlineStr">
        <is>
          <t>현할차할인율</t>
        </is>
      </c>
      <c r="K2" s="439" t="n">
        <v>0.0357</v>
      </c>
      <c r="M2" s="591" t="inlineStr">
        <is>
          <t>설치일</t>
        </is>
      </c>
      <c r="N2" s="596" t="inlineStr">
        <is>
          <t>2025-07-05</t>
        </is>
      </c>
      <c r="P2" s="2" t="n"/>
      <c r="Q2" s="2" t="n"/>
      <c r="R2" s="597" t="n">
        <v>8170800</v>
      </c>
      <c r="S2" s="598">
        <f>SUM(S3:S6)</f>
        <v/>
      </c>
      <c r="T2" s="591">
        <f>+S2/60</f>
        <v/>
      </c>
      <c r="U2" s="47" t="inlineStr">
        <is>
          <t>(계산용) 선납금 %</t>
        </is>
      </c>
      <c r="V2" s="288" t="n">
        <v>0.1</v>
      </c>
      <c r="X2" s="599" t="inlineStr">
        <is>
          <t xml:space="preserve">차후 변경시 → </t>
        </is>
      </c>
      <c r="Y2" s="50" t="inlineStr">
        <is>
          <t>(계산용) 선납금 %</t>
        </is>
      </c>
      <c r="Z2" s="288" t="n">
        <v>0.1</v>
      </c>
    </row>
    <row r="3">
      <c r="B3" s="591" t="inlineStr">
        <is>
          <t>총 순수구독료</t>
        </is>
      </c>
      <c r="C3" s="591">
        <f>(S2-S5-S6)-S7-S8</f>
        <v/>
      </c>
      <c r="D3" s="661">
        <f>SUM(D6:D66)</f>
        <v/>
      </c>
      <c r="E3" s="591" t="inlineStr">
        <is>
          <t>월 이자율</t>
        </is>
      </c>
      <c r="F3" s="601">
        <f>RATE(N1,-H2,C2,0,0)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2" t="inlineStr">
        <is>
          <t>제품</t>
        </is>
      </c>
      <c r="Q3" s="2" t="inlineStr">
        <is>
          <t>제품제공</t>
        </is>
      </c>
      <c r="R3" s="506" t="n">
        <v>5290000</v>
      </c>
      <c r="S3" s="598">
        <f>R3/1.1</f>
        <v/>
      </c>
      <c r="U3" s="47" t="inlineStr">
        <is>
          <t>(계산용) 선납금 (총 구독료 기준, V-)</t>
        </is>
      </c>
      <c r="V3" s="527">
        <f>S2*V2</f>
        <v/>
      </c>
      <c r="Y3" s="50" t="inlineStr">
        <is>
          <t>(계산용) 선납금 (총 구독료 v+ 기준, V-)</t>
        </is>
      </c>
      <c r="Z3" s="506">
        <f>R2*Z2/1.1</f>
        <v/>
      </c>
    </row>
    <row r="4">
      <c r="C4" s="606" t="inlineStr">
        <is>
          <t>기초</t>
        </is>
      </c>
      <c r="D4" s="606" t="inlineStr">
        <is>
          <t>이자수익</t>
        </is>
      </c>
      <c r="E4" s="606" t="inlineStr">
        <is>
          <t>리스료수령</t>
        </is>
      </c>
      <c r="F4" s="445" t="inlineStr">
        <is>
          <t>기말</t>
        </is>
      </c>
      <c r="P4" s="2" t="n"/>
      <c r="Q4" s="211" t="inlineStr">
        <is>
          <t>구독원가</t>
        </is>
      </c>
      <c r="R4" s="506">
        <f>R2-SUM(R3,R5:R6)</f>
        <v/>
      </c>
      <c r="S4" s="598">
        <f>R4/1.1</f>
        <v/>
      </c>
      <c r="U4" s="47" t="inlineStr">
        <is>
          <t>(계산용) 선납금 반영 총 구독료 (V-)</t>
        </is>
      </c>
      <c r="V4" s="527">
        <f>S2-V3</f>
        <v/>
      </c>
      <c r="Y4" s="50" t="inlineStr">
        <is>
          <t>(계산용) 선납금 월할 (V-)</t>
        </is>
      </c>
      <c r="Z4" s="506">
        <f>Z3/N1</f>
        <v/>
      </c>
    </row>
    <row r="5">
      <c r="A5" s="596" t="inlineStr">
        <is>
          <t>2025-07-05</t>
        </is>
      </c>
      <c r="B5" s="591" t="n">
        <v>0</v>
      </c>
      <c r="C5" s="594" t="n"/>
      <c r="D5" s="594" t="n"/>
      <c r="E5" s="594" t="n"/>
      <c r="F5" s="594">
        <f>ROUND(C2,)</f>
        <v/>
      </c>
      <c r="P5" s="2" t="inlineStr">
        <is>
          <t>서비스</t>
        </is>
      </c>
      <c r="Q5" s="2" t="inlineStr">
        <is>
          <t>가전케어/세척</t>
        </is>
      </c>
      <c r="R5" s="506">
        <f>S5*1.1</f>
        <v/>
      </c>
      <c r="S5" s="598">
        <f>6900*60</f>
        <v/>
      </c>
      <c r="U5" s="47" t="inlineStr">
        <is>
          <t>(계산용) 선납금 반영 월 구독료(V-)</t>
        </is>
      </c>
      <c r="V5" s="527">
        <f>V4/N1</f>
        <v/>
      </c>
      <c r="Y5" s="50" t="inlineStr">
        <is>
          <t>(계산용) 선납금 월할 보정 (V-)</t>
        </is>
      </c>
      <c r="Z5" s="506">
        <f>ROUND(Z4,-2)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662">
        <f>ROUND(-E6+(C2*F3*27/31-H2*27/31),0)</f>
        <v/>
      </c>
      <c r="E6" s="594">
        <f>-(ROUNDDOWN($S$11*27/31,-2)-ROUNDDOWN((S6/60)*27/31,-2)-ROUNDDOWN((S5/60)*27/31,-2))</f>
        <v/>
      </c>
      <c r="F6" s="594">
        <f>SUM(C6:E6)</f>
        <v/>
      </c>
      <c r="P6" s="2" t="n"/>
      <c r="Q6" s="2" t="inlineStr">
        <is>
          <t>보증연장</t>
        </is>
      </c>
      <c r="R6" s="506">
        <f>S6*1.1</f>
        <v/>
      </c>
      <c r="S6" s="598">
        <f>900*60</f>
        <v/>
      </c>
      <c r="U6" s="47" t="inlineStr">
        <is>
          <t>(최종) 선납금 반영 월 구독료 (V-)</t>
        </is>
      </c>
      <c r="V6" s="527">
        <f>ROUNDDOWN(V5,-2)</f>
        <v/>
      </c>
      <c r="Y6" s="50" t="inlineStr">
        <is>
          <t>(최종) 선납금 (V-)</t>
        </is>
      </c>
      <c r="Z6" s="506">
        <f>Z5*N1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n"/>
      <c r="O7" s="610" t="n"/>
      <c r="P7" s="598" t="inlineStr">
        <is>
          <t>선납</t>
        </is>
      </c>
      <c r="Q7" s="61">
        <f>V2</f>
        <v/>
      </c>
      <c r="R7" s="598">
        <f>S7*1.1</f>
        <v/>
      </c>
      <c r="S7" s="598">
        <f>Z6</f>
        <v/>
      </c>
      <c r="U7" s="47" t="inlineStr">
        <is>
          <t>(최종) 선납금 반영 총 구독료 (V-)</t>
        </is>
      </c>
      <c r="V7" s="527">
        <f>V6*N1</f>
        <v/>
      </c>
      <c r="Y7" s="50" t="inlineStr">
        <is>
          <t>(계산용) 선납 할인금 (V-)</t>
        </is>
      </c>
      <c r="Z7" s="506">
        <f>R2*Z1/1.1</f>
        <v/>
      </c>
    </row>
    <row r="8"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O8" s="613" t="n"/>
      <c r="P8" s="739" t="inlineStr">
        <is>
          <t>할인</t>
        </is>
      </c>
      <c r="Q8" s="737" t="n"/>
      <c r="R8" s="598">
        <f>S8*1.1</f>
        <v/>
      </c>
      <c r="S8" s="598">
        <f>Z10</f>
        <v/>
      </c>
      <c r="U8" s="47" t="inlineStr">
        <is>
          <t>(최종) 선납금 (V-)</t>
        </is>
      </c>
      <c r="V8" s="527">
        <f>S2-V7</f>
        <v/>
      </c>
      <c r="W8" s="591">
        <f>V8*1.1</f>
        <v/>
      </c>
      <c r="Y8" s="50" t="inlineStr">
        <is>
          <t>(계산용) 선납 할인금 월할 (V-)</t>
        </is>
      </c>
      <c r="Z8" s="598">
        <f>Z7/N1</f>
        <v/>
      </c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P9" s="598" t="inlineStr">
        <is>
          <t>선납,할인반영 구독료</t>
        </is>
      </c>
      <c r="Q9" s="598" t="n"/>
      <c r="R9" s="598">
        <f>S9*1.1</f>
        <v/>
      </c>
      <c r="S9" s="598">
        <f>Z12</f>
        <v/>
      </c>
      <c r="U9" s="63" t="inlineStr">
        <is>
          <t>(계산용) 선납 할인금 (V-)</t>
        </is>
      </c>
      <c r="V9" s="617">
        <f>+R2*V1/1.1</f>
        <v/>
      </c>
      <c r="W9" s="594" t="n"/>
      <c r="Y9" s="50" t="inlineStr">
        <is>
          <t>(계산용) 선납 할인금 월할 보정 (V-)</t>
        </is>
      </c>
      <c r="Z9" s="598">
        <f>ROUNDUP(Z8,-2)</f>
        <v/>
      </c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S10" s="591">
        <f>+S2-S7-S8</f>
        <v/>
      </c>
      <c r="U10" s="47" t="inlineStr">
        <is>
          <t>(계산용) 선납 할인금 월할 (V-)</t>
        </is>
      </c>
      <c r="V10" s="598">
        <f>V9/N1</f>
        <v/>
      </c>
      <c r="Y10" s="50" t="inlineStr">
        <is>
          <t>(최종) 선납 할인금 (V-)</t>
        </is>
      </c>
      <c r="Z10" s="608">
        <f>Z9*N1</f>
        <v/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P11" s="591" t="inlineStr">
        <is>
          <t>(최종) 선납금+선납 할인 반영 월 구독료 (V-)</t>
        </is>
      </c>
      <c r="S11" s="591">
        <f>+S9/N1</f>
        <v/>
      </c>
      <c r="U11" s="47" t="inlineStr">
        <is>
          <t>(계산용) 선납 할인금 월할 보정 (V-)</t>
        </is>
      </c>
      <c r="V11" s="598">
        <f>ROUNDUP(V10,-2)</f>
        <v/>
      </c>
      <c r="Y11" s="50" t="inlineStr">
        <is>
          <t>(최종) 선납금+선납 할인 반영 월 구독료 (V-)</t>
        </is>
      </c>
      <c r="Z11" s="608">
        <f>(S2-Z6-Z10)/N1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U12" s="47" t="inlineStr">
        <is>
          <t>(최종) 선납 할인금 (V-)</t>
        </is>
      </c>
      <c r="V12" s="608">
        <f>V11*N1</f>
        <v/>
      </c>
      <c r="W12" s="594" t="n"/>
      <c r="Y12" s="50" t="inlineStr">
        <is>
          <t>(최종) 선납금+선납 할인 반영 총 구독료 (V-)</t>
        </is>
      </c>
      <c r="Z12" s="608">
        <f>Z11*N1</f>
        <v/>
      </c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U13" s="47" t="inlineStr">
        <is>
          <t>(최종) 선납금+선납 할인 반영 월 구독료 (V-)</t>
        </is>
      </c>
      <c r="V13" s="608">
        <f>(S2-V8-V12)/N1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U14" s="47" t="inlineStr">
        <is>
          <t>(최종) 선납금+선납 할인 반영 총 구독료 (V-)</t>
        </is>
      </c>
      <c r="V14" s="608">
        <f>V13*N1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X16" s="495" t="n"/>
      <c r="Y16" s="500" t="n"/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X17" s="495" t="n"/>
      <c r="Y17" s="500" t="n"/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X18" s="495" t="n"/>
      <c r="Y18" s="500" t="n"/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X19" s="495" t="n"/>
      <c r="Y19" s="500" t="n"/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Y20" s="500" t="n"/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X21" s="495" t="n"/>
      <c r="Y21" s="618" t="n"/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X22" s="495" t="n"/>
    </row>
    <row r="23"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X23" s="495" t="n"/>
    </row>
    <row r="24"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X24" s="495" t="n"/>
      <c r="Y24" s="618" t="n"/>
    </row>
    <row r="25"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X25" s="495" t="n"/>
      <c r="Y25" s="618" t="n"/>
    </row>
    <row r="26"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X26" s="495" t="n"/>
      <c r="Y26" s="618" t="n"/>
    </row>
    <row r="27"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</row>
    <row r="28">
      <c r="B28" s="591">
        <f>B27+1</f>
        <v/>
      </c>
      <c r="C28" s="594">
        <f>F27</f>
        <v/>
      </c>
      <c r="D28" s="594">
        <f>ROUND(C28*$F$3,)</f>
        <v/>
      </c>
      <c r="E28" s="594">
        <f>-$H$2</f>
        <v/>
      </c>
      <c r="F28" s="594">
        <f>SUM(C28:E28)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  <c r="G65" s="591" t="inlineStr">
        <is>
          <t>* 막달 마이너스 이자수익 발생 방지를 위한 조정 적용</t>
        </is>
      </c>
    </row>
    <row r="66">
      <c r="B66" s="591" t="n">
        <v>61</v>
      </c>
      <c r="C66" s="594">
        <f>F65</f>
        <v/>
      </c>
      <c r="D66" s="662">
        <f>C66*$F$3-(C66+C66*$F$3+E66)</f>
        <v/>
      </c>
      <c r="E66" s="594">
        <f>-$H$2-E6</f>
        <v/>
      </c>
      <c r="F66" s="594">
        <f>SUM(C66:E66)</f>
        <v/>
      </c>
    </row>
  </sheetData>
  <mergeCells count="1">
    <mergeCell ref="P8:Q8"/>
  </mergeCells>
  <pageMargins left="0.7" right="0.7" top="0.75" bottom="0.75" header="0.3" footer="0.3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2:T78"/>
  <sheetViews>
    <sheetView showGridLines="0" zoomScale="70" zoomScaleNormal="70" workbookViewId="0">
      <selection activeCell="V39" sqref="V39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.375" bestFit="1" customWidth="1" style="497" min="10" max="11"/>
    <col width="12.125" bestFit="1" customWidth="1" style="497" min="12" max="12"/>
    <col width="10.5" bestFit="1" customWidth="1" style="497" min="13" max="13"/>
    <col width="12.125" bestFit="1" customWidth="1" style="497" min="14" max="16"/>
    <col width="10.5" bestFit="1" customWidth="1" style="497" min="17" max="17"/>
    <col width="25.625" bestFit="1" customWidth="1" style="497" min="19" max="19"/>
    <col width="12.125" bestFit="1" customWidth="1" style="497" min="20" max="20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단품할인 시 (v-)</t>
        </is>
      </c>
      <c r="O3" s="76" t="n"/>
      <c r="P3" s="76" t="n"/>
      <c r="Q3" s="76" t="n"/>
      <c r="S3" s="9" t="inlineStr">
        <is>
          <t>고객노출 기본 구독료 (v+)</t>
        </is>
      </c>
      <c r="T3" s="506">
        <f>C15*1.1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S4" s="9" t="inlineStr">
        <is>
          <t>단품할인금 월할 (v+)</t>
        </is>
      </c>
      <c r="T4" s="506">
        <f>C22*1.1/C7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15">
        <f>ROUNDDOWN(($C$25/$C$7)*(H5-G5+1)/DAY(H5),-2)</f>
        <v/>
      </c>
      <c r="O5" s="516">
        <f>N5-P5-Q5</f>
        <v/>
      </c>
      <c r="P5" s="500">
        <f>L5</f>
        <v/>
      </c>
      <c r="Q5" s="519">
        <f>M5</f>
        <v/>
      </c>
      <c r="S5" s="9" t="inlineStr">
        <is>
          <t>할인적용시 최종 납부금 (v+)</t>
        </is>
      </c>
      <c r="T5" s="527">
        <f>T3-T4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$C$24</f>
        <v/>
      </c>
      <c r="O6" s="516">
        <f>N6-P6-Q6</f>
        <v/>
      </c>
      <c r="P6" s="500">
        <f>L6</f>
        <v/>
      </c>
      <c r="Q6" s="519">
        <f>M6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$C$24</f>
        <v/>
      </c>
      <c r="O7" s="516">
        <f>N7-P7-Q7</f>
        <v/>
      </c>
      <c r="P7" s="500">
        <f>L7</f>
        <v/>
      </c>
      <c r="Q7" s="519">
        <f>M7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$C$24</f>
        <v/>
      </c>
      <c r="O8" s="516">
        <f>N8-P8-Q8</f>
        <v/>
      </c>
      <c r="P8" s="500">
        <f>L8</f>
        <v/>
      </c>
      <c r="Q8" s="519">
        <f>M8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$C$24</f>
        <v/>
      </c>
      <c r="O9" s="516">
        <f>N9-P9-Q9</f>
        <v/>
      </c>
      <c r="P9" s="500">
        <f>L9</f>
        <v/>
      </c>
      <c r="Q9" s="519">
        <f>M9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$C$24</f>
        <v/>
      </c>
      <c r="O10" s="516">
        <f>N10-P10-Q10</f>
        <v/>
      </c>
      <c r="P10" s="500">
        <f>L10</f>
        <v/>
      </c>
      <c r="Q10" s="519">
        <f>M10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$C$24</f>
        <v/>
      </c>
      <c r="O11" s="516">
        <f>N11-P11-Q11</f>
        <v/>
      </c>
      <c r="P11" s="500">
        <f>L11</f>
        <v/>
      </c>
      <c r="Q11" s="519">
        <f>M11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$C$24</f>
        <v/>
      </c>
      <c r="O12" s="516">
        <f>N12-P12-Q12</f>
        <v/>
      </c>
      <c r="P12" s="500">
        <f>L12</f>
        <v/>
      </c>
      <c r="Q12" s="519">
        <f>M12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$C$24</f>
        <v/>
      </c>
      <c r="O13" s="516">
        <f>N13-P13-Q13</f>
        <v/>
      </c>
      <c r="P13" s="500">
        <f>L13</f>
        <v/>
      </c>
      <c r="Q13" s="519">
        <f>M13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$C$24</f>
        <v/>
      </c>
      <c r="O14" s="516">
        <f>N14-P14-Q14</f>
        <v/>
      </c>
      <c r="P14" s="500">
        <f>L14</f>
        <v/>
      </c>
      <c r="Q14" s="519">
        <f>M14</f>
        <v/>
      </c>
    </row>
    <row r="15">
      <c r="B15" s="9" t="inlineStr">
        <is>
          <t>월구독료(v-)</t>
        </is>
      </c>
      <c r="C15" s="526" t="n">
        <v>163300</v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$C$24</f>
        <v/>
      </c>
      <c r="O15" s="516">
        <f>N15-P15-Q15</f>
        <v/>
      </c>
      <c r="P15" s="500">
        <f>L15</f>
        <v/>
      </c>
      <c r="Q15" s="519">
        <f>M15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$C$24</f>
        <v/>
      </c>
      <c r="O16" s="516">
        <f>N16-P16-Q16</f>
        <v/>
      </c>
      <c r="P16" s="500">
        <f>L16</f>
        <v/>
      </c>
      <c r="Q16" s="519">
        <f>M16</f>
        <v/>
      </c>
    </row>
    <row r="17" ht="17.25" customHeight="1" s="497" thickBot="1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$C$24</f>
        <v/>
      </c>
      <c r="O17" s="516">
        <f>N17-P17-Q17</f>
        <v/>
      </c>
      <c r="P17" s="500">
        <f>L17</f>
        <v/>
      </c>
      <c r="Q17" s="519">
        <f>M17</f>
        <v/>
      </c>
    </row>
    <row r="18" ht="17.45" customHeight="1" s="497">
      <c r="A18" s="176" t="n"/>
      <c r="B18" s="296" t="inlineStr">
        <is>
          <t>(계산용) 단품 할인금 (V+)</t>
        </is>
      </c>
      <c r="C18" s="576">
        <f>C16*5%</f>
        <v/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$C$24</f>
        <v/>
      </c>
      <c r="O18" s="516">
        <f>N18-P18-Q18</f>
        <v/>
      </c>
      <c r="P18" s="500">
        <f>L18</f>
        <v/>
      </c>
      <c r="Q18" s="519">
        <f>M18</f>
        <v/>
      </c>
    </row>
    <row r="19">
      <c r="A19" s="176" t="n"/>
      <c r="B19" s="298" t="inlineStr">
        <is>
          <t>(계산용) 단품 할인금 (V-)</t>
        </is>
      </c>
      <c r="C19" s="578">
        <f>+C18/1.1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$C$24</f>
        <v/>
      </c>
      <c r="O19" s="516">
        <f>N19-P19-Q19</f>
        <v/>
      </c>
      <c r="P19" s="500">
        <f>L19</f>
        <v/>
      </c>
      <c r="Q19" s="519">
        <f>M19</f>
        <v/>
      </c>
    </row>
    <row r="20">
      <c r="A20" s="176" t="n"/>
      <c r="B20" s="298" t="inlineStr">
        <is>
          <t>(계산용) 단품 월할인금 (V-)</t>
        </is>
      </c>
      <c r="C20" s="579">
        <f>+ROUNDUP(C19/C7,-2)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$C$24</f>
        <v/>
      </c>
      <c r="O20" s="516">
        <f>N20-P20-Q20</f>
        <v/>
      </c>
      <c r="P20" s="500">
        <f>L20</f>
        <v/>
      </c>
      <c r="Q20" s="519">
        <f>M20</f>
        <v/>
      </c>
    </row>
    <row r="21" ht="17.25" customHeight="1" s="497" thickBot="1">
      <c r="A21" s="176" t="n"/>
      <c r="B21" s="301" t="inlineStr">
        <is>
          <t>(계산용) 단품 월할인금 (V+)</t>
        </is>
      </c>
      <c r="C21" s="580">
        <f>+C20*1.1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$C$24</f>
        <v/>
      </c>
      <c r="O21" s="516">
        <f>N21-P21-Q21</f>
        <v/>
      </c>
      <c r="P21" s="500">
        <f>L21</f>
        <v/>
      </c>
      <c r="Q21" s="519">
        <f>M21</f>
        <v/>
      </c>
    </row>
    <row r="22">
      <c r="A22" s="176" t="n"/>
      <c r="B22" s="265" t="inlineStr">
        <is>
          <t>(최종) 단품 할인금 (V-)</t>
        </is>
      </c>
      <c r="C22" s="506">
        <f>+C20*C7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$C$24</f>
        <v/>
      </c>
      <c r="O22" s="516">
        <f>N22-P22-Q22</f>
        <v/>
      </c>
      <c r="P22" s="500">
        <f>L22</f>
        <v/>
      </c>
      <c r="Q22" s="519">
        <f>M22</f>
        <v/>
      </c>
    </row>
    <row r="23" ht="17.25" customHeight="1" s="497" thickBot="1">
      <c r="A23" s="176" t="n"/>
      <c r="B23" s="9" t="inlineStr">
        <is>
          <t>(최종) 단품 할인금 (V+)</t>
        </is>
      </c>
      <c r="C23" s="506">
        <f>+C21*C7</f>
        <v/>
      </c>
      <c r="D23" s="658">
        <f>+C23/C16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$C$24</f>
        <v/>
      </c>
      <c r="O23" s="516">
        <f>N23-P23-Q23</f>
        <v/>
      </c>
      <c r="P23" s="500">
        <f>L23</f>
        <v/>
      </c>
      <c r="Q23" s="519">
        <f>M23</f>
        <v/>
      </c>
    </row>
    <row r="24">
      <c r="B24" s="293" t="inlineStr">
        <is>
          <t>(최종) 단품 할인 반영 월 구독료 (V-)</t>
        </is>
      </c>
      <c r="C24" s="536">
        <f>+(C14-C22)/C7</f>
        <v/>
      </c>
      <c r="D24" s="500" t="n"/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$C$24</f>
        <v/>
      </c>
      <c r="O24" s="516">
        <f>N24-P24-Q24</f>
        <v/>
      </c>
      <c r="P24" s="500">
        <f>L24</f>
        <v/>
      </c>
      <c r="Q24" s="519">
        <f>M24</f>
        <v/>
      </c>
    </row>
    <row r="25" ht="17.25" customHeight="1" s="497" thickBot="1">
      <c r="B25" s="294" t="inlineStr">
        <is>
          <t>(최종) 단품 할인 반영 총 구독료 (V-)</t>
        </is>
      </c>
      <c r="C25" s="537">
        <f>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$C$24</f>
        <v/>
      </c>
      <c r="O25" s="516">
        <f>N25-P25-Q25</f>
        <v/>
      </c>
      <c r="P25" s="500">
        <f>L25</f>
        <v/>
      </c>
      <c r="Q25" s="519">
        <f>M25</f>
        <v/>
      </c>
    </row>
    <row r="26">
      <c r="B26" s="295" t="inlineStr">
        <is>
          <t>(최종) 단품 할인 반영 월 구독료 (V+)</t>
        </is>
      </c>
      <c r="C26" s="538">
        <f>+(C16-C23)/C7</f>
        <v/>
      </c>
      <c r="D26" s="505" t="n"/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$C$24</f>
        <v/>
      </c>
      <c r="O26" s="516">
        <f>N26-P26-Q26</f>
        <v/>
      </c>
      <c r="P26" s="500">
        <f>L26</f>
        <v/>
      </c>
      <c r="Q26" s="519">
        <f>M26</f>
        <v/>
      </c>
    </row>
    <row r="27" ht="17.25" customHeight="1" s="497" thickBot="1">
      <c r="A27" s="176" t="n"/>
      <c r="B27" s="294" t="inlineStr">
        <is>
          <t>(최종) 단품 할인 반영 총 구독료 (V+)</t>
        </is>
      </c>
      <c r="C27" s="537">
        <f>C26*C7</f>
        <v/>
      </c>
      <c r="D27" s="505" t="n"/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$C$24</f>
        <v/>
      </c>
      <c r="O27" s="516">
        <f>N27-P27-Q27</f>
        <v/>
      </c>
      <c r="P27" s="500">
        <f>L27</f>
        <v/>
      </c>
      <c r="Q27" s="519">
        <f>M27</f>
        <v/>
      </c>
    </row>
    <row r="28">
      <c r="C28" s="505" t="n"/>
      <c r="D28" s="500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$C$24</f>
        <v/>
      </c>
      <c r="O28" s="516">
        <f>N28-P28-Q28</f>
        <v/>
      </c>
      <c r="P28" s="500">
        <f>L28</f>
        <v/>
      </c>
      <c r="Q28" s="519">
        <f>M28</f>
        <v/>
      </c>
    </row>
    <row r="29">
      <c r="B29" s="9" t="inlineStr">
        <is>
          <t>단품 할인 반영 순수 구독료 (V-)</t>
        </is>
      </c>
      <c r="C29" s="506">
        <f>C25-C11-C12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$C$24</f>
        <v/>
      </c>
      <c r="O29" s="516">
        <f>N29-P29-Q29</f>
        <v/>
      </c>
      <c r="P29" s="500">
        <f>L29</f>
        <v/>
      </c>
      <c r="Q29" s="519">
        <f>M29</f>
        <v/>
      </c>
    </row>
    <row r="30">
      <c r="B30" s="9" t="inlineStr">
        <is>
          <t>단품 할인 반영 순수 구독료 월할 (V-)</t>
        </is>
      </c>
      <c r="C30" s="506">
        <f>C29/C7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$C$24</f>
        <v/>
      </c>
      <c r="O30" s="516">
        <f>N30-P30-Q30</f>
        <v/>
      </c>
      <c r="P30" s="500">
        <f>L30</f>
        <v/>
      </c>
      <c r="Q30" s="519">
        <f>M30</f>
        <v/>
      </c>
    </row>
    <row r="31"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$C$24</f>
        <v/>
      </c>
      <c r="O31" s="516">
        <f>N31-P31-Q31</f>
        <v/>
      </c>
      <c r="P31" s="500">
        <f>L31</f>
        <v/>
      </c>
      <c r="Q31" s="519">
        <f>M31</f>
        <v/>
      </c>
    </row>
    <row r="32">
      <c r="C32" s="505">
        <f>(C15*1.1)*5%/1.1</f>
        <v/>
      </c>
      <c r="D32" s="505">
        <f>C22*1.1=C23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$C$24</f>
        <v/>
      </c>
      <c r="O32" s="516">
        <f>N32-P32-Q32</f>
        <v/>
      </c>
      <c r="P32" s="500">
        <f>L32</f>
        <v/>
      </c>
      <c r="Q32" s="519">
        <f>M32</f>
        <v/>
      </c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$C$24</f>
        <v/>
      </c>
      <c r="O33" s="516">
        <f>N33-P33-Q33</f>
        <v/>
      </c>
      <c r="P33" s="500">
        <f>L33</f>
        <v/>
      </c>
      <c r="Q33" s="519">
        <f>M33</f>
        <v/>
      </c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$C$24</f>
        <v/>
      </c>
      <c r="O34" s="516">
        <f>N34-P34-Q34</f>
        <v/>
      </c>
      <c r="P34" s="500">
        <f>L34</f>
        <v/>
      </c>
      <c r="Q34" s="519">
        <f>M34</f>
        <v/>
      </c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$C$24</f>
        <v/>
      </c>
      <c r="O35" s="516">
        <f>N35-P35-Q35</f>
        <v/>
      </c>
      <c r="P35" s="500">
        <f>L35</f>
        <v/>
      </c>
      <c r="Q35" s="519">
        <f>M35</f>
        <v/>
      </c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$C$24</f>
        <v/>
      </c>
      <c r="O36" s="516">
        <f>N36-P36-Q36</f>
        <v/>
      </c>
      <c r="P36" s="500">
        <f>L36</f>
        <v/>
      </c>
      <c r="Q36" s="519">
        <f>M36</f>
        <v/>
      </c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$C$24</f>
        <v/>
      </c>
      <c r="O37" s="516">
        <f>N37-P37-Q37</f>
        <v/>
      </c>
      <c r="P37" s="500">
        <f>L37</f>
        <v/>
      </c>
      <c r="Q37" s="519">
        <f>M37</f>
        <v/>
      </c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$C$24</f>
        <v/>
      </c>
      <c r="O38" s="516">
        <f>N38-P38-Q38</f>
        <v/>
      </c>
      <c r="P38" s="500">
        <f>L38</f>
        <v/>
      </c>
      <c r="Q38" s="519">
        <f>M38</f>
        <v/>
      </c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$C$24</f>
        <v/>
      </c>
      <c r="O39" s="516">
        <f>N39-P39-Q39</f>
        <v/>
      </c>
      <c r="P39" s="500">
        <f>L39</f>
        <v/>
      </c>
      <c r="Q39" s="519">
        <f>M39</f>
        <v/>
      </c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$C$24</f>
        <v/>
      </c>
      <c r="O40" s="516">
        <f>N40-P40-Q40</f>
        <v/>
      </c>
      <c r="P40" s="500">
        <f>L40</f>
        <v/>
      </c>
      <c r="Q40" s="519">
        <f>M40</f>
        <v/>
      </c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$C$24</f>
        <v/>
      </c>
      <c r="O41" s="516">
        <f>N41-P41-Q41</f>
        <v/>
      </c>
      <c r="P41" s="500">
        <f>L41</f>
        <v/>
      </c>
      <c r="Q41" s="519">
        <f>M41</f>
        <v/>
      </c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$C$24</f>
        <v/>
      </c>
      <c r="O42" s="516">
        <f>N42-P42-Q42</f>
        <v/>
      </c>
      <c r="P42" s="500">
        <f>L42</f>
        <v/>
      </c>
      <c r="Q42" s="519">
        <f>M42</f>
        <v/>
      </c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$C$24</f>
        <v/>
      </c>
      <c r="O43" s="516">
        <f>N43-P43-Q43</f>
        <v/>
      </c>
      <c r="P43" s="500">
        <f>L43</f>
        <v/>
      </c>
      <c r="Q43" s="519">
        <f>M43</f>
        <v/>
      </c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$C$24</f>
        <v/>
      </c>
      <c r="O44" s="516">
        <f>N44-P44-Q44</f>
        <v/>
      </c>
      <c r="P44" s="500">
        <f>L44</f>
        <v/>
      </c>
      <c r="Q44" s="519">
        <f>M44</f>
        <v/>
      </c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$C$24</f>
        <v/>
      </c>
      <c r="O45" s="516">
        <f>N45-P45-Q45</f>
        <v/>
      </c>
      <c r="P45" s="500">
        <f>L45</f>
        <v/>
      </c>
      <c r="Q45" s="519">
        <f>M45</f>
        <v/>
      </c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$C$24</f>
        <v/>
      </c>
      <c r="O46" s="516">
        <f>N46-P46-Q46</f>
        <v/>
      </c>
      <c r="P46" s="500">
        <f>L46</f>
        <v/>
      </c>
      <c r="Q46" s="519">
        <f>M46</f>
        <v/>
      </c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$C$24</f>
        <v/>
      </c>
      <c r="O47" s="516">
        <f>N47-P47-Q47</f>
        <v/>
      </c>
      <c r="P47" s="500">
        <f>L47</f>
        <v/>
      </c>
      <c r="Q47" s="519">
        <f>M47</f>
        <v/>
      </c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$C$24</f>
        <v/>
      </c>
      <c r="O48" s="516">
        <f>N48-P48-Q48</f>
        <v/>
      </c>
      <c r="P48" s="500">
        <f>L48</f>
        <v/>
      </c>
      <c r="Q48" s="519">
        <f>M48</f>
        <v/>
      </c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$C$24</f>
        <v/>
      </c>
      <c r="O49" s="516">
        <f>N49-P49-Q49</f>
        <v/>
      </c>
      <c r="P49" s="500">
        <f>L49</f>
        <v/>
      </c>
      <c r="Q49" s="519">
        <f>M49</f>
        <v/>
      </c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$C$24</f>
        <v/>
      </c>
      <c r="O50" s="516">
        <f>N50-P50-Q50</f>
        <v/>
      </c>
      <c r="P50" s="500">
        <f>L50</f>
        <v/>
      </c>
      <c r="Q50" s="519">
        <f>M50</f>
        <v/>
      </c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$C$24</f>
        <v/>
      </c>
      <c r="O51" s="516">
        <f>N51-P51-Q51</f>
        <v/>
      </c>
      <c r="P51" s="500">
        <f>L51</f>
        <v/>
      </c>
      <c r="Q51" s="519">
        <f>M51</f>
        <v/>
      </c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$C$24</f>
        <v/>
      </c>
      <c r="O52" s="516">
        <f>N52-P52-Q52</f>
        <v/>
      </c>
      <c r="P52" s="500">
        <f>L52</f>
        <v/>
      </c>
      <c r="Q52" s="519">
        <f>M52</f>
        <v/>
      </c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$C$24</f>
        <v/>
      </c>
      <c r="O53" s="516">
        <f>N53-P53-Q53</f>
        <v/>
      </c>
      <c r="P53" s="500">
        <f>L53</f>
        <v/>
      </c>
      <c r="Q53" s="519">
        <f>M53</f>
        <v/>
      </c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$C$24</f>
        <v/>
      </c>
      <c r="O54" s="516">
        <f>N54-P54-Q54</f>
        <v/>
      </c>
      <c r="P54" s="500">
        <f>L54</f>
        <v/>
      </c>
      <c r="Q54" s="519">
        <f>M54</f>
        <v/>
      </c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$C$24</f>
        <v/>
      </c>
      <c r="O55" s="516">
        <f>N55-P55-Q55</f>
        <v/>
      </c>
      <c r="P55" s="500">
        <f>L55</f>
        <v/>
      </c>
      <c r="Q55" s="519">
        <f>M55</f>
        <v/>
      </c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$C$24</f>
        <v/>
      </c>
      <c r="O56" s="516">
        <f>N56-P56-Q56</f>
        <v/>
      </c>
      <c r="P56" s="500">
        <f>L56</f>
        <v/>
      </c>
      <c r="Q56" s="519">
        <f>M56</f>
        <v/>
      </c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$C$24</f>
        <v/>
      </c>
      <c r="O57" s="516">
        <f>N57-P57-Q57</f>
        <v/>
      </c>
      <c r="P57" s="500">
        <f>L57</f>
        <v/>
      </c>
      <c r="Q57" s="519">
        <f>M57</f>
        <v/>
      </c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$C$24</f>
        <v/>
      </c>
      <c r="O58" s="516">
        <f>N58-P58-Q58</f>
        <v/>
      </c>
      <c r="P58" s="500">
        <f>L58</f>
        <v/>
      </c>
      <c r="Q58" s="519">
        <f>M58</f>
        <v/>
      </c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$C$24</f>
        <v/>
      </c>
      <c r="O59" s="516">
        <f>N59-P59-Q59</f>
        <v/>
      </c>
      <c r="P59" s="500">
        <f>L59</f>
        <v/>
      </c>
      <c r="Q59" s="519">
        <f>M59</f>
        <v/>
      </c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$C$24</f>
        <v/>
      </c>
      <c r="O60" s="516">
        <f>N60-P60-Q60</f>
        <v/>
      </c>
      <c r="P60" s="500">
        <f>L60</f>
        <v/>
      </c>
      <c r="Q60" s="519">
        <f>M60</f>
        <v/>
      </c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$C$24</f>
        <v/>
      </c>
      <c r="O61" s="516">
        <f>N61-P61-Q61</f>
        <v/>
      </c>
      <c r="P61" s="500">
        <f>L61</f>
        <v/>
      </c>
      <c r="Q61" s="519">
        <f>M61</f>
        <v/>
      </c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$C$24</f>
        <v/>
      </c>
      <c r="O62" s="516">
        <f>N62-P62-Q62</f>
        <v/>
      </c>
      <c r="P62" s="500">
        <f>L62</f>
        <v/>
      </c>
      <c r="Q62" s="519">
        <f>M62</f>
        <v/>
      </c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$C$24</f>
        <v/>
      </c>
      <c r="O63" s="516">
        <f>N63-P63-Q63</f>
        <v/>
      </c>
      <c r="P63" s="500">
        <f>L63</f>
        <v/>
      </c>
      <c r="Q63" s="519">
        <f>M63</f>
        <v/>
      </c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$C$24</f>
        <v/>
      </c>
      <c r="O64" s="516">
        <f>N64-P64-Q64</f>
        <v/>
      </c>
      <c r="P64" s="500">
        <f>L64</f>
        <v/>
      </c>
      <c r="Q64" s="519">
        <f>M64</f>
        <v/>
      </c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$C$24</f>
        <v/>
      </c>
      <c r="O65" s="516">
        <f>N65-P65-Q65</f>
        <v/>
      </c>
      <c r="P65" s="500">
        <f>L65</f>
        <v/>
      </c>
      <c r="Q65" s="519">
        <f>M65</f>
        <v/>
      </c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$C$24</f>
        <v/>
      </c>
      <c r="O66" s="516">
        <f>N66-P66-Q66</f>
        <v/>
      </c>
      <c r="P66" s="500">
        <f>L66</f>
        <v/>
      </c>
      <c r="Q66" s="519">
        <f>M66</f>
        <v/>
      </c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$C$24</f>
        <v/>
      </c>
      <c r="O67" s="516">
        <f>N67-P67-Q67</f>
        <v/>
      </c>
      <c r="P67" s="500">
        <f>L67</f>
        <v/>
      </c>
      <c r="Q67" s="519">
        <f>M67</f>
        <v/>
      </c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$C$24</f>
        <v/>
      </c>
      <c r="O68" s="516">
        <f>N68-P68-Q68</f>
        <v/>
      </c>
      <c r="P68" s="500">
        <f>L68</f>
        <v/>
      </c>
      <c r="Q68" s="519">
        <f>M68</f>
        <v/>
      </c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$C$24</f>
        <v/>
      </c>
      <c r="O69" s="516">
        <f>N69-P69-Q69</f>
        <v/>
      </c>
      <c r="P69" s="500">
        <f>L69</f>
        <v/>
      </c>
      <c r="Q69" s="519">
        <f>M69</f>
        <v/>
      </c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$C$24</f>
        <v/>
      </c>
      <c r="O70" s="516">
        <f>N70-P70-Q70</f>
        <v/>
      </c>
      <c r="P70" s="500">
        <f>L70</f>
        <v/>
      </c>
      <c r="Q70" s="519">
        <f>M70</f>
        <v/>
      </c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$C$24</f>
        <v/>
      </c>
      <c r="O71" s="516">
        <f>N71-P71-Q71</f>
        <v/>
      </c>
      <c r="P71" s="500">
        <f>L71</f>
        <v/>
      </c>
      <c r="Q71" s="519">
        <f>M71</f>
        <v/>
      </c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$C$24</f>
        <v/>
      </c>
      <c r="O72" s="516">
        <f>N72-P72-Q72</f>
        <v/>
      </c>
      <c r="P72" s="500">
        <f>L72</f>
        <v/>
      </c>
      <c r="Q72" s="519">
        <f>M72</f>
        <v/>
      </c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$C$24</f>
        <v/>
      </c>
      <c r="O73" s="516">
        <f>N73-P73-Q73</f>
        <v/>
      </c>
      <c r="P73" s="500">
        <f>L73</f>
        <v/>
      </c>
      <c r="Q73" s="519">
        <f>M73</f>
        <v/>
      </c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$C$24</f>
        <v/>
      </c>
      <c r="O74" s="516">
        <f>N74-P74-Q74</f>
        <v/>
      </c>
      <c r="P74" s="500">
        <f>L74</f>
        <v/>
      </c>
      <c r="Q74" s="519">
        <f>M74</f>
        <v/>
      </c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$C$24</f>
        <v/>
      </c>
      <c r="O75" s="516">
        <f>N75-P75-Q75</f>
        <v/>
      </c>
      <c r="P75" s="500">
        <f>L75</f>
        <v/>
      </c>
      <c r="Q75" s="519">
        <f>M75</f>
        <v/>
      </c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$C$24</f>
        <v/>
      </c>
      <c r="O76" s="516">
        <f>N76-P76-Q76</f>
        <v/>
      </c>
      <c r="P76" s="500">
        <f>L76</f>
        <v/>
      </c>
      <c r="Q76" s="519">
        <f>M76</f>
        <v/>
      </c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81">
        <f>$C$24-N5</f>
        <v/>
      </c>
      <c r="O77" s="588">
        <f>N77-P77-Q77</f>
        <v/>
      </c>
      <c r="P77" s="589">
        <f>L77</f>
        <v/>
      </c>
      <c r="Q77" s="642">
        <f>M77</f>
        <v/>
      </c>
    </row>
    <row r="78">
      <c r="O78" s="500" t="n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D79"/>
  <sheetViews>
    <sheetView showGridLines="0" zoomScale="70" zoomScaleNormal="70" workbookViewId="0">
      <selection activeCell="V39" sqref="V39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hidden="1" width="13.375" customWidth="1" style="224" min="10" max="11"/>
    <col hidden="1" width="12.125" customWidth="1" style="224" min="12" max="12"/>
    <col hidden="1" width="10.5" customWidth="1" style="224" min="13" max="14"/>
    <col hidden="1" width="12.125" customWidth="1" style="224" min="15" max="15"/>
    <col width="20" bestFit="1" customWidth="1" style="497" min="16" max="16"/>
    <col width="13.375" bestFit="1" customWidth="1" style="497" min="17" max="17"/>
    <col width="12.125" bestFit="1" customWidth="1" style="497" min="18" max="18"/>
    <col width="10.5" bestFit="1" customWidth="1" style="497" min="19" max="19"/>
    <col width="10.5" customWidth="1" style="497" min="20" max="20"/>
    <col width="12.125" bestFit="1" customWidth="1" style="497" min="21" max="21"/>
    <col width="20" bestFit="1" customWidth="1" style="497" min="22" max="22"/>
    <col width="12.125" customWidth="1" style="497" min="23" max="24"/>
    <col width="10.5" customWidth="1" style="497" min="25" max="26"/>
    <col width="13.125" customWidth="1" style="497" min="27" max="27"/>
    <col width="25.625" bestFit="1" customWidth="1" style="497" min="29" max="29"/>
    <col width="12.125" bestFit="1" customWidth="1" style="497" min="30" max="30"/>
  </cols>
  <sheetData>
    <row r="1">
      <c r="I1" s="552" t="n"/>
      <c r="J1" s="244" t="n"/>
      <c r="K1" s="245" t="n"/>
      <c r="L1" s="245" t="n"/>
      <c r="M1" s="245" t="n"/>
      <c r="N1" s="245" t="n"/>
      <c r="O1" s="553" t="n"/>
      <c r="P1" s="505">
        <f>P2=C20/1.1</f>
        <v/>
      </c>
      <c r="Q1" s="505" t="n"/>
      <c r="R1" s="505" t="n"/>
      <c r="S1" s="505" t="n"/>
      <c r="T1" s="500" t="n"/>
      <c r="U1" s="505" t="n"/>
      <c r="V1" s="206">
        <f>V2=C35/1.1</f>
        <v/>
      </c>
    </row>
    <row r="2">
      <c r="I2" s="8" t="inlineStr">
        <is>
          <t>SUM =</t>
        </is>
      </c>
      <c r="J2" s="554">
        <f>SUM(J6:J78)</f>
        <v/>
      </c>
      <c r="K2" s="554">
        <f>SUM(K6:K78)</f>
        <v/>
      </c>
      <c r="L2" s="554">
        <f>SUM(L6:L78)</f>
        <v/>
      </c>
      <c r="M2" s="554">
        <f>SUM(M6:M78)</f>
        <v/>
      </c>
      <c r="N2" s="554">
        <f>SUM(N6:N78)</f>
        <v/>
      </c>
      <c r="O2" s="554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V2" s="500">
        <f>SUM(V6:V78)</f>
        <v/>
      </c>
      <c r="W2" s="500">
        <f>SUM(W6:W78)</f>
        <v/>
      </c>
      <c r="X2" s="500">
        <f>SUM(X6:X78)</f>
        <v/>
      </c>
      <c r="Y2" s="500">
        <f>SUM(Y6:Y78)</f>
        <v/>
      </c>
      <c r="Z2" s="500">
        <f>SUM(Z6:Z78)</f>
        <v/>
      </c>
      <c r="AA2" s="500">
        <f>SUM(AA6:AA78)</f>
        <v/>
      </c>
    </row>
    <row r="3">
      <c r="I3" s="8" t="n"/>
      <c r="J3" s="555" t="inlineStr">
        <is>
          <t>기본 (v-)</t>
        </is>
      </c>
      <c r="K3" s="556" t="n"/>
      <c r="L3" s="556" t="n"/>
      <c r="M3" s="557" t="n"/>
      <c r="N3" s="556" t="n"/>
      <c r="O3" s="556" t="n"/>
      <c r="P3" s="501" t="inlineStr">
        <is>
          <t>기본 (v-)</t>
        </is>
      </c>
      <c r="Q3" s="502" t="n"/>
      <c r="R3" s="502" t="n"/>
      <c r="S3" s="503" t="n"/>
      <c r="T3" s="502" t="n"/>
      <c r="U3" s="558" t="inlineStr">
        <is>
          <t>부가세포함</t>
        </is>
      </c>
      <c r="V3" s="75" t="inlineStr">
        <is>
          <t>단품할인 시 (v-)</t>
        </is>
      </c>
      <c r="W3" s="76" t="n"/>
      <c r="X3" s="76" t="n"/>
      <c r="Y3" s="76" t="n"/>
      <c r="Z3" s="137" t="n"/>
      <c r="AA3" s="558" t="inlineStr">
        <is>
          <t>부가세포함</t>
        </is>
      </c>
    </row>
    <row r="4">
      <c r="I4" s="8" t="n"/>
      <c r="J4" s="555" t="n"/>
      <c r="K4" s="556" t="n"/>
      <c r="L4" s="556" t="n"/>
      <c r="M4" s="556" t="n"/>
      <c r="N4" s="556" t="n"/>
      <c r="O4" s="556" t="n"/>
      <c r="P4" s="261" t="inlineStr">
        <is>
          <t>파손제외 구독료청구</t>
        </is>
      </c>
      <c r="Q4" s="560" t="n"/>
      <c r="R4" s="560" t="n"/>
      <c r="S4" s="561" t="n"/>
      <c r="T4" s="264" t="inlineStr">
        <is>
          <t>파손</t>
        </is>
      </c>
      <c r="U4" s="264" t="inlineStr">
        <is>
          <t>월청구(v+)</t>
        </is>
      </c>
      <c r="V4" s="261" t="inlineStr">
        <is>
          <t>파손제외 구독료청구</t>
        </is>
      </c>
      <c r="W4" s="560" t="n"/>
      <c r="X4" s="560" t="n"/>
      <c r="Y4" s="561" t="n"/>
      <c r="Z4" s="264" t="inlineStr">
        <is>
          <t>파손</t>
        </is>
      </c>
      <c r="AA4" s="264" t="inlineStr">
        <is>
          <t>월청구(v+)</t>
        </is>
      </c>
      <c r="AC4" s="9" t="inlineStr">
        <is>
          <t>고객노출 기본 구독료 (v+)</t>
        </is>
      </c>
      <c r="AD4" s="506">
        <f>C19</f>
        <v/>
      </c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29" t="inlineStr">
        <is>
          <t>구독료청구</t>
        </is>
      </c>
      <c r="K5" s="230" t="inlineStr">
        <is>
          <t>제품</t>
        </is>
      </c>
      <c r="L5" s="231" t="inlineStr">
        <is>
          <t>케어</t>
        </is>
      </c>
      <c r="M5" s="231" t="inlineStr">
        <is>
          <t>보증</t>
        </is>
      </c>
      <c r="N5" s="232" t="inlineStr">
        <is>
          <t>파손</t>
        </is>
      </c>
      <c r="O5" s="232" t="inlineStr">
        <is>
          <t>월청구(v+)</t>
        </is>
      </c>
      <c r="P5" s="265" t="n"/>
      <c r="Q5" s="26" t="inlineStr">
        <is>
          <t>제품</t>
        </is>
      </c>
      <c r="R5" s="15" t="inlineStr">
        <is>
          <t>케어</t>
        </is>
      </c>
      <c r="S5" s="15" t="inlineStr">
        <is>
          <t>보증</t>
        </is>
      </c>
      <c r="T5" s="265" t="n"/>
      <c r="U5" s="265" t="n"/>
      <c r="V5" s="265" t="n"/>
      <c r="W5" s="26" t="inlineStr">
        <is>
          <t>제품</t>
        </is>
      </c>
      <c r="X5" s="15" t="inlineStr">
        <is>
          <t>케어</t>
        </is>
      </c>
      <c r="Y5" s="15" t="inlineStr">
        <is>
          <t>보증</t>
        </is>
      </c>
      <c r="Z5" s="265" t="n"/>
      <c r="AA5" s="265" t="n"/>
      <c r="AC5" s="9" t="inlineStr">
        <is>
          <t>단품할인금 월할 (v+)</t>
        </is>
      </c>
      <c r="AD5" s="506">
        <f>C26*1.1/C8</f>
        <v/>
      </c>
    </row>
    <row r="6">
      <c r="B6" s="9" t="inlineStr">
        <is>
          <t>모델코드</t>
        </is>
      </c>
      <c r="C6" s="6" t="inlineStr">
        <is>
          <t>SM-X920NZAAKOO</t>
        </is>
      </c>
      <c r="F6" s="28" t="inlineStr">
        <is>
          <t>1회차</t>
        </is>
      </c>
      <c r="G6" s="29" t="n">
        <v>45912</v>
      </c>
      <c r="H6" s="29" t="n">
        <v>45930</v>
      </c>
      <c r="I6" s="30">
        <f>EOMONTH(G6,0)+15</f>
        <v/>
      </c>
      <c r="J6" s="562">
        <f>ROUNDDOWN(($C$16/$C$8)*(H6-G6+1)/DAY(H6),-2)</f>
        <v/>
      </c>
      <c r="K6" s="563">
        <f>J6-L6-M6-N6</f>
        <v/>
      </c>
      <c r="L6" s="564">
        <f>ROUNDDOWN(($C$12/$C$8)*(H6-G6+1)/DAY(H6),-2)</f>
        <v/>
      </c>
      <c r="M6" s="564">
        <f>ROUNDDOWN(($C$13/$C$8)*(H6-G6+1)/DAY(H6),-2)</f>
        <v/>
      </c>
      <c r="N6" s="565">
        <f>ROUNDDOWN(($C$14/$C$8)*(H6-G6+1)/DAY(H6),-2)</f>
        <v/>
      </c>
      <c r="O6" s="566">
        <f>SUM(K6:M6)*1.1+N6</f>
        <v/>
      </c>
      <c r="P6" s="508">
        <f>ROUNDDOWN((($C$20/1.1)/$C$8)*(H6-G6+1)/DAY(H6),-2)</f>
        <v/>
      </c>
      <c r="Q6" s="567">
        <f>P6-R6-S6</f>
        <v/>
      </c>
      <c r="R6" s="568">
        <f>ROUNDDOWN(($C$12/$C$8)*(H6-G6+1)/DAY(H6),-2)</f>
        <v/>
      </c>
      <c r="S6" s="568">
        <f>ROUNDDOWN(($C$13/$C$8)*(H6-G6+1)/DAY(H6),-2)</f>
        <v/>
      </c>
      <c r="T6" s="569">
        <f>ROUNDDOWN(($C$14/$C$8)*(H6-G6+1)/DAY(H6),-2)</f>
        <v/>
      </c>
      <c r="U6" s="511">
        <f>P6*1.1+T6</f>
        <v/>
      </c>
      <c r="V6" s="508">
        <f>ROUNDDOWN(((C35/1.1)/$C$8)*(H6-G6+1)/DAY(H6),-2)</f>
        <v/>
      </c>
      <c r="W6" s="567">
        <f>V6-X6-Y6</f>
        <v/>
      </c>
      <c r="X6" s="568">
        <f>L6</f>
        <v/>
      </c>
      <c r="Y6" s="568">
        <f>M6</f>
        <v/>
      </c>
      <c r="Z6" s="570">
        <f>T6</f>
        <v/>
      </c>
      <c r="AA6" s="511">
        <f>V6*1.1+Z6</f>
        <v/>
      </c>
      <c r="AC6" s="9" t="inlineStr">
        <is>
          <t>할인적용시 최종 납부금 (v+)</t>
        </is>
      </c>
      <c r="AD6" s="527">
        <f>AD4-AD5</f>
        <v/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62">
        <f>$C$17</f>
        <v/>
      </c>
      <c r="K7" s="571">
        <f>J7-L7-M7-N7</f>
        <v/>
      </c>
      <c r="L7" s="572">
        <f>$C$12/$C$8</f>
        <v/>
      </c>
      <c r="M7" s="572">
        <f>$C$13/$C$8</f>
        <v/>
      </c>
      <c r="N7" s="566">
        <f>$C$14/$C$8</f>
        <v/>
      </c>
      <c r="O7" s="566">
        <f>SUM(K7:M7)*1.1+N7</f>
        <v/>
      </c>
      <c r="P7" s="515">
        <f>($C$20/1.1)/$C$8</f>
        <v/>
      </c>
      <c r="Q7" s="516">
        <f>P7-R7-S7</f>
        <v/>
      </c>
      <c r="R7" s="517">
        <f>$C$12/$C$8</f>
        <v/>
      </c>
      <c r="S7" s="517">
        <f>$C$13/$C$8</f>
        <v/>
      </c>
      <c r="T7" s="515">
        <f>$C$14/$C$8</f>
        <v/>
      </c>
      <c r="U7" s="518">
        <f>P7*1.1+T7</f>
        <v/>
      </c>
      <c r="V7" s="515">
        <f>($C$35/1.1)/$C$8</f>
        <v/>
      </c>
      <c r="W7" s="516">
        <f>V7-X7-Y7</f>
        <v/>
      </c>
      <c r="X7" s="517">
        <f>L7</f>
        <v/>
      </c>
      <c r="Y7" s="517">
        <f>M7</f>
        <v/>
      </c>
      <c r="Z7" s="573">
        <f>T7</f>
        <v/>
      </c>
      <c r="AA7" s="518">
        <f>V7*1.1+Z7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62">
        <f>$C$17</f>
        <v/>
      </c>
      <c r="K8" s="571">
        <f>$C$15/$C$8</f>
        <v/>
      </c>
      <c r="L8" s="572">
        <f>$C$12/$C$8</f>
        <v/>
      </c>
      <c r="M8" s="572">
        <f>$C$13/$C$8</f>
        <v/>
      </c>
      <c r="N8" s="566">
        <f>$C$14/$C$8</f>
        <v/>
      </c>
      <c r="O8" s="566">
        <f>SUM(K8:M8)*1.1+N8</f>
        <v/>
      </c>
      <c r="P8" s="515">
        <f>($C$20/1.1)/$C$8</f>
        <v/>
      </c>
      <c r="Q8" s="516">
        <f>P8-R8-S8</f>
        <v/>
      </c>
      <c r="R8" s="517">
        <f>$C$12/$C$8</f>
        <v/>
      </c>
      <c r="S8" s="517">
        <f>$C$13/$C$8</f>
        <v/>
      </c>
      <c r="T8" s="515">
        <f>$C$14/$C$8</f>
        <v/>
      </c>
      <c r="U8" s="518">
        <f>P8*1.1+T8</f>
        <v/>
      </c>
      <c r="V8" s="515">
        <f>($C$35/1.1)/$C$8</f>
        <v/>
      </c>
      <c r="W8" s="516">
        <f>V8-X8-Y8</f>
        <v/>
      </c>
      <c r="X8" s="517">
        <f>L8</f>
        <v/>
      </c>
      <c r="Y8" s="517">
        <f>M8</f>
        <v/>
      </c>
      <c r="Z8" s="573">
        <f>T8</f>
        <v/>
      </c>
      <c r="AA8" s="518">
        <f>V8*1.1+Z8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62">
        <f>$C$17</f>
        <v/>
      </c>
      <c r="K9" s="571">
        <f>$C$15/$C$8</f>
        <v/>
      </c>
      <c r="L9" s="572">
        <f>$C$12/$C$8</f>
        <v/>
      </c>
      <c r="M9" s="572">
        <f>$C$13/$C$8</f>
        <v/>
      </c>
      <c r="N9" s="566">
        <f>$C$14/$C$8</f>
        <v/>
      </c>
      <c r="O9" s="566">
        <f>SUM(K9:M9)*1.1+N9</f>
        <v/>
      </c>
      <c r="P9" s="515">
        <f>($C$20/1.1)/$C$8</f>
        <v/>
      </c>
      <c r="Q9" s="516">
        <f>P9-R9-S9</f>
        <v/>
      </c>
      <c r="R9" s="517">
        <f>$C$12/$C$8</f>
        <v/>
      </c>
      <c r="S9" s="517">
        <f>$C$13/$C$8</f>
        <v/>
      </c>
      <c r="T9" s="515">
        <f>$C$14/$C$8</f>
        <v/>
      </c>
      <c r="U9" s="518">
        <f>P9*1.1+T9</f>
        <v/>
      </c>
      <c r="V9" s="515">
        <f>($C$35/1.1)/$C$8</f>
        <v/>
      </c>
      <c r="W9" s="516">
        <f>V9-X9-Y9</f>
        <v/>
      </c>
      <c r="X9" s="517">
        <f>L9</f>
        <v/>
      </c>
      <c r="Y9" s="517">
        <f>M9</f>
        <v/>
      </c>
      <c r="Z9" s="573">
        <f>T9</f>
        <v/>
      </c>
      <c r="AA9" s="518">
        <f>V9*1.1+Z9</f>
        <v/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62">
        <f>$C$17</f>
        <v/>
      </c>
      <c r="K10" s="571">
        <f>$C$15/$C$8</f>
        <v/>
      </c>
      <c r="L10" s="572">
        <f>$C$12/$C$8</f>
        <v/>
      </c>
      <c r="M10" s="572">
        <f>$C$13/$C$8</f>
        <v/>
      </c>
      <c r="N10" s="566">
        <f>$C$14/$C$8</f>
        <v/>
      </c>
      <c r="O10" s="566">
        <f>SUM(K10:M10)*1.1+N10</f>
        <v/>
      </c>
      <c r="P10" s="515">
        <f>($C$20/1.1)/$C$8</f>
        <v/>
      </c>
      <c r="Q10" s="516">
        <f>P10-R10-S10</f>
        <v/>
      </c>
      <c r="R10" s="517">
        <f>$C$12/$C$8</f>
        <v/>
      </c>
      <c r="S10" s="517">
        <f>$C$13/$C$8</f>
        <v/>
      </c>
      <c r="T10" s="515">
        <f>$C$14/$C$8</f>
        <v/>
      </c>
      <c r="U10" s="518">
        <f>P10*1.1+T10</f>
        <v/>
      </c>
      <c r="V10" s="515">
        <f>($C$35/1.1)/$C$8</f>
        <v/>
      </c>
      <c r="W10" s="516">
        <f>V10-X10-Y10</f>
        <v/>
      </c>
      <c r="X10" s="517">
        <f>L10</f>
        <v/>
      </c>
      <c r="Y10" s="517">
        <f>M10</f>
        <v/>
      </c>
      <c r="Z10" s="573">
        <f>T10</f>
        <v/>
      </c>
      <c r="AA10" s="518">
        <f>V10*1.1+Z10</f>
        <v/>
      </c>
      <c r="AC10" s="505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62">
        <f>$C$17</f>
        <v/>
      </c>
      <c r="K11" s="571">
        <f>$C$15/$C$8</f>
        <v/>
      </c>
      <c r="L11" s="572">
        <f>$C$12/$C$8</f>
        <v/>
      </c>
      <c r="M11" s="572">
        <f>$C$13/$C$8</f>
        <v/>
      </c>
      <c r="N11" s="566">
        <f>$C$14/$C$8</f>
        <v/>
      </c>
      <c r="O11" s="566">
        <f>SUM(K11:M11)*1.1+N11</f>
        <v/>
      </c>
      <c r="P11" s="515">
        <f>($C$20/1.1)/$C$8</f>
        <v/>
      </c>
      <c r="Q11" s="516">
        <f>P11-R11-S11</f>
        <v/>
      </c>
      <c r="R11" s="517">
        <f>$C$12/$C$8</f>
        <v/>
      </c>
      <c r="S11" s="517">
        <f>$C$13/$C$8</f>
        <v/>
      </c>
      <c r="T11" s="515">
        <f>$C$14/$C$8</f>
        <v/>
      </c>
      <c r="U11" s="518">
        <f>P11*1.1+T11</f>
        <v/>
      </c>
      <c r="V11" s="515">
        <f>($C$35/1.1)/$C$8</f>
        <v/>
      </c>
      <c r="W11" s="516">
        <f>V11-X11-Y11</f>
        <v/>
      </c>
      <c r="X11" s="517">
        <f>L11</f>
        <v/>
      </c>
      <c r="Y11" s="517">
        <f>M11</f>
        <v/>
      </c>
      <c r="Z11" s="573">
        <f>T11</f>
        <v/>
      </c>
      <c r="AA11" s="518">
        <f>V11*1.1+Z11</f>
        <v/>
      </c>
      <c r="AC11" s="500" t="n"/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62">
        <f>$C$17</f>
        <v/>
      </c>
      <c r="K12" s="571">
        <f>$C$15/$C$8</f>
        <v/>
      </c>
      <c r="L12" s="572">
        <f>$C$12/$C$8</f>
        <v/>
      </c>
      <c r="M12" s="572">
        <f>$C$13/$C$8</f>
        <v/>
      </c>
      <c r="N12" s="566">
        <f>$C$14/$C$8</f>
        <v/>
      </c>
      <c r="O12" s="566">
        <f>SUM(K12:M12)*1.1+N12</f>
        <v/>
      </c>
      <c r="P12" s="515">
        <f>($C$20/1.1)/$C$8</f>
        <v/>
      </c>
      <c r="Q12" s="516">
        <f>P12-R12-S12</f>
        <v/>
      </c>
      <c r="R12" s="517">
        <f>$C$12/$C$8</f>
        <v/>
      </c>
      <c r="S12" s="517">
        <f>$C$13/$C$8</f>
        <v/>
      </c>
      <c r="T12" s="515">
        <f>$C$14/$C$8</f>
        <v/>
      </c>
      <c r="U12" s="518">
        <f>P12*1.1+T12</f>
        <v/>
      </c>
      <c r="V12" s="515">
        <f>($C$35/1.1)/$C$8</f>
        <v/>
      </c>
      <c r="W12" s="516">
        <f>V12-X12-Y12</f>
        <v/>
      </c>
      <c r="X12" s="517">
        <f>L12</f>
        <v/>
      </c>
      <c r="Y12" s="517">
        <f>M12</f>
        <v/>
      </c>
      <c r="Z12" s="573">
        <f>T12</f>
        <v/>
      </c>
      <c r="AA12" s="518">
        <f>V12*1.1+Z12</f>
        <v/>
      </c>
      <c r="AC12" s="500" t="n"/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62">
        <f>$C$17</f>
        <v/>
      </c>
      <c r="K13" s="571">
        <f>$C$15/$C$8</f>
        <v/>
      </c>
      <c r="L13" s="572">
        <f>$C$12/$C$8</f>
        <v/>
      </c>
      <c r="M13" s="572">
        <f>$C$13/$C$8</f>
        <v/>
      </c>
      <c r="N13" s="566">
        <f>$C$14/$C$8</f>
        <v/>
      </c>
      <c r="O13" s="566">
        <f>SUM(K13:M13)*1.1+N13</f>
        <v/>
      </c>
      <c r="P13" s="515">
        <f>($C$20/1.1)/$C$8</f>
        <v/>
      </c>
      <c r="Q13" s="516">
        <f>P13-R13-S13</f>
        <v/>
      </c>
      <c r="R13" s="517">
        <f>$C$12/$C$8</f>
        <v/>
      </c>
      <c r="S13" s="517">
        <f>$C$13/$C$8</f>
        <v/>
      </c>
      <c r="T13" s="515">
        <f>$C$14/$C$8</f>
        <v/>
      </c>
      <c r="U13" s="518">
        <f>P13*1.1+T13</f>
        <v/>
      </c>
      <c r="V13" s="515">
        <f>($C$35/1.1)/$C$8</f>
        <v/>
      </c>
      <c r="W13" s="516">
        <f>V13-X13-Y13</f>
        <v/>
      </c>
      <c r="X13" s="517">
        <f>L13</f>
        <v/>
      </c>
      <c r="Y13" s="517">
        <f>M13</f>
        <v/>
      </c>
      <c r="Z13" s="573">
        <f>T13</f>
        <v/>
      </c>
      <c r="AA13" s="518">
        <f>V13*1.1+Z13</f>
        <v/>
      </c>
      <c r="AC13" s="500" t="n"/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62">
        <f>$C$17</f>
        <v/>
      </c>
      <c r="K14" s="571">
        <f>$C$15/$C$8</f>
        <v/>
      </c>
      <c r="L14" s="572">
        <f>$C$12/$C$8</f>
        <v/>
      </c>
      <c r="M14" s="572">
        <f>$C$13/$C$8</f>
        <v/>
      </c>
      <c r="N14" s="566">
        <f>$C$14/$C$8</f>
        <v/>
      </c>
      <c r="O14" s="566">
        <f>SUM(K14:M14)*1.1+N14</f>
        <v/>
      </c>
      <c r="P14" s="515">
        <f>($C$20/1.1)/$C$8</f>
        <v/>
      </c>
      <c r="Q14" s="516">
        <f>P14-R14-S14</f>
        <v/>
      </c>
      <c r="R14" s="517">
        <f>$C$12/$C$8</f>
        <v/>
      </c>
      <c r="S14" s="517">
        <f>$C$13/$C$8</f>
        <v/>
      </c>
      <c r="T14" s="515">
        <f>$C$14/$C$8</f>
        <v/>
      </c>
      <c r="U14" s="518">
        <f>P14*1.1+T14</f>
        <v/>
      </c>
      <c r="V14" s="515">
        <f>($C$35/1.1)/$C$8</f>
        <v/>
      </c>
      <c r="W14" s="516">
        <f>V14-X14-Y14</f>
        <v/>
      </c>
      <c r="X14" s="517">
        <f>L14</f>
        <v/>
      </c>
      <c r="Y14" s="517">
        <f>M14</f>
        <v/>
      </c>
      <c r="Z14" s="573">
        <f>T14</f>
        <v/>
      </c>
      <c r="AA14" s="518">
        <f>V14*1.1+Z14</f>
        <v/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62">
        <f>$C$17</f>
        <v/>
      </c>
      <c r="K15" s="571">
        <f>$C$15/$C$8</f>
        <v/>
      </c>
      <c r="L15" s="572">
        <f>$C$12/$C$8</f>
        <v/>
      </c>
      <c r="M15" s="572">
        <f>$C$13/$C$8</f>
        <v/>
      </c>
      <c r="N15" s="566">
        <f>$C$14/$C$8</f>
        <v/>
      </c>
      <c r="O15" s="566">
        <f>SUM(K15:M15)*1.1+N15</f>
        <v/>
      </c>
      <c r="P15" s="515">
        <f>($C$20/1.1)/$C$8</f>
        <v/>
      </c>
      <c r="Q15" s="516">
        <f>P15-R15-S15</f>
        <v/>
      </c>
      <c r="R15" s="517">
        <f>$C$12/$C$8</f>
        <v/>
      </c>
      <c r="S15" s="517">
        <f>$C$13/$C$8</f>
        <v/>
      </c>
      <c r="T15" s="515">
        <f>$C$14/$C$8</f>
        <v/>
      </c>
      <c r="U15" s="518">
        <f>P15*1.1+T15</f>
        <v/>
      </c>
      <c r="V15" s="515">
        <f>($C$35/1.1)/$C$8</f>
        <v/>
      </c>
      <c r="W15" s="516">
        <f>V15-X15-Y15</f>
        <v/>
      </c>
      <c r="X15" s="517">
        <f>L15</f>
        <v/>
      </c>
      <c r="Y15" s="517">
        <f>M15</f>
        <v/>
      </c>
      <c r="Z15" s="573">
        <f>T15</f>
        <v/>
      </c>
      <c r="AA15" s="518">
        <f>V15*1.1+Z15</f>
        <v/>
      </c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62">
        <f>$C$17</f>
        <v/>
      </c>
      <c r="K16" s="571">
        <f>$C$15/$C$8</f>
        <v/>
      </c>
      <c r="L16" s="572">
        <f>$C$12/$C$8</f>
        <v/>
      </c>
      <c r="M16" s="572">
        <f>$C$13/$C$8</f>
        <v/>
      </c>
      <c r="N16" s="566">
        <f>$C$14/$C$8</f>
        <v/>
      </c>
      <c r="O16" s="566">
        <f>SUM(K16:M16)*1.1+N16</f>
        <v/>
      </c>
      <c r="P16" s="515">
        <f>($C$20/1.1)/$C$8</f>
        <v/>
      </c>
      <c r="Q16" s="516">
        <f>P16-R16-S16</f>
        <v/>
      </c>
      <c r="R16" s="517">
        <f>$C$12/$C$8</f>
        <v/>
      </c>
      <c r="S16" s="517">
        <f>$C$13/$C$8</f>
        <v/>
      </c>
      <c r="T16" s="515">
        <f>$C$14/$C$8</f>
        <v/>
      </c>
      <c r="U16" s="518">
        <f>P16*1.1+T16</f>
        <v/>
      </c>
      <c r="V16" s="515">
        <f>($C$35/1.1)/$C$8</f>
        <v/>
      </c>
      <c r="W16" s="516">
        <f>V16-X16-Y16</f>
        <v/>
      </c>
      <c r="X16" s="517">
        <f>L16</f>
        <v/>
      </c>
      <c r="Y16" s="517">
        <f>M16</f>
        <v/>
      </c>
      <c r="Z16" s="573">
        <f>T16</f>
        <v/>
      </c>
      <c r="AA16" s="518">
        <f>V16*1.1+Z16</f>
        <v/>
      </c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62">
        <f>$C$17</f>
        <v/>
      </c>
      <c r="K17" s="571">
        <f>$C$15/$C$8</f>
        <v/>
      </c>
      <c r="L17" s="572">
        <f>$C$12/$C$8</f>
        <v/>
      </c>
      <c r="M17" s="572">
        <f>$C$13/$C$8</f>
        <v/>
      </c>
      <c r="N17" s="566">
        <f>$C$14/$C$8</f>
        <v/>
      </c>
      <c r="O17" s="566">
        <f>SUM(K17:M17)*1.1+N17</f>
        <v/>
      </c>
      <c r="P17" s="515">
        <f>($C$20/1.1)/$C$8</f>
        <v/>
      </c>
      <c r="Q17" s="516">
        <f>P17-R17-S17</f>
        <v/>
      </c>
      <c r="R17" s="517">
        <f>$C$12/$C$8</f>
        <v/>
      </c>
      <c r="S17" s="517">
        <f>$C$13/$C$8</f>
        <v/>
      </c>
      <c r="T17" s="515">
        <f>$C$14/$C$8</f>
        <v/>
      </c>
      <c r="U17" s="518">
        <f>P17*1.1+T17</f>
        <v/>
      </c>
      <c r="V17" s="515">
        <f>($C$35/1.1)/$C$8</f>
        <v/>
      </c>
      <c r="W17" s="516">
        <f>V17-X17-Y17</f>
        <v/>
      </c>
      <c r="X17" s="517">
        <f>L17</f>
        <v/>
      </c>
      <c r="Y17" s="517">
        <f>M17</f>
        <v/>
      </c>
      <c r="Z17" s="573">
        <f>T17</f>
        <v/>
      </c>
      <c r="AA17" s="518">
        <f>V17*1.1+Z17</f>
        <v/>
      </c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62">
        <f>$C$17</f>
        <v/>
      </c>
      <c r="K18" s="571">
        <f>$C$15/$C$8</f>
        <v/>
      </c>
      <c r="L18" s="572">
        <f>$C$12/$C$8</f>
        <v/>
      </c>
      <c r="M18" s="572">
        <f>$C$13/$C$8</f>
        <v/>
      </c>
      <c r="N18" s="566">
        <f>$C$14/$C$8</f>
        <v/>
      </c>
      <c r="O18" s="566">
        <f>SUM(K18:M18)*1.1+N18</f>
        <v/>
      </c>
      <c r="P18" s="515">
        <f>($C$20/1.1)/$C$8</f>
        <v/>
      </c>
      <c r="Q18" s="516">
        <f>P18-R18-S18</f>
        <v/>
      </c>
      <c r="R18" s="517">
        <f>$C$12/$C$8</f>
        <v/>
      </c>
      <c r="S18" s="517">
        <f>$C$13/$C$8</f>
        <v/>
      </c>
      <c r="T18" s="515">
        <f>$C$14/$C$8</f>
        <v/>
      </c>
      <c r="U18" s="518">
        <f>P18*1.1+T18</f>
        <v/>
      </c>
      <c r="V18" s="515">
        <f>($C$35/1.1)/$C$8</f>
        <v/>
      </c>
      <c r="W18" s="516">
        <f>V18-X18-Y18</f>
        <v/>
      </c>
      <c r="X18" s="517">
        <f>L18</f>
        <v/>
      </c>
      <c r="Y18" s="517">
        <f>M18</f>
        <v/>
      </c>
      <c r="Z18" s="573">
        <f>T18</f>
        <v/>
      </c>
      <c r="AA18" s="518">
        <f>V18*1.1+Z18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62">
        <f>$C$17</f>
        <v/>
      </c>
      <c r="K19" s="571">
        <f>$C$15/$C$8</f>
        <v/>
      </c>
      <c r="L19" s="572">
        <f>$C$12/$C$8</f>
        <v/>
      </c>
      <c r="M19" s="572">
        <f>$C$13/$C$8</f>
        <v/>
      </c>
      <c r="N19" s="566">
        <f>$C$14/$C$8</f>
        <v/>
      </c>
      <c r="O19" s="566">
        <f>SUM(K19:M19)*1.1+N19</f>
        <v/>
      </c>
      <c r="P19" s="515">
        <f>($C$20/1.1)/$C$8</f>
        <v/>
      </c>
      <c r="Q19" s="516">
        <f>P19-R19-S19</f>
        <v/>
      </c>
      <c r="R19" s="517">
        <f>$C$12/$C$8</f>
        <v/>
      </c>
      <c r="S19" s="517">
        <f>$C$13/$C$8</f>
        <v/>
      </c>
      <c r="T19" s="515">
        <f>$C$14/$C$8</f>
        <v/>
      </c>
      <c r="U19" s="518">
        <f>P19*1.1+T19</f>
        <v/>
      </c>
      <c r="V19" s="515">
        <f>($C$35/1.1)/$C$8</f>
        <v/>
      </c>
      <c r="W19" s="516">
        <f>V19-X19-Y19</f>
        <v/>
      </c>
      <c r="X19" s="517">
        <f>L19</f>
        <v/>
      </c>
      <c r="Y19" s="517">
        <f>M19</f>
        <v/>
      </c>
      <c r="Z19" s="573">
        <f>T19</f>
        <v/>
      </c>
      <c r="AA19" s="518">
        <f>V19*1.1+Z19</f>
        <v/>
      </c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62">
        <f>$C$17</f>
        <v/>
      </c>
      <c r="K20" s="571">
        <f>$C$15/$C$8</f>
        <v/>
      </c>
      <c r="L20" s="572">
        <f>$C$12/$C$8</f>
        <v/>
      </c>
      <c r="M20" s="572">
        <f>$C$13/$C$8</f>
        <v/>
      </c>
      <c r="N20" s="566">
        <f>$C$14/$C$8</f>
        <v/>
      </c>
      <c r="O20" s="566">
        <f>SUM(K20:M20)*1.1+N20</f>
        <v/>
      </c>
      <c r="P20" s="515">
        <f>($C$20/1.1)/$C$8</f>
        <v/>
      </c>
      <c r="Q20" s="516">
        <f>P20-R20-S20</f>
        <v/>
      </c>
      <c r="R20" s="517">
        <f>$C$12/$C$8</f>
        <v/>
      </c>
      <c r="S20" s="517">
        <f>$C$13/$C$8</f>
        <v/>
      </c>
      <c r="T20" s="515">
        <f>$C$14/$C$8</f>
        <v/>
      </c>
      <c r="U20" s="518">
        <f>P20*1.1+T20</f>
        <v/>
      </c>
      <c r="V20" s="515">
        <f>($C$35/1.1)/$C$8</f>
        <v/>
      </c>
      <c r="W20" s="516">
        <f>V20-X20-Y20</f>
        <v/>
      </c>
      <c r="X20" s="517">
        <f>L20</f>
        <v/>
      </c>
      <c r="Y20" s="517">
        <f>M20</f>
        <v/>
      </c>
      <c r="Z20" s="573">
        <f>T20</f>
        <v/>
      </c>
      <c r="AA20" s="518">
        <f>V20*1.1+Z20</f>
        <v/>
      </c>
    </row>
    <row r="21" ht="17.25" customHeight="1" s="497" thickBot="1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62">
        <f>$C$17</f>
        <v/>
      </c>
      <c r="K21" s="571">
        <f>$C$15/$C$8</f>
        <v/>
      </c>
      <c r="L21" s="572">
        <f>$C$12/$C$8</f>
        <v/>
      </c>
      <c r="M21" s="572">
        <f>$C$13/$C$8</f>
        <v/>
      </c>
      <c r="N21" s="566">
        <f>$C$14/$C$8</f>
        <v/>
      </c>
      <c r="O21" s="566">
        <f>SUM(K21:M21)*1.1+N21</f>
        <v/>
      </c>
      <c r="P21" s="515">
        <f>($C$20/1.1)/$C$8</f>
        <v/>
      </c>
      <c r="Q21" s="516">
        <f>P21-R21-S21</f>
        <v/>
      </c>
      <c r="R21" s="517">
        <f>$C$12/$C$8</f>
        <v/>
      </c>
      <c r="S21" s="517">
        <f>$C$13/$C$8</f>
        <v/>
      </c>
      <c r="T21" s="515">
        <f>$C$14/$C$8</f>
        <v/>
      </c>
      <c r="U21" s="518">
        <f>P21*1.1+T21</f>
        <v/>
      </c>
      <c r="V21" s="515">
        <f>($C$35/1.1)/$C$8</f>
        <v/>
      </c>
      <c r="W21" s="516">
        <f>V21-X21-Y21</f>
        <v/>
      </c>
      <c r="X21" s="517">
        <f>L21</f>
        <v/>
      </c>
      <c r="Y21" s="517">
        <f>M21</f>
        <v/>
      </c>
      <c r="Z21" s="573">
        <f>T21</f>
        <v/>
      </c>
      <c r="AA21" s="518">
        <f>V21*1.1+Z21</f>
        <v/>
      </c>
    </row>
    <row r="22" ht="17.45" customHeight="1" s="497">
      <c r="A22" s="303" t="n"/>
      <c r="B22" s="296" t="inlineStr">
        <is>
          <t>(계산용) 단품 할인금 (V+)</t>
        </is>
      </c>
      <c r="C22" s="576">
        <f>C18*5%</f>
        <v/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62">
        <f>$C$17</f>
        <v/>
      </c>
      <c r="K22" s="571">
        <f>$C$15/$C$8</f>
        <v/>
      </c>
      <c r="L22" s="572">
        <f>$C$12/$C$8</f>
        <v/>
      </c>
      <c r="M22" s="572">
        <f>$C$13/$C$8</f>
        <v/>
      </c>
      <c r="N22" s="566">
        <f>$C$14/$C$8</f>
        <v/>
      </c>
      <c r="O22" s="566">
        <f>SUM(K22:M22)*1.1+N22</f>
        <v/>
      </c>
      <c r="P22" s="515">
        <f>($C$20/1.1)/$C$8</f>
        <v/>
      </c>
      <c r="Q22" s="516">
        <f>P22-R22-S22</f>
        <v/>
      </c>
      <c r="R22" s="517">
        <f>$C$12/$C$8</f>
        <v/>
      </c>
      <c r="S22" s="517">
        <f>$C$13/$C$8</f>
        <v/>
      </c>
      <c r="T22" s="515">
        <f>$C$14/$C$8</f>
        <v/>
      </c>
      <c r="U22" s="518">
        <f>P22*1.1+T22</f>
        <v/>
      </c>
      <c r="V22" s="515">
        <f>($C$35/1.1)/$C$8</f>
        <v/>
      </c>
      <c r="W22" s="516">
        <f>V22-X22-Y22</f>
        <v/>
      </c>
      <c r="X22" s="517">
        <f>L22</f>
        <v/>
      </c>
      <c r="Y22" s="517">
        <f>M22</f>
        <v/>
      </c>
      <c r="Z22" s="573">
        <f>T22</f>
        <v/>
      </c>
      <c r="AA22" s="518">
        <f>V22*1.1+Z22</f>
        <v/>
      </c>
    </row>
    <row r="23">
      <c r="A23" s="303" t="n"/>
      <c r="B23" s="298" t="inlineStr">
        <is>
          <t>(계산용) 단품 할인금 (V-)</t>
        </is>
      </c>
      <c r="C23" s="578">
        <f>+C22/1.1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62">
        <f>$C$17</f>
        <v/>
      </c>
      <c r="K23" s="571">
        <f>$C$15/$C$8</f>
        <v/>
      </c>
      <c r="L23" s="572">
        <f>$C$12/$C$8</f>
        <v/>
      </c>
      <c r="M23" s="572">
        <f>$C$13/$C$8</f>
        <v/>
      </c>
      <c r="N23" s="566">
        <f>$C$14/$C$8</f>
        <v/>
      </c>
      <c r="O23" s="566">
        <f>SUM(K23:M23)*1.1+N23</f>
        <v/>
      </c>
      <c r="P23" s="515">
        <f>($C$20/1.1)/$C$8</f>
        <v/>
      </c>
      <c r="Q23" s="516">
        <f>P23-R23-S23</f>
        <v/>
      </c>
      <c r="R23" s="517">
        <f>$C$12/$C$8</f>
        <v/>
      </c>
      <c r="S23" s="517">
        <f>$C$13/$C$8</f>
        <v/>
      </c>
      <c r="T23" s="515">
        <f>$C$14/$C$8</f>
        <v/>
      </c>
      <c r="U23" s="518">
        <f>P23*1.1+T23</f>
        <v/>
      </c>
      <c r="V23" s="515">
        <f>($C$35/1.1)/$C$8</f>
        <v/>
      </c>
      <c r="W23" s="516">
        <f>V23-X23-Y23</f>
        <v/>
      </c>
      <c r="X23" s="517">
        <f>L23</f>
        <v/>
      </c>
      <c r="Y23" s="517">
        <f>M23</f>
        <v/>
      </c>
      <c r="Z23" s="573">
        <f>T23</f>
        <v/>
      </c>
      <c r="AA23" s="518">
        <f>V23*1.1+Z23</f>
        <v/>
      </c>
    </row>
    <row r="24">
      <c r="A24" s="303" t="n"/>
      <c r="B24" s="298" t="inlineStr">
        <is>
          <t>(계산용) 단품 월할인금 (V-)</t>
        </is>
      </c>
      <c r="C24" s="579">
        <f>+ROUNDUP(C23/C8,-2)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62">
        <f>$C$17</f>
        <v/>
      </c>
      <c r="K24" s="571">
        <f>$C$15/$C$8</f>
        <v/>
      </c>
      <c r="L24" s="572">
        <f>$C$12/$C$8</f>
        <v/>
      </c>
      <c r="M24" s="572">
        <f>$C$13/$C$8</f>
        <v/>
      </c>
      <c r="N24" s="566">
        <f>$C$14/$C$8</f>
        <v/>
      </c>
      <c r="O24" s="566">
        <f>SUM(K24:M24)*1.1+N24</f>
        <v/>
      </c>
      <c r="P24" s="515">
        <f>($C$20/1.1)/$C$8</f>
        <v/>
      </c>
      <c r="Q24" s="516">
        <f>P24-R24-S24</f>
        <v/>
      </c>
      <c r="R24" s="517">
        <f>$C$12/$C$8</f>
        <v/>
      </c>
      <c r="S24" s="517">
        <f>$C$13/$C$8</f>
        <v/>
      </c>
      <c r="T24" s="515">
        <f>$C$14/$C$8</f>
        <v/>
      </c>
      <c r="U24" s="518">
        <f>P24*1.1+T24</f>
        <v/>
      </c>
      <c r="V24" s="515">
        <f>($C$35/1.1)/$C$8</f>
        <v/>
      </c>
      <c r="W24" s="516">
        <f>V24-X24-Y24</f>
        <v/>
      </c>
      <c r="X24" s="517">
        <f>L24</f>
        <v/>
      </c>
      <c r="Y24" s="517">
        <f>M24</f>
        <v/>
      </c>
      <c r="Z24" s="573">
        <f>T24</f>
        <v/>
      </c>
      <c r="AA24" s="518">
        <f>V24*1.1+Z24</f>
        <v/>
      </c>
    </row>
    <row r="25" ht="17.25" customHeight="1" s="497" thickBot="1">
      <c r="A25" s="303" t="n"/>
      <c r="B25" s="301" t="inlineStr">
        <is>
          <t>(계산용) 단품 월할인금 (V+)</t>
        </is>
      </c>
      <c r="C25" s="580">
        <f>+C24*1.1</f>
        <v/>
      </c>
      <c r="F25" s="101" t="inlineStr">
        <is>
          <t>20회차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62">
        <f>$C$17</f>
        <v/>
      </c>
      <c r="K25" s="571">
        <f>$C$15/$C$8</f>
        <v/>
      </c>
      <c r="L25" s="572">
        <f>$C$12/$C$8</f>
        <v/>
      </c>
      <c r="M25" s="572">
        <f>$C$13/$C$8</f>
        <v/>
      </c>
      <c r="N25" s="566">
        <f>$C$14/$C$8</f>
        <v/>
      </c>
      <c r="O25" s="566">
        <f>SUM(K25:M25)*1.1+N25</f>
        <v/>
      </c>
      <c r="P25" s="515">
        <f>($C$20/1.1)/$C$8</f>
        <v/>
      </c>
      <c r="Q25" s="516">
        <f>P25-R25-S25</f>
        <v/>
      </c>
      <c r="R25" s="517">
        <f>$C$12/$C$8</f>
        <v/>
      </c>
      <c r="S25" s="517">
        <f>$C$13/$C$8</f>
        <v/>
      </c>
      <c r="T25" s="515">
        <f>$C$14/$C$8</f>
        <v/>
      </c>
      <c r="U25" s="518">
        <f>P25*1.1+T25</f>
        <v/>
      </c>
      <c r="V25" s="515">
        <f>($C$35/1.1)/$C$8</f>
        <v/>
      </c>
      <c r="W25" s="516">
        <f>V25-X25-Y25</f>
        <v/>
      </c>
      <c r="X25" s="517">
        <f>L25</f>
        <v/>
      </c>
      <c r="Y25" s="517">
        <f>M25</f>
        <v/>
      </c>
      <c r="Z25" s="573">
        <f>T25</f>
        <v/>
      </c>
      <c r="AA25" s="518">
        <f>V25*1.1+Z25</f>
        <v/>
      </c>
    </row>
    <row r="26">
      <c r="A26" s="303" t="n"/>
      <c r="B26" s="265" t="inlineStr">
        <is>
          <t>(최종) 단품 할인금 (V-)</t>
        </is>
      </c>
      <c r="C26" s="581">
        <f>+C24*C8</f>
        <v/>
      </c>
      <c r="D26" s="505" t="n"/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62">
        <f>$C$17</f>
        <v/>
      </c>
      <c r="K26" s="571">
        <f>$C$15/$C$8</f>
        <v/>
      </c>
      <c r="L26" s="572">
        <f>$C$12/$C$8</f>
        <v/>
      </c>
      <c r="M26" s="572">
        <f>$C$13/$C$8</f>
        <v/>
      </c>
      <c r="N26" s="566">
        <f>$C$14/$C$8</f>
        <v/>
      </c>
      <c r="O26" s="566">
        <f>SUM(K26:M26)*1.1+N26</f>
        <v/>
      </c>
      <c r="P26" s="515">
        <f>($C$20/1.1)/$C$8</f>
        <v/>
      </c>
      <c r="Q26" s="516">
        <f>P26-R26-S26</f>
        <v/>
      </c>
      <c r="R26" s="517">
        <f>$C$12/$C$8</f>
        <v/>
      </c>
      <c r="S26" s="517">
        <f>$C$13/$C$8</f>
        <v/>
      </c>
      <c r="T26" s="515">
        <f>$C$14/$C$8</f>
        <v/>
      </c>
      <c r="U26" s="518">
        <f>P26*1.1+T26</f>
        <v/>
      </c>
      <c r="V26" s="515">
        <f>($C$35/1.1)/$C$8</f>
        <v/>
      </c>
      <c r="W26" s="516">
        <f>V26-X26-Y26</f>
        <v/>
      </c>
      <c r="X26" s="517">
        <f>L26</f>
        <v/>
      </c>
      <c r="Y26" s="517">
        <f>M26</f>
        <v/>
      </c>
      <c r="Z26" s="573">
        <f>T26</f>
        <v/>
      </c>
      <c r="AA26" s="518">
        <f>V26*1.1+Z26</f>
        <v/>
      </c>
    </row>
    <row r="27" ht="17.25" customHeight="1" s="497" thickBot="1">
      <c r="A27" s="303" t="n"/>
      <c r="B27" s="9" t="inlineStr">
        <is>
          <t>(최종) 단품 할인금 (V+)</t>
        </is>
      </c>
      <c r="C27" s="506">
        <f>+C25*C8</f>
        <v/>
      </c>
      <c r="D27" s="658">
        <f>+C27/C18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62">
        <f>$C$17</f>
        <v/>
      </c>
      <c r="K27" s="571">
        <f>$C$15/$C$8</f>
        <v/>
      </c>
      <c r="L27" s="572">
        <f>$C$12/$C$8</f>
        <v/>
      </c>
      <c r="M27" s="572">
        <f>$C$13/$C$8</f>
        <v/>
      </c>
      <c r="N27" s="566">
        <f>$C$14/$C$8</f>
        <v/>
      </c>
      <c r="O27" s="566">
        <f>SUM(K27:M27)*1.1+N27</f>
        <v/>
      </c>
      <c r="P27" s="515">
        <f>($C$20/1.1)/$C$8</f>
        <v/>
      </c>
      <c r="Q27" s="516">
        <f>P27-R27-S27</f>
        <v/>
      </c>
      <c r="R27" s="517">
        <f>$C$12/$C$8</f>
        <v/>
      </c>
      <c r="S27" s="517">
        <f>$C$13/$C$8</f>
        <v/>
      </c>
      <c r="T27" s="515">
        <f>$C$14/$C$8</f>
        <v/>
      </c>
      <c r="U27" s="518">
        <f>P27*1.1+T27</f>
        <v/>
      </c>
      <c r="V27" s="515">
        <f>($C$35/1.1)/$C$8</f>
        <v/>
      </c>
      <c r="W27" s="516">
        <f>V27-X27-Y27</f>
        <v/>
      </c>
      <c r="X27" s="517">
        <f>L27</f>
        <v/>
      </c>
      <c r="Y27" s="517">
        <f>M27</f>
        <v/>
      </c>
      <c r="Z27" s="573">
        <f>T27</f>
        <v/>
      </c>
      <c r="AA27" s="518">
        <f>V27*1.1+Z27</f>
        <v/>
      </c>
    </row>
    <row r="28">
      <c r="B28" s="293" t="inlineStr">
        <is>
          <t>(최종) 단품 할인 반영 월 구독료 (V-)</t>
        </is>
      </c>
      <c r="C28" s="536">
        <f>+(C16-C26)/C8</f>
        <v/>
      </c>
      <c r="D28" s="539">
        <f>+C17-C24</f>
        <v/>
      </c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62">
        <f>$C$17</f>
        <v/>
      </c>
      <c r="K28" s="571">
        <f>$C$15/$C$8</f>
        <v/>
      </c>
      <c r="L28" s="572">
        <f>$C$12/$C$8</f>
        <v/>
      </c>
      <c r="M28" s="572">
        <f>$C$13/$C$8</f>
        <v/>
      </c>
      <c r="N28" s="566">
        <f>$C$14/$C$8</f>
        <v/>
      </c>
      <c r="O28" s="566">
        <f>SUM(K28:M28)*1.1+N28</f>
        <v/>
      </c>
      <c r="P28" s="515">
        <f>($C$20/1.1)/$C$8</f>
        <v/>
      </c>
      <c r="Q28" s="516">
        <f>P28-R28-S28</f>
        <v/>
      </c>
      <c r="R28" s="517">
        <f>$C$12/$C$8</f>
        <v/>
      </c>
      <c r="S28" s="517">
        <f>$C$13/$C$8</f>
        <v/>
      </c>
      <c r="T28" s="515">
        <f>$C$14/$C$8</f>
        <v/>
      </c>
      <c r="U28" s="518">
        <f>P28*1.1+T28</f>
        <v/>
      </c>
      <c r="V28" s="515">
        <f>($C$35/1.1)/$C$8</f>
        <v/>
      </c>
      <c r="W28" s="516">
        <f>V28-X28-Y28</f>
        <v/>
      </c>
      <c r="X28" s="517">
        <f>L28</f>
        <v/>
      </c>
      <c r="Y28" s="517">
        <f>M28</f>
        <v/>
      </c>
      <c r="Z28" s="573">
        <f>T28</f>
        <v/>
      </c>
      <c r="AA28" s="518">
        <f>V28*1.1+Z28</f>
        <v/>
      </c>
    </row>
    <row r="29" ht="17.25" customHeight="1" s="497" thickBot="1">
      <c r="B29" s="294" t="inlineStr">
        <is>
          <t>(최종) 단품 할인 반영 총 구독료 (V-)</t>
        </is>
      </c>
      <c r="C29" s="537">
        <f>C28*C8</f>
        <v/>
      </c>
      <c r="D29" s="539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62">
        <f>$C$17</f>
        <v/>
      </c>
      <c r="K29" s="571">
        <f>$C$15/$C$8</f>
        <v/>
      </c>
      <c r="L29" s="572">
        <f>$C$12/$C$8</f>
        <v/>
      </c>
      <c r="M29" s="572">
        <f>$C$13/$C$8</f>
        <v/>
      </c>
      <c r="N29" s="566">
        <f>$C$14/$C$8</f>
        <v/>
      </c>
      <c r="O29" s="566">
        <f>SUM(K29:M29)*1.1+N29</f>
        <v/>
      </c>
      <c r="P29" s="515">
        <f>($C$20/1.1)/$C$8</f>
        <v/>
      </c>
      <c r="Q29" s="516">
        <f>P29-R29-S29</f>
        <v/>
      </c>
      <c r="R29" s="517">
        <f>$C$12/$C$8</f>
        <v/>
      </c>
      <c r="S29" s="517">
        <f>$C$13/$C$8</f>
        <v/>
      </c>
      <c r="T29" s="515">
        <f>$C$14/$C$8</f>
        <v/>
      </c>
      <c r="U29" s="518">
        <f>P29*1.1+T29</f>
        <v/>
      </c>
      <c r="V29" s="515">
        <f>($C$35/1.1)/$C$8</f>
        <v/>
      </c>
      <c r="W29" s="516">
        <f>V29-X29-Y29</f>
        <v/>
      </c>
      <c r="X29" s="517">
        <f>L29</f>
        <v/>
      </c>
      <c r="Y29" s="517">
        <f>M29</f>
        <v/>
      </c>
      <c r="Z29" s="573">
        <f>T29</f>
        <v/>
      </c>
      <c r="AA29" s="518">
        <f>V29*1.1+Z29</f>
        <v/>
      </c>
    </row>
    <row r="30">
      <c r="B30" s="295" t="inlineStr">
        <is>
          <t>(최종) 단품 할인 반영 월 구독료 (V+)</t>
        </is>
      </c>
      <c r="C30" s="538">
        <f>+(C18-C27)/C8</f>
        <v/>
      </c>
      <c r="D30" s="517">
        <f>+C19-C25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62">
        <f>$C$17</f>
        <v/>
      </c>
      <c r="K30" s="571">
        <f>$C$15/$C$8</f>
        <v/>
      </c>
      <c r="L30" s="572">
        <f>$C$12/$C$8</f>
        <v/>
      </c>
      <c r="M30" s="572">
        <f>$C$13/$C$8</f>
        <v/>
      </c>
      <c r="N30" s="566">
        <f>$C$14/$C$8</f>
        <v/>
      </c>
      <c r="O30" s="566">
        <f>SUM(K30:M30)*1.1+N30</f>
        <v/>
      </c>
      <c r="P30" s="515">
        <f>($C$20/1.1)/$C$8</f>
        <v/>
      </c>
      <c r="Q30" s="516">
        <f>P30-R30-S30</f>
        <v/>
      </c>
      <c r="R30" s="517">
        <f>$C$12/$C$8</f>
        <v/>
      </c>
      <c r="S30" s="517">
        <f>$C$13/$C$8</f>
        <v/>
      </c>
      <c r="T30" s="515">
        <f>$C$14/$C$8</f>
        <v/>
      </c>
      <c r="U30" s="518">
        <f>P30*1.1+T30</f>
        <v/>
      </c>
      <c r="V30" s="515">
        <f>($C$35/1.1)/$C$8</f>
        <v/>
      </c>
      <c r="W30" s="516">
        <f>V30-X30-Y30</f>
        <v/>
      </c>
      <c r="X30" s="517">
        <f>L30</f>
        <v/>
      </c>
      <c r="Y30" s="517">
        <f>M30</f>
        <v/>
      </c>
      <c r="Z30" s="573">
        <f>T30</f>
        <v/>
      </c>
      <c r="AA30" s="518">
        <f>V30*1.1+Z30</f>
        <v/>
      </c>
    </row>
    <row r="31" ht="17.25" customHeight="1" s="497" thickBot="1">
      <c r="A31" s="303" t="n"/>
      <c r="B31" s="294" t="inlineStr">
        <is>
          <t>(최종) 단품 할인 반영 총 구독료 (V+)</t>
        </is>
      </c>
      <c r="C31" s="537">
        <f>C30*C8</f>
        <v/>
      </c>
      <c r="D31" s="505" t="n"/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62">
        <f>$C$17</f>
        <v/>
      </c>
      <c r="K31" s="571">
        <f>$C$15/$C$8</f>
        <v/>
      </c>
      <c r="L31" s="572">
        <f>$C$12/$C$8</f>
        <v/>
      </c>
      <c r="M31" s="572">
        <f>$C$13/$C$8</f>
        <v/>
      </c>
      <c r="N31" s="566">
        <f>$C$14/$C$8</f>
        <v/>
      </c>
      <c r="O31" s="566">
        <f>SUM(K31:M31)*1.1+N31</f>
        <v/>
      </c>
      <c r="P31" s="515">
        <f>($C$20/1.1)/$C$8</f>
        <v/>
      </c>
      <c r="Q31" s="516">
        <f>P31-R31-S31</f>
        <v/>
      </c>
      <c r="R31" s="517">
        <f>$C$12/$C$8</f>
        <v/>
      </c>
      <c r="S31" s="517">
        <f>$C$13/$C$8</f>
        <v/>
      </c>
      <c r="T31" s="515">
        <f>$C$14/$C$8</f>
        <v/>
      </c>
      <c r="U31" s="518">
        <f>P31*1.1+T31</f>
        <v/>
      </c>
      <c r="V31" s="515">
        <f>($C$35/1.1)/$C$8</f>
        <v/>
      </c>
      <c r="W31" s="516">
        <f>V31-X31-Y31</f>
        <v/>
      </c>
      <c r="X31" s="517">
        <f>L31</f>
        <v/>
      </c>
      <c r="Y31" s="517">
        <f>M31</f>
        <v/>
      </c>
      <c r="Z31" s="573">
        <f>T31</f>
        <v/>
      </c>
      <c r="AA31" s="518">
        <f>V31*1.1+Z31</f>
        <v/>
      </c>
    </row>
    <row r="32">
      <c r="C32" s="505" t="n"/>
      <c r="D32" s="539" t="n"/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62">
        <f>$C$17</f>
        <v/>
      </c>
      <c r="K32" s="571">
        <f>$C$15/$C$8</f>
        <v/>
      </c>
      <c r="L32" s="572">
        <f>$C$12/$C$8</f>
        <v/>
      </c>
      <c r="M32" s="572">
        <f>$C$13/$C$8</f>
        <v/>
      </c>
      <c r="N32" s="566">
        <f>$C$14/$C$8</f>
        <v/>
      </c>
      <c r="O32" s="566">
        <f>SUM(K32:M32)*1.1+N32</f>
        <v/>
      </c>
      <c r="P32" s="515">
        <f>($C$20/1.1)/$C$8</f>
        <v/>
      </c>
      <c r="Q32" s="516">
        <f>P32-R32-S32</f>
        <v/>
      </c>
      <c r="R32" s="517">
        <f>$C$12/$C$8</f>
        <v/>
      </c>
      <c r="S32" s="517">
        <f>$C$13/$C$8</f>
        <v/>
      </c>
      <c r="T32" s="515">
        <f>$C$14/$C$8</f>
        <v/>
      </c>
      <c r="U32" s="518">
        <f>P32*1.1+T32</f>
        <v/>
      </c>
      <c r="V32" s="515">
        <f>($C$35/1.1)/$C$8</f>
        <v/>
      </c>
      <c r="W32" s="516">
        <f>V32-X32-Y32</f>
        <v/>
      </c>
      <c r="X32" s="517">
        <f>L32</f>
        <v/>
      </c>
      <c r="Y32" s="517">
        <f>M32</f>
        <v/>
      </c>
      <c r="Z32" s="573">
        <f>T32</f>
        <v/>
      </c>
      <c r="AA32" s="518">
        <f>V32*1.1+Z32</f>
        <v/>
      </c>
    </row>
    <row r="33">
      <c r="B33" s="9" t="inlineStr">
        <is>
          <t>단품 할인 반영 순수 구독료 (V-)</t>
        </is>
      </c>
      <c r="C33" s="506">
        <f>C29-C12-C13-C14</f>
        <v/>
      </c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62">
        <f>$C$17</f>
        <v/>
      </c>
      <c r="K33" s="571">
        <f>$C$15/$C$8</f>
        <v/>
      </c>
      <c r="L33" s="572">
        <f>$C$12/$C$8</f>
        <v/>
      </c>
      <c r="M33" s="572">
        <f>$C$13/$C$8</f>
        <v/>
      </c>
      <c r="N33" s="566">
        <f>$C$14/$C$8</f>
        <v/>
      </c>
      <c r="O33" s="566">
        <f>SUM(K33:M33)*1.1+N33</f>
        <v/>
      </c>
      <c r="P33" s="515">
        <f>($C$20/1.1)/$C$8</f>
        <v/>
      </c>
      <c r="Q33" s="516">
        <f>P33-R33-S33</f>
        <v/>
      </c>
      <c r="R33" s="517">
        <f>$C$12/$C$8</f>
        <v/>
      </c>
      <c r="S33" s="517">
        <f>$C$13/$C$8</f>
        <v/>
      </c>
      <c r="T33" s="515">
        <f>$C$14/$C$8</f>
        <v/>
      </c>
      <c r="U33" s="518">
        <f>P33*1.1+T33</f>
        <v/>
      </c>
      <c r="V33" s="515">
        <f>($C$35/1.1)/$C$8</f>
        <v/>
      </c>
      <c r="W33" s="516">
        <f>V33-X33-Y33</f>
        <v/>
      </c>
      <c r="X33" s="517">
        <f>L33</f>
        <v/>
      </c>
      <c r="Y33" s="517">
        <f>M33</f>
        <v/>
      </c>
      <c r="Z33" s="573">
        <f>T33</f>
        <v/>
      </c>
      <c r="AA33" s="518">
        <f>V33*1.1+Z33</f>
        <v/>
      </c>
    </row>
    <row r="34">
      <c r="B34" s="9" t="inlineStr">
        <is>
          <t>단품 할인 반영 순수 구독료 월할 (V-)</t>
        </is>
      </c>
      <c r="C34" s="506">
        <f>C33/C8</f>
        <v/>
      </c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62">
        <f>$C$17</f>
        <v/>
      </c>
      <c r="K34" s="571">
        <f>$C$15/$C$8</f>
        <v/>
      </c>
      <c r="L34" s="572">
        <f>$C$12/$C$8</f>
        <v/>
      </c>
      <c r="M34" s="572">
        <f>$C$13/$C$8</f>
        <v/>
      </c>
      <c r="N34" s="566">
        <f>$C$14/$C$8</f>
        <v/>
      </c>
      <c r="O34" s="566">
        <f>SUM(K34:M34)*1.1+N34</f>
        <v/>
      </c>
      <c r="P34" s="515">
        <f>($C$20/1.1)/$C$8</f>
        <v/>
      </c>
      <c r="Q34" s="516">
        <f>P34-R34-S34</f>
        <v/>
      </c>
      <c r="R34" s="517">
        <f>$C$12/$C$8</f>
        <v/>
      </c>
      <c r="S34" s="517">
        <f>$C$13/$C$8</f>
        <v/>
      </c>
      <c r="T34" s="515">
        <f>$C$14/$C$8</f>
        <v/>
      </c>
      <c r="U34" s="518">
        <f>P34*1.1+T34</f>
        <v/>
      </c>
      <c r="V34" s="515">
        <f>($C$35/1.1)/$C$8</f>
        <v/>
      </c>
      <c r="W34" s="516">
        <f>V34-X34-Y34</f>
        <v/>
      </c>
      <c r="X34" s="517">
        <f>L34</f>
        <v/>
      </c>
      <c r="Y34" s="517">
        <f>M34</f>
        <v/>
      </c>
      <c r="Z34" s="573">
        <f>T34</f>
        <v/>
      </c>
      <c r="AA34" s="518">
        <f>V34*1.1+Z34</f>
        <v/>
      </c>
    </row>
    <row r="35">
      <c r="B35" s="9" t="inlineStr">
        <is>
          <t>단품 할인 반영 파손제외 구독료 (v+)</t>
        </is>
      </c>
      <c r="C35" s="527">
        <f>C31-C14</f>
        <v/>
      </c>
      <c r="D35" s="505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62">
        <f>$C$17</f>
        <v/>
      </c>
      <c r="K35" s="571">
        <f>$C$15/$C$8</f>
        <v/>
      </c>
      <c r="L35" s="572">
        <f>$C$12/$C$8</f>
        <v/>
      </c>
      <c r="M35" s="572">
        <f>$C$13/$C$8</f>
        <v/>
      </c>
      <c r="N35" s="566">
        <f>$C$14/$C$8</f>
        <v/>
      </c>
      <c r="O35" s="566">
        <f>SUM(K35:M35)*1.1+N35</f>
        <v/>
      </c>
      <c r="P35" s="515">
        <f>($C$20/1.1)/$C$8</f>
        <v/>
      </c>
      <c r="Q35" s="516">
        <f>P35-R35-S35</f>
        <v/>
      </c>
      <c r="R35" s="517">
        <f>$C$12/$C$8</f>
        <v/>
      </c>
      <c r="S35" s="517">
        <f>$C$13/$C$8</f>
        <v/>
      </c>
      <c r="T35" s="515">
        <f>$C$14/$C$8</f>
        <v/>
      </c>
      <c r="U35" s="518">
        <f>P35*1.1+T35</f>
        <v/>
      </c>
      <c r="V35" s="515">
        <f>($C$35/1.1)/$C$8</f>
        <v/>
      </c>
      <c r="W35" s="516">
        <f>V35-X35-Y35</f>
        <v/>
      </c>
      <c r="X35" s="517">
        <f>L35</f>
        <v/>
      </c>
      <c r="Y35" s="517">
        <f>M35</f>
        <v/>
      </c>
      <c r="Z35" s="573">
        <f>T35</f>
        <v/>
      </c>
      <c r="AA35" s="518">
        <f>V35*1.1+Z35</f>
        <v/>
      </c>
    </row>
    <row r="36">
      <c r="C36" s="505" t="n"/>
      <c r="D36" s="505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62">
        <f>$C$17</f>
        <v/>
      </c>
      <c r="K36" s="571">
        <f>$C$15/$C$8</f>
        <v/>
      </c>
      <c r="L36" s="572">
        <f>$C$12/$C$8</f>
        <v/>
      </c>
      <c r="M36" s="572">
        <f>$C$13/$C$8</f>
        <v/>
      </c>
      <c r="N36" s="566">
        <f>$C$14/$C$8</f>
        <v/>
      </c>
      <c r="O36" s="566">
        <f>SUM(K36:M36)*1.1+N36</f>
        <v/>
      </c>
      <c r="P36" s="515">
        <f>($C$20/1.1)/$C$8</f>
        <v/>
      </c>
      <c r="Q36" s="516">
        <f>P36-R36-S36</f>
        <v/>
      </c>
      <c r="R36" s="517">
        <f>$C$12/$C$8</f>
        <v/>
      </c>
      <c r="S36" s="517">
        <f>$C$13/$C$8</f>
        <v/>
      </c>
      <c r="T36" s="515">
        <f>$C$14/$C$8</f>
        <v/>
      </c>
      <c r="U36" s="518">
        <f>P36*1.1+T36</f>
        <v/>
      </c>
      <c r="V36" s="515">
        <f>($C$35/1.1)/$C$8</f>
        <v/>
      </c>
      <c r="W36" s="516">
        <f>V36-X36-Y36</f>
        <v/>
      </c>
      <c r="X36" s="517">
        <f>L36</f>
        <v/>
      </c>
      <c r="Y36" s="517">
        <f>M36</f>
        <v/>
      </c>
      <c r="Z36" s="573">
        <f>T36</f>
        <v/>
      </c>
      <c r="AA36" s="518">
        <f>V36*1.1+Z36</f>
        <v/>
      </c>
    </row>
    <row r="37">
      <c r="D37" s="505" t="n"/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62">
        <f>$C$17</f>
        <v/>
      </c>
      <c r="K37" s="571">
        <f>$C$15/$C$8</f>
        <v/>
      </c>
      <c r="L37" s="572">
        <f>$C$12/$C$8</f>
        <v/>
      </c>
      <c r="M37" s="572">
        <f>$C$13/$C$8</f>
        <v/>
      </c>
      <c r="N37" s="566">
        <f>$C$14/$C$8</f>
        <v/>
      </c>
      <c r="O37" s="566">
        <f>SUM(K37:M37)*1.1+N37</f>
        <v/>
      </c>
      <c r="P37" s="515">
        <f>($C$20/1.1)/$C$8</f>
        <v/>
      </c>
      <c r="Q37" s="516">
        <f>P37-R37-S37</f>
        <v/>
      </c>
      <c r="R37" s="517">
        <f>$C$12/$C$8</f>
        <v/>
      </c>
      <c r="S37" s="517">
        <f>$C$13/$C$8</f>
        <v/>
      </c>
      <c r="T37" s="515">
        <f>$C$14/$C$8</f>
        <v/>
      </c>
      <c r="U37" s="518">
        <f>P37*1.1+T37</f>
        <v/>
      </c>
      <c r="V37" s="515">
        <f>($C$35/1.1)/$C$8</f>
        <v/>
      </c>
      <c r="W37" s="516">
        <f>V37-X37-Y37</f>
        <v/>
      </c>
      <c r="X37" s="517">
        <f>L37</f>
        <v/>
      </c>
      <c r="Y37" s="517">
        <f>M37</f>
        <v/>
      </c>
      <c r="Z37" s="573">
        <f>T37</f>
        <v/>
      </c>
      <c r="AA37" s="518">
        <f>V37*1.1+Z37</f>
        <v/>
      </c>
    </row>
    <row r="38"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62">
        <f>$C$17</f>
        <v/>
      </c>
      <c r="K38" s="571">
        <f>$C$15/$C$8</f>
        <v/>
      </c>
      <c r="L38" s="572">
        <f>$C$12/$C$8</f>
        <v/>
      </c>
      <c r="M38" s="572">
        <f>$C$13/$C$8</f>
        <v/>
      </c>
      <c r="N38" s="566">
        <f>$C$14/$C$8</f>
        <v/>
      </c>
      <c r="O38" s="566">
        <f>SUM(K38:M38)*1.1+N38</f>
        <v/>
      </c>
      <c r="P38" s="515">
        <f>($C$20/1.1)/$C$8</f>
        <v/>
      </c>
      <c r="Q38" s="516">
        <f>P38-R38-S38</f>
        <v/>
      </c>
      <c r="R38" s="517">
        <f>$C$12/$C$8</f>
        <v/>
      </c>
      <c r="S38" s="517">
        <f>$C$13/$C$8</f>
        <v/>
      </c>
      <c r="T38" s="515">
        <f>$C$14/$C$8</f>
        <v/>
      </c>
      <c r="U38" s="518">
        <f>P38*1.1+T38</f>
        <v/>
      </c>
      <c r="V38" s="515">
        <f>($C$35/1.1)/$C$8</f>
        <v/>
      </c>
      <c r="W38" s="516">
        <f>V38-X38-Y38</f>
        <v/>
      </c>
      <c r="X38" s="517">
        <f>L38</f>
        <v/>
      </c>
      <c r="Y38" s="517">
        <f>M38</f>
        <v/>
      </c>
      <c r="Z38" s="573">
        <f>T38</f>
        <v/>
      </c>
      <c r="AA38" s="518">
        <f>V38*1.1+Z38</f>
        <v/>
      </c>
    </row>
    <row r="39">
      <c r="C39" s="505" t="n"/>
      <c r="D39" s="505" t="n"/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62">
        <f>$C$17</f>
        <v/>
      </c>
      <c r="K39" s="571">
        <f>$C$15/$C$8</f>
        <v/>
      </c>
      <c r="L39" s="572">
        <f>$C$12/$C$8</f>
        <v/>
      </c>
      <c r="M39" s="572">
        <f>$C$13/$C$8</f>
        <v/>
      </c>
      <c r="N39" s="566">
        <f>$C$14/$C$8</f>
        <v/>
      </c>
      <c r="O39" s="566">
        <f>SUM(K39:M39)*1.1+N39</f>
        <v/>
      </c>
      <c r="P39" s="515">
        <f>($C$20/1.1)/$C$8</f>
        <v/>
      </c>
      <c r="Q39" s="516">
        <f>P39-R39-S39</f>
        <v/>
      </c>
      <c r="R39" s="517">
        <f>$C$12/$C$8</f>
        <v/>
      </c>
      <c r="S39" s="517">
        <f>$C$13/$C$8</f>
        <v/>
      </c>
      <c r="T39" s="515">
        <f>$C$14/$C$8</f>
        <v/>
      </c>
      <c r="U39" s="518">
        <f>P39*1.1+T39</f>
        <v/>
      </c>
      <c r="V39" s="515">
        <f>($C$35/1.1)/$C$8</f>
        <v/>
      </c>
      <c r="W39" s="516">
        <f>V39-X39-Y39</f>
        <v/>
      </c>
      <c r="X39" s="517">
        <f>L39</f>
        <v/>
      </c>
      <c r="Y39" s="517">
        <f>M39</f>
        <v/>
      </c>
      <c r="Z39" s="573">
        <f>T39</f>
        <v/>
      </c>
      <c r="AA39" s="518">
        <f>V39*1.1+Z39</f>
        <v/>
      </c>
    </row>
    <row r="40">
      <c r="C40" s="505" t="n"/>
      <c r="D40" s="658" t="n"/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62">
        <f>$C$17</f>
        <v/>
      </c>
      <c r="K40" s="571">
        <f>$C$15/$C$8</f>
        <v/>
      </c>
      <c r="L40" s="572">
        <f>$C$12/$C$8</f>
        <v/>
      </c>
      <c r="M40" s="572">
        <f>$C$13/$C$8</f>
        <v/>
      </c>
      <c r="N40" s="566">
        <f>$C$14/$C$8</f>
        <v/>
      </c>
      <c r="O40" s="566">
        <f>SUM(K40:M40)*1.1+N40</f>
        <v/>
      </c>
      <c r="P40" s="515">
        <f>($C$20/1.1)/$C$8</f>
        <v/>
      </c>
      <c r="Q40" s="516">
        <f>P40-R40-S40</f>
        <v/>
      </c>
      <c r="R40" s="517">
        <f>$C$12/$C$8</f>
        <v/>
      </c>
      <c r="S40" s="517">
        <f>$C$13/$C$8</f>
        <v/>
      </c>
      <c r="T40" s="515">
        <f>$C$14/$C$8</f>
        <v/>
      </c>
      <c r="U40" s="518">
        <f>P40*1.1+T40</f>
        <v/>
      </c>
      <c r="V40" s="515">
        <f>($C$35/1.1)/$C$8</f>
        <v/>
      </c>
      <c r="W40" s="516">
        <f>V40-X40-Y40</f>
        <v/>
      </c>
      <c r="X40" s="517">
        <f>L40</f>
        <v/>
      </c>
      <c r="Y40" s="517">
        <f>M40</f>
        <v/>
      </c>
      <c r="Z40" s="573">
        <f>T40</f>
        <v/>
      </c>
      <c r="AA40" s="518">
        <f>V40*1.1+Z40</f>
        <v/>
      </c>
    </row>
    <row r="41"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62">
        <f>$C$17</f>
        <v/>
      </c>
      <c r="K41" s="571">
        <f>$C$15/$C$8</f>
        <v/>
      </c>
      <c r="L41" s="572">
        <f>$C$12/$C$8</f>
        <v/>
      </c>
      <c r="M41" s="572">
        <f>$C$13/$C$8</f>
        <v/>
      </c>
      <c r="N41" s="566">
        <f>$C$14/$C$8</f>
        <v/>
      </c>
      <c r="O41" s="566">
        <f>SUM(K41:M41)*1.1+N41</f>
        <v/>
      </c>
      <c r="P41" s="515">
        <f>($C$20/1.1)/$C$8</f>
        <v/>
      </c>
      <c r="Q41" s="516">
        <f>P41-R41-S41</f>
        <v/>
      </c>
      <c r="R41" s="517">
        <f>$C$12/$C$8</f>
        <v/>
      </c>
      <c r="S41" s="517">
        <f>$C$13/$C$8</f>
        <v/>
      </c>
      <c r="T41" s="515">
        <f>$C$14/$C$8</f>
        <v/>
      </c>
      <c r="U41" s="518">
        <f>P41*1.1+T41</f>
        <v/>
      </c>
      <c r="V41" s="515">
        <f>($C$35/1.1)/$C$8</f>
        <v/>
      </c>
      <c r="W41" s="516">
        <f>V41-X41-Y41</f>
        <v/>
      </c>
      <c r="X41" s="517">
        <f>L41</f>
        <v/>
      </c>
      <c r="Y41" s="517">
        <f>M41</f>
        <v/>
      </c>
      <c r="Z41" s="573">
        <f>T41</f>
        <v/>
      </c>
      <c r="AA41" s="518">
        <f>V41*1.1+Z41</f>
        <v/>
      </c>
    </row>
    <row r="42"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62">
        <f>$C$17</f>
        <v/>
      </c>
      <c r="K42" s="571">
        <f>$C$15/$C$8</f>
        <v/>
      </c>
      <c r="L42" s="572">
        <f>$C$12/$C$8</f>
        <v/>
      </c>
      <c r="M42" s="572">
        <f>$C$13/$C$8</f>
        <v/>
      </c>
      <c r="N42" s="566">
        <f>$C$14/$C$8</f>
        <v/>
      </c>
      <c r="O42" s="566">
        <f>SUM(K42:M42)*1.1+N42</f>
        <v/>
      </c>
      <c r="P42" s="515">
        <f>($C$20/1.1)/$C$8</f>
        <v/>
      </c>
      <c r="Q42" s="516">
        <f>P42-R42-S42</f>
        <v/>
      </c>
      <c r="R42" s="517">
        <f>$C$12/$C$8</f>
        <v/>
      </c>
      <c r="S42" s="517">
        <f>$C$13/$C$8</f>
        <v/>
      </c>
      <c r="T42" s="515">
        <f>$C$14/$C$8</f>
        <v/>
      </c>
      <c r="U42" s="518">
        <f>P42*1.1+T42</f>
        <v/>
      </c>
      <c r="V42" s="515">
        <f>($C$35/1.1)/$C$8</f>
        <v/>
      </c>
      <c r="W42" s="516">
        <f>V42-X42-Y42</f>
        <v/>
      </c>
      <c r="X42" s="517">
        <f>L42</f>
        <v/>
      </c>
      <c r="Y42" s="517">
        <f>M42</f>
        <v/>
      </c>
      <c r="Z42" s="573">
        <f>T42</f>
        <v/>
      </c>
      <c r="AA42" s="518">
        <f>V42*1.1+Z42</f>
        <v/>
      </c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62">
        <f>$C$17</f>
        <v/>
      </c>
      <c r="K43" s="571">
        <f>$C$15/$C$8</f>
        <v/>
      </c>
      <c r="L43" s="572">
        <f>$C$12/$C$8</f>
        <v/>
      </c>
      <c r="M43" s="572">
        <f>$C$13/$C$8</f>
        <v/>
      </c>
      <c r="N43" s="566">
        <f>$C$14/$C$8</f>
        <v/>
      </c>
      <c r="O43" s="566">
        <f>SUM(K43:M43)*1.1+N43</f>
        <v/>
      </c>
      <c r="P43" s="515">
        <f>($C$20/1.1)/$C$8</f>
        <v/>
      </c>
      <c r="Q43" s="516">
        <f>P43-R43-S43</f>
        <v/>
      </c>
      <c r="R43" s="517">
        <f>$C$12/$C$8</f>
        <v/>
      </c>
      <c r="S43" s="517">
        <f>$C$13/$C$8</f>
        <v/>
      </c>
      <c r="T43" s="515">
        <f>$C$14/$C$8</f>
        <v/>
      </c>
      <c r="U43" s="518">
        <f>P43*1.1+T43</f>
        <v/>
      </c>
      <c r="V43" s="515">
        <f>($C$35/1.1)/$C$8</f>
        <v/>
      </c>
      <c r="W43" s="516">
        <f>V43-X43-Y43</f>
        <v/>
      </c>
      <c r="X43" s="517">
        <f>L43</f>
        <v/>
      </c>
      <c r="Y43" s="517">
        <f>M43</f>
        <v/>
      </c>
      <c r="Z43" s="573">
        <f>T43</f>
        <v/>
      </c>
      <c r="AA43" s="518">
        <f>V43*1.1+Z43</f>
        <v/>
      </c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62">
        <f>$C$17</f>
        <v/>
      </c>
      <c r="K44" s="571">
        <f>$C$15/$C$8</f>
        <v/>
      </c>
      <c r="L44" s="572">
        <f>$C$12/$C$8</f>
        <v/>
      </c>
      <c r="M44" s="572">
        <f>$C$13/$C$8</f>
        <v/>
      </c>
      <c r="N44" s="566">
        <f>$C$14/$C$8</f>
        <v/>
      </c>
      <c r="O44" s="566">
        <f>SUM(K44:M44)*1.1+N44</f>
        <v/>
      </c>
      <c r="P44" s="515">
        <f>($C$20/1.1)/$C$8</f>
        <v/>
      </c>
      <c r="Q44" s="516">
        <f>P44-R44-S44</f>
        <v/>
      </c>
      <c r="R44" s="517">
        <f>$C$12/$C$8</f>
        <v/>
      </c>
      <c r="S44" s="517">
        <f>$C$13/$C$8</f>
        <v/>
      </c>
      <c r="T44" s="515">
        <f>$C$14/$C$8</f>
        <v/>
      </c>
      <c r="U44" s="518">
        <f>P44*1.1+T44</f>
        <v/>
      </c>
      <c r="V44" s="515">
        <f>($C$35/1.1)/$C$8</f>
        <v/>
      </c>
      <c r="W44" s="516">
        <f>V44-X44-Y44</f>
        <v/>
      </c>
      <c r="X44" s="517">
        <f>L44</f>
        <v/>
      </c>
      <c r="Y44" s="517">
        <f>M44</f>
        <v/>
      </c>
      <c r="Z44" s="573">
        <f>T44</f>
        <v/>
      </c>
      <c r="AA44" s="518">
        <f>V44*1.1+Z44</f>
        <v/>
      </c>
    </row>
    <row r="45"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62">
        <f>$C$17</f>
        <v/>
      </c>
      <c r="K45" s="571">
        <f>$C$15/$C$8</f>
        <v/>
      </c>
      <c r="L45" s="572">
        <f>$C$12/$C$8</f>
        <v/>
      </c>
      <c r="M45" s="572">
        <f>$C$13/$C$8</f>
        <v/>
      </c>
      <c r="N45" s="566">
        <f>$C$14/$C$8</f>
        <v/>
      </c>
      <c r="O45" s="566">
        <f>SUM(K45:M45)*1.1+N45</f>
        <v/>
      </c>
      <c r="P45" s="515">
        <f>($C$20/1.1)/$C$8</f>
        <v/>
      </c>
      <c r="Q45" s="516">
        <f>P45-R45-S45</f>
        <v/>
      </c>
      <c r="R45" s="517">
        <f>$C$12/$C$8</f>
        <v/>
      </c>
      <c r="S45" s="517">
        <f>$C$13/$C$8</f>
        <v/>
      </c>
      <c r="T45" s="515">
        <f>$C$14/$C$8</f>
        <v/>
      </c>
      <c r="U45" s="518">
        <f>P45*1.1+T45</f>
        <v/>
      </c>
      <c r="V45" s="515">
        <f>($C$35/1.1)/$C$8</f>
        <v/>
      </c>
      <c r="W45" s="516">
        <f>V45-X45-Y45</f>
        <v/>
      </c>
      <c r="X45" s="517">
        <f>L45</f>
        <v/>
      </c>
      <c r="Y45" s="517">
        <f>M45</f>
        <v/>
      </c>
      <c r="Z45" s="573">
        <f>T45</f>
        <v/>
      </c>
      <c r="AA45" s="518">
        <f>V45*1.1+Z45</f>
        <v/>
      </c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62">
        <f>$C$17</f>
        <v/>
      </c>
      <c r="K46" s="571">
        <f>$C$15/$C$8</f>
        <v/>
      </c>
      <c r="L46" s="572">
        <f>$C$12/$C$8</f>
        <v/>
      </c>
      <c r="M46" s="572">
        <f>$C$13/$C$8</f>
        <v/>
      </c>
      <c r="N46" s="566">
        <f>$C$14/$C$8</f>
        <v/>
      </c>
      <c r="O46" s="566">
        <f>SUM(K46:M46)*1.1+N46</f>
        <v/>
      </c>
      <c r="P46" s="515">
        <f>($C$20/1.1)/$C$8</f>
        <v/>
      </c>
      <c r="Q46" s="516">
        <f>P46-R46-S46</f>
        <v/>
      </c>
      <c r="R46" s="517">
        <f>$C$12/$C$8</f>
        <v/>
      </c>
      <c r="S46" s="517">
        <f>$C$13/$C$8</f>
        <v/>
      </c>
      <c r="T46" s="515">
        <f>$C$14/$C$8</f>
        <v/>
      </c>
      <c r="U46" s="518">
        <f>P46*1.1+T46</f>
        <v/>
      </c>
      <c r="V46" s="515">
        <f>($C$35/1.1)/$C$8</f>
        <v/>
      </c>
      <c r="W46" s="516">
        <f>V46-X46-Y46</f>
        <v/>
      </c>
      <c r="X46" s="517">
        <f>L46</f>
        <v/>
      </c>
      <c r="Y46" s="517">
        <f>M46</f>
        <v/>
      </c>
      <c r="Z46" s="573">
        <f>T46</f>
        <v/>
      </c>
      <c r="AA46" s="518">
        <f>V46*1.1+Z46</f>
        <v/>
      </c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62">
        <f>$C$17</f>
        <v/>
      </c>
      <c r="K47" s="571">
        <f>$C$15/$C$8</f>
        <v/>
      </c>
      <c r="L47" s="572">
        <f>$C$12/$C$8</f>
        <v/>
      </c>
      <c r="M47" s="572">
        <f>$C$13/$C$8</f>
        <v/>
      </c>
      <c r="N47" s="566">
        <f>$C$14/$C$8</f>
        <v/>
      </c>
      <c r="O47" s="566">
        <f>SUM(K47:M47)*1.1+N47</f>
        <v/>
      </c>
      <c r="P47" s="515">
        <f>($C$20/1.1)/$C$8</f>
        <v/>
      </c>
      <c r="Q47" s="516">
        <f>P47-R47-S47</f>
        <v/>
      </c>
      <c r="R47" s="517">
        <f>$C$12/$C$8</f>
        <v/>
      </c>
      <c r="S47" s="517">
        <f>$C$13/$C$8</f>
        <v/>
      </c>
      <c r="T47" s="515">
        <f>$C$14/$C$8</f>
        <v/>
      </c>
      <c r="U47" s="518">
        <f>P47*1.1+T47</f>
        <v/>
      </c>
      <c r="V47" s="515">
        <f>($C$35/1.1)/$C$8</f>
        <v/>
      </c>
      <c r="W47" s="516">
        <f>V47-X47-Y47</f>
        <v/>
      </c>
      <c r="X47" s="517">
        <f>L47</f>
        <v/>
      </c>
      <c r="Y47" s="517">
        <f>M47</f>
        <v/>
      </c>
      <c r="Z47" s="573">
        <f>T47</f>
        <v/>
      </c>
      <c r="AA47" s="518">
        <f>V47*1.1+Z47</f>
        <v/>
      </c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62">
        <f>$C$17</f>
        <v/>
      </c>
      <c r="K48" s="571">
        <f>$C$15/$C$8</f>
        <v/>
      </c>
      <c r="L48" s="572">
        <f>$C$12/$C$8</f>
        <v/>
      </c>
      <c r="M48" s="572">
        <f>$C$13/$C$8</f>
        <v/>
      </c>
      <c r="N48" s="566">
        <f>$C$14/$C$8</f>
        <v/>
      </c>
      <c r="O48" s="566">
        <f>SUM(K48:M48)*1.1+N48</f>
        <v/>
      </c>
      <c r="P48" s="515">
        <f>($C$20/1.1)/$C$8</f>
        <v/>
      </c>
      <c r="Q48" s="516">
        <f>P48-R48-S48</f>
        <v/>
      </c>
      <c r="R48" s="517">
        <f>$C$12/$C$8</f>
        <v/>
      </c>
      <c r="S48" s="517">
        <f>$C$13/$C$8</f>
        <v/>
      </c>
      <c r="T48" s="515">
        <f>$C$14/$C$8</f>
        <v/>
      </c>
      <c r="U48" s="518">
        <f>P48*1.1+T48</f>
        <v/>
      </c>
      <c r="V48" s="515">
        <f>($C$35/1.1)/$C$8</f>
        <v/>
      </c>
      <c r="W48" s="516">
        <f>V48-X48-Y48</f>
        <v/>
      </c>
      <c r="X48" s="517">
        <f>L48</f>
        <v/>
      </c>
      <c r="Y48" s="517">
        <f>M48</f>
        <v/>
      </c>
      <c r="Z48" s="573">
        <f>T48</f>
        <v/>
      </c>
      <c r="AA48" s="518">
        <f>V48*1.1+Z48</f>
        <v/>
      </c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62">
        <f>$C$17</f>
        <v/>
      </c>
      <c r="K49" s="571">
        <f>$C$15/$C$8</f>
        <v/>
      </c>
      <c r="L49" s="572">
        <f>$C$12/$C$8</f>
        <v/>
      </c>
      <c r="M49" s="572">
        <f>$C$13/$C$8</f>
        <v/>
      </c>
      <c r="N49" s="566">
        <f>$C$14/$C$8</f>
        <v/>
      </c>
      <c r="O49" s="566">
        <f>SUM(K49:M49)*1.1+N49</f>
        <v/>
      </c>
      <c r="P49" s="515">
        <f>($C$20/1.1)/$C$8</f>
        <v/>
      </c>
      <c r="Q49" s="516">
        <f>P49-R49-S49</f>
        <v/>
      </c>
      <c r="R49" s="517">
        <f>$C$12/$C$8</f>
        <v/>
      </c>
      <c r="S49" s="517">
        <f>$C$13/$C$8</f>
        <v/>
      </c>
      <c r="T49" s="515">
        <f>$C$14/$C$8</f>
        <v/>
      </c>
      <c r="U49" s="518">
        <f>P49*1.1+T49</f>
        <v/>
      </c>
      <c r="V49" s="515">
        <f>($C$35/1.1)/$C$8</f>
        <v/>
      </c>
      <c r="W49" s="516">
        <f>V49-X49-Y49</f>
        <v/>
      </c>
      <c r="X49" s="517">
        <f>L49</f>
        <v/>
      </c>
      <c r="Y49" s="517">
        <f>M49</f>
        <v/>
      </c>
      <c r="Z49" s="573">
        <f>T49</f>
        <v/>
      </c>
      <c r="AA49" s="518">
        <f>V49*1.1+Z49</f>
        <v/>
      </c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62">
        <f>$C$17</f>
        <v/>
      </c>
      <c r="K50" s="571">
        <f>$C$15/$C$8</f>
        <v/>
      </c>
      <c r="L50" s="572">
        <f>$C$12/$C$8</f>
        <v/>
      </c>
      <c r="M50" s="572">
        <f>$C$13/$C$8</f>
        <v/>
      </c>
      <c r="N50" s="566">
        <f>$C$14/$C$8</f>
        <v/>
      </c>
      <c r="O50" s="566">
        <f>SUM(K50:M50)*1.1+N50</f>
        <v/>
      </c>
      <c r="P50" s="515">
        <f>($C$20/1.1)/$C$8</f>
        <v/>
      </c>
      <c r="Q50" s="516">
        <f>P50-R50-S50</f>
        <v/>
      </c>
      <c r="R50" s="517">
        <f>$C$12/$C$8</f>
        <v/>
      </c>
      <c r="S50" s="517">
        <f>$C$13/$C$8</f>
        <v/>
      </c>
      <c r="T50" s="515">
        <f>$C$14/$C$8</f>
        <v/>
      </c>
      <c r="U50" s="518">
        <f>P50*1.1+T50</f>
        <v/>
      </c>
      <c r="V50" s="515">
        <f>($C$35/1.1)/$C$8</f>
        <v/>
      </c>
      <c r="W50" s="516">
        <f>V50-X50-Y50</f>
        <v/>
      </c>
      <c r="X50" s="517">
        <f>L50</f>
        <v/>
      </c>
      <c r="Y50" s="517">
        <f>M50</f>
        <v/>
      </c>
      <c r="Z50" s="573">
        <f>T50</f>
        <v/>
      </c>
      <c r="AA50" s="518">
        <f>V50*1.1+Z50</f>
        <v/>
      </c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62">
        <f>$C$17</f>
        <v/>
      </c>
      <c r="K51" s="571">
        <f>$C$15/$C$8</f>
        <v/>
      </c>
      <c r="L51" s="572">
        <f>$C$12/$C$8</f>
        <v/>
      </c>
      <c r="M51" s="572">
        <f>$C$13/$C$8</f>
        <v/>
      </c>
      <c r="N51" s="566">
        <f>$C$14/$C$8</f>
        <v/>
      </c>
      <c r="O51" s="566">
        <f>SUM(K51:M51)*1.1+N51</f>
        <v/>
      </c>
      <c r="P51" s="515">
        <f>($C$20/1.1)/$C$8</f>
        <v/>
      </c>
      <c r="Q51" s="516">
        <f>P51-R51-S51</f>
        <v/>
      </c>
      <c r="R51" s="517">
        <f>$C$12/$C$8</f>
        <v/>
      </c>
      <c r="S51" s="517">
        <f>$C$13/$C$8</f>
        <v/>
      </c>
      <c r="T51" s="515">
        <f>$C$14/$C$8</f>
        <v/>
      </c>
      <c r="U51" s="518">
        <f>P51*1.1+T51</f>
        <v/>
      </c>
      <c r="V51" s="515">
        <f>($C$35/1.1)/$C$8</f>
        <v/>
      </c>
      <c r="W51" s="516">
        <f>V51-X51-Y51</f>
        <v/>
      </c>
      <c r="X51" s="517">
        <f>L51</f>
        <v/>
      </c>
      <c r="Y51" s="517">
        <f>M51</f>
        <v/>
      </c>
      <c r="Z51" s="573">
        <f>T51</f>
        <v/>
      </c>
      <c r="AA51" s="518">
        <f>V51*1.1+Z51</f>
        <v/>
      </c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62">
        <f>$C$17</f>
        <v/>
      </c>
      <c r="K52" s="571">
        <f>$C$15/$C$8</f>
        <v/>
      </c>
      <c r="L52" s="572">
        <f>$C$12/$C$8</f>
        <v/>
      </c>
      <c r="M52" s="572">
        <f>$C$13/$C$8</f>
        <v/>
      </c>
      <c r="N52" s="566">
        <f>$C$14/$C$8</f>
        <v/>
      </c>
      <c r="O52" s="566">
        <f>SUM(K52:M52)*1.1+N52</f>
        <v/>
      </c>
      <c r="P52" s="515">
        <f>($C$20/1.1)/$C$8</f>
        <v/>
      </c>
      <c r="Q52" s="516">
        <f>P52-R52-S52</f>
        <v/>
      </c>
      <c r="R52" s="517">
        <f>$C$12/$C$8</f>
        <v/>
      </c>
      <c r="S52" s="517">
        <f>$C$13/$C$8</f>
        <v/>
      </c>
      <c r="T52" s="515">
        <f>$C$14/$C$8</f>
        <v/>
      </c>
      <c r="U52" s="518">
        <f>P52*1.1+T52</f>
        <v/>
      </c>
      <c r="V52" s="515">
        <f>($C$35/1.1)/$C$8</f>
        <v/>
      </c>
      <c r="W52" s="516">
        <f>V52-X52-Y52</f>
        <v/>
      </c>
      <c r="X52" s="517">
        <f>L52</f>
        <v/>
      </c>
      <c r="Y52" s="517">
        <f>M52</f>
        <v/>
      </c>
      <c r="Z52" s="573">
        <f>T52</f>
        <v/>
      </c>
      <c r="AA52" s="518">
        <f>V52*1.1+Z52</f>
        <v/>
      </c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62">
        <f>$C$17</f>
        <v/>
      </c>
      <c r="K53" s="571">
        <f>$C$15/$C$8</f>
        <v/>
      </c>
      <c r="L53" s="572">
        <f>$C$12/$C$8</f>
        <v/>
      </c>
      <c r="M53" s="572">
        <f>$C$13/$C$8</f>
        <v/>
      </c>
      <c r="N53" s="566">
        <f>$C$14/$C$8</f>
        <v/>
      </c>
      <c r="O53" s="566">
        <f>SUM(K53:M53)*1.1+N53</f>
        <v/>
      </c>
      <c r="P53" s="515">
        <f>($C$20/1.1)/$C$8</f>
        <v/>
      </c>
      <c r="Q53" s="516">
        <f>P53-R53-S53</f>
        <v/>
      </c>
      <c r="R53" s="517">
        <f>$C$12/$C$8</f>
        <v/>
      </c>
      <c r="S53" s="517">
        <f>$C$13/$C$8</f>
        <v/>
      </c>
      <c r="T53" s="515">
        <f>$C$14/$C$8</f>
        <v/>
      </c>
      <c r="U53" s="518">
        <f>P53*1.1+T53</f>
        <v/>
      </c>
      <c r="V53" s="515">
        <f>($C$35/1.1)/$C$8</f>
        <v/>
      </c>
      <c r="W53" s="516">
        <f>V53-X53-Y53</f>
        <v/>
      </c>
      <c r="X53" s="517">
        <f>L53</f>
        <v/>
      </c>
      <c r="Y53" s="517">
        <f>M53</f>
        <v/>
      </c>
      <c r="Z53" s="573">
        <f>T53</f>
        <v/>
      </c>
      <c r="AA53" s="518">
        <f>V53*1.1+Z53</f>
        <v/>
      </c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62">
        <f>$C$17-J6</f>
        <v/>
      </c>
      <c r="K54" s="571">
        <f>$C$15/$C$8-K6</f>
        <v/>
      </c>
      <c r="L54" s="572">
        <f>$C$12/$C$8</f>
        <v/>
      </c>
      <c r="M54" s="572">
        <f>$C$13/$C$8-M6</f>
        <v/>
      </c>
      <c r="N54" s="566">
        <f>$C$14/$C$8-N6</f>
        <v/>
      </c>
      <c r="O54" s="566">
        <f>SUM(K54:M54)*1.1+N54</f>
        <v/>
      </c>
      <c r="P54" s="515">
        <f>($C$20/1.1)/$C$8-P6</f>
        <v/>
      </c>
      <c r="Q54" s="516">
        <f>P54-R54-S54</f>
        <v/>
      </c>
      <c r="R54" s="517">
        <f>$C$12/$C$8</f>
        <v/>
      </c>
      <c r="S54" s="517">
        <f>$C$13/$C$8-S6</f>
        <v/>
      </c>
      <c r="T54" s="515">
        <f>$C$14/$C$8-T6</f>
        <v/>
      </c>
      <c r="U54" s="518">
        <f>P54*1.1+T54</f>
        <v/>
      </c>
      <c r="V54" s="515">
        <f>($C$35/1.1)/$C$8-V6</f>
        <v/>
      </c>
      <c r="W54" s="516">
        <f>V54-X54-Y54</f>
        <v/>
      </c>
      <c r="X54" s="517">
        <f>L54</f>
        <v/>
      </c>
      <c r="Y54" s="517">
        <f>M54</f>
        <v/>
      </c>
      <c r="Z54" s="573">
        <f>T54</f>
        <v/>
      </c>
      <c r="AA54" s="518">
        <f>V54*1.1+Z54</f>
        <v/>
      </c>
    </row>
    <row r="55">
      <c r="F55" s="101" t="n"/>
      <c r="G55" s="102" t="n"/>
      <c r="H55" s="102" t="n"/>
      <c r="I55" s="103" t="n"/>
      <c r="J55" s="562" t="n"/>
      <c r="K55" s="571" t="n"/>
      <c r="L55" s="572" t="n"/>
      <c r="M55" s="572" t="n"/>
      <c r="N55" s="566" t="n"/>
      <c r="O55" s="566" t="n"/>
      <c r="P55" s="515" t="n"/>
      <c r="Q55" s="516" t="n"/>
      <c r="R55" s="517" t="n"/>
      <c r="S55" s="517" t="n"/>
      <c r="T55" s="515" t="n"/>
      <c r="U55" s="518" t="n"/>
      <c r="V55" s="515" t="n"/>
      <c r="W55" s="516" t="n"/>
      <c r="X55" s="500" t="n"/>
      <c r="Y55" s="500" t="n"/>
      <c r="Z55" s="573" t="n"/>
      <c r="AA55" s="518" t="n"/>
    </row>
    <row r="56">
      <c r="F56" s="101" t="n"/>
      <c r="G56" s="102" t="n"/>
      <c r="H56" s="102" t="n"/>
      <c r="I56" s="103" t="n"/>
      <c r="J56" s="562" t="n"/>
      <c r="K56" s="571" t="n"/>
      <c r="L56" s="572" t="n"/>
      <c r="M56" s="572" t="n"/>
      <c r="N56" s="566" t="n"/>
      <c r="O56" s="566" t="n"/>
      <c r="P56" s="515" t="n"/>
      <c r="Q56" s="516" t="n"/>
      <c r="R56" s="517" t="n"/>
      <c r="S56" s="517" t="n"/>
      <c r="T56" s="515" t="n"/>
      <c r="U56" s="518" t="n"/>
      <c r="V56" s="515" t="n"/>
      <c r="W56" s="516" t="n"/>
      <c r="X56" s="500" t="n"/>
      <c r="Y56" s="500" t="n"/>
      <c r="Z56" s="573" t="n"/>
      <c r="AA56" s="518" t="n"/>
    </row>
    <row r="57">
      <c r="F57" s="101" t="n"/>
      <c r="G57" s="102" t="n"/>
      <c r="H57" s="102" t="n"/>
      <c r="I57" s="103" t="n"/>
      <c r="J57" s="562" t="n"/>
      <c r="K57" s="571" t="n"/>
      <c r="L57" s="572" t="n"/>
      <c r="M57" s="572" t="n"/>
      <c r="N57" s="566" t="n"/>
      <c r="O57" s="566" t="n"/>
      <c r="P57" s="515" t="n"/>
      <c r="Q57" s="516" t="n"/>
      <c r="R57" s="517" t="n"/>
      <c r="S57" s="517" t="n"/>
      <c r="T57" s="515" t="n"/>
      <c r="U57" s="518" t="n"/>
      <c r="V57" s="515" t="n"/>
      <c r="W57" s="516" t="n"/>
      <c r="X57" s="500" t="n"/>
      <c r="Y57" s="500" t="n"/>
      <c r="Z57" s="573" t="n"/>
      <c r="AA57" s="518" t="n"/>
    </row>
    <row r="58">
      <c r="F58" s="101" t="n"/>
      <c r="G58" s="102" t="n"/>
      <c r="H58" s="102" t="n"/>
      <c r="I58" s="103" t="n"/>
      <c r="J58" s="562" t="n"/>
      <c r="K58" s="571" t="n"/>
      <c r="L58" s="572" t="n"/>
      <c r="M58" s="572" t="n"/>
      <c r="N58" s="566" t="n"/>
      <c r="O58" s="566" t="n"/>
      <c r="P58" s="515" t="n"/>
      <c r="Q58" s="516" t="n"/>
      <c r="R58" s="517" t="n"/>
      <c r="S58" s="517" t="n"/>
      <c r="T58" s="515" t="n"/>
      <c r="U58" s="518" t="n"/>
      <c r="V58" s="515" t="n"/>
      <c r="W58" s="516" t="n"/>
      <c r="X58" s="500" t="n"/>
      <c r="Y58" s="500" t="n"/>
      <c r="Z58" s="573" t="n"/>
      <c r="AA58" s="518" t="n"/>
    </row>
    <row r="59">
      <c r="F59" s="101" t="n"/>
      <c r="G59" s="102" t="n"/>
      <c r="H59" s="102" t="n"/>
      <c r="I59" s="103" t="n"/>
      <c r="J59" s="562" t="n"/>
      <c r="K59" s="571" t="n"/>
      <c r="L59" s="572" t="n"/>
      <c r="M59" s="572" t="n"/>
      <c r="N59" s="566" t="n"/>
      <c r="O59" s="566" t="n"/>
      <c r="P59" s="515" t="n"/>
      <c r="Q59" s="516" t="n"/>
      <c r="R59" s="517" t="n"/>
      <c r="S59" s="517" t="n"/>
      <c r="T59" s="515" t="n"/>
      <c r="U59" s="518" t="n"/>
      <c r="V59" s="515" t="n"/>
      <c r="W59" s="516" t="n"/>
      <c r="X59" s="500" t="n"/>
      <c r="Y59" s="500" t="n"/>
      <c r="Z59" s="573" t="n"/>
      <c r="AA59" s="518" t="n"/>
    </row>
    <row r="60">
      <c r="F60" s="101" t="n"/>
      <c r="G60" s="102" t="n"/>
      <c r="H60" s="102" t="n"/>
      <c r="I60" s="103" t="n"/>
      <c r="J60" s="562" t="n"/>
      <c r="K60" s="571" t="n"/>
      <c r="L60" s="572" t="n"/>
      <c r="M60" s="572" t="n"/>
      <c r="N60" s="566" t="n"/>
      <c r="O60" s="566" t="n"/>
      <c r="P60" s="515" t="n"/>
      <c r="Q60" s="516" t="n"/>
      <c r="R60" s="517" t="n"/>
      <c r="S60" s="517" t="n"/>
      <c r="T60" s="515" t="n"/>
      <c r="U60" s="518" t="n"/>
      <c r="V60" s="515" t="n"/>
      <c r="W60" s="516" t="n"/>
      <c r="X60" s="500" t="n"/>
      <c r="Y60" s="500" t="n"/>
      <c r="Z60" s="573" t="n"/>
      <c r="AA60" s="518" t="n"/>
    </row>
    <row r="61">
      <c r="F61" s="101" t="n"/>
      <c r="G61" s="102" t="n"/>
      <c r="H61" s="102" t="n"/>
      <c r="I61" s="103" t="n"/>
      <c r="J61" s="562" t="n"/>
      <c r="K61" s="571" t="n"/>
      <c r="L61" s="572" t="n"/>
      <c r="M61" s="572" t="n"/>
      <c r="N61" s="566" t="n"/>
      <c r="O61" s="566" t="n"/>
      <c r="P61" s="515" t="n"/>
      <c r="Q61" s="516" t="n"/>
      <c r="R61" s="517" t="n"/>
      <c r="S61" s="517" t="n"/>
      <c r="T61" s="515" t="n"/>
      <c r="U61" s="518" t="n"/>
      <c r="V61" s="515" t="n"/>
      <c r="W61" s="516" t="n"/>
      <c r="X61" s="500" t="n"/>
      <c r="Y61" s="500" t="n"/>
      <c r="Z61" s="573" t="n"/>
      <c r="AA61" s="518" t="n"/>
    </row>
    <row r="62">
      <c r="F62" s="101" t="n"/>
      <c r="G62" s="102" t="n"/>
      <c r="H62" s="102" t="n"/>
      <c r="I62" s="103" t="n"/>
      <c r="J62" s="562" t="n"/>
      <c r="K62" s="571" t="n"/>
      <c r="L62" s="572" t="n"/>
      <c r="M62" s="572" t="n"/>
      <c r="N62" s="566" t="n"/>
      <c r="O62" s="566" t="n"/>
      <c r="P62" s="515" t="n"/>
      <c r="Q62" s="516" t="n"/>
      <c r="R62" s="517" t="n"/>
      <c r="S62" s="517" t="n"/>
      <c r="T62" s="515" t="n"/>
      <c r="U62" s="518" t="n"/>
      <c r="V62" s="515" t="n"/>
      <c r="W62" s="516" t="n"/>
      <c r="X62" s="500" t="n"/>
      <c r="Y62" s="500" t="n"/>
      <c r="Z62" s="573" t="n"/>
      <c r="AA62" s="518" t="n"/>
    </row>
    <row r="63">
      <c r="F63" s="101" t="n"/>
      <c r="G63" s="102" t="n"/>
      <c r="H63" s="102" t="n"/>
      <c r="I63" s="103" t="n"/>
      <c r="J63" s="562" t="n"/>
      <c r="K63" s="571" t="n"/>
      <c r="L63" s="572" t="n"/>
      <c r="M63" s="572" t="n"/>
      <c r="N63" s="566" t="n"/>
      <c r="O63" s="566" t="n"/>
      <c r="P63" s="515" t="n"/>
      <c r="Q63" s="516" t="n"/>
      <c r="R63" s="517" t="n"/>
      <c r="S63" s="517" t="n"/>
      <c r="T63" s="515" t="n"/>
      <c r="U63" s="518" t="n"/>
      <c r="V63" s="515" t="n"/>
      <c r="W63" s="516" t="n"/>
      <c r="X63" s="500" t="n"/>
      <c r="Y63" s="500" t="n"/>
      <c r="Z63" s="573" t="n"/>
      <c r="AA63" s="518" t="n"/>
    </row>
    <row r="64">
      <c r="F64" s="101" t="n"/>
      <c r="G64" s="102" t="n"/>
      <c r="H64" s="102" t="n"/>
      <c r="I64" s="103" t="n"/>
      <c r="J64" s="562" t="n"/>
      <c r="K64" s="571" t="n"/>
      <c r="L64" s="572" t="n"/>
      <c r="M64" s="572" t="n"/>
      <c r="N64" s="566" t="n"/>
      <c r="O64" s="566" t="n"/>
      <c r="P64" s="515" t="n"/>
      <c r="Q64" s="516" t="n"/>
      <c r="R64" s="517" t="n"/>
      <c r="S64" s="517" t="n"/>
      <c r="T64" s="515" t="n"/>
      <c r="U64" s="518" t="n"/>
      <c r="V64" s="515" t="n"/>
      <c r="W64" s="516" t="n"/>
      <c r="X64" s="500" t="n"/>
      <c r="Y64" s="500" t="n"/>
      <c r="Z64" s="573" t="n"/>
      <c r="AA64" s="518" t="n"/>
    </row>
    <row r="65">
      <c r="F65" s="101" t="n"/>
      <c r="G65" s="102" t="n"/>
      <c r="H65" s="102" t="n"/>
      <c r="I65" s="103" t="n"/>
      <c r="J65" s="562" t="n"/>
      <c r="K65" s="571" t="n"/>
      <c r="L65" s="572" t="n"/>
      <c r="M65" s="572" t="n"/>
      <c r="N65" s="566" t="n"/>
      <c r="O65" s="566" t="n"/>
      <c r="P65" s="515" t="n"/>
      <c r="Q65" s="516" t="n"/>
      <c r="R65" s="517" t="n"/>
      <c r="S65" s="517" t="n"/>
      <c r="T65" s="515" t="n"/>
      <c r="U65" s="518" t="n"/>
      <c r="V65" s="515" t="n"/>
      <c r="W65" s="516" t="n"/>
      <c r="X65" s="500" t="n"/>
      <c r="Y65" s="500" t="n"/>
      <c r="Z65" s="573" t="n"/>
      <c r="AA65" s="518" t="n"/>
    </row>
    <row r="66">
      <c r="F66" s="101" t="n"/>
      <c r="G66" s="102" t="n"/>
      <c r="H66" s="102" t="n"/>
      <c r="I66" s="103" t="n"/>
      <c r="J66" s="562" t="n"/>
      <c r="K66" s="571" t="n"/>
      <c r="L66" s="572" t="n"/>
      <c r="M66" s="572" t="n"/>
      <c r="N66" s="566" t="n"/>
      <c r="O66" s="566" t="n"/>
      <c r="P66" s="515" t="n"/>
      <c r="Q66" s="516" t="n"/>
      <c r="R66" s="517" t="n"/>
      <c r="S66" s="517" t="n"/>
      <c r="T66" s="515" t="n"/>
      <c r="U66" s="518" t="n"/>
      <c r="V66" s="515" t="n"/>
      <c r="W66" s="516" t="n"/>
      <c r="X66" s="500" t="n"/>
      <c r="Y66" s="500" t="n"/>
      <c r="Z66" s="573" t="n"/>
      <c r="AA66" s="518" t="n"/>
    </row>
    <row r="67">
      <c r="F67" s="101" t="n"/>
      <c r="G67" s="102" t="n"/>
      <c r="H67" s="102" t="n"/>
      <c r="I67" s="103" t="n"/>
      <c r="J67" s="562" t="n"/>
      <c r="K67" s="571" t="n"/>
      <c r="L67" s="572" t="n"/>
      <c r="M67" s="572" t="n"/>
      <c r="N67" s="566" t="n"/>
      <c r="O67" s="566" t="n"/>
      <c r="P67" s="515" t="n"/>
      <c r="Q67" s="516" t="n"/>
      <c r="R67" s="517" t="n"/>
      <c r="S67" s="517" t="n"/>
      <c r="T67" s="515" t="n"/>
      <c r="U67" s="518" t="n"/>
      <c r="V67" s="515" t="n"/>
      <c r="W67" s="516" t="n"/>
      <c r="X67" s="500" t="n"/>
      <c r="Y67" s="500" t="n"/>
      <c r="Z67" s="573" t="n"/>
      <c r="AA67" s="518" t="n"/>
    </row>
    <row r="68">
      <c r="F68" s="101" t="n"/>
      <c r="G68" s="102" t="n"/>
      <c r="H68" s="102" t="n"/>
      <c r="I68" s="103" t="n"/>
      <c r="J68" s="562" t="n"/>
      <c r="K68" s="571" t="n"/>
      <c r="L68" s="572" t="n"/>
      <c r="M68" s="572" t="n"/>
      <c r="N68" s="566" t="n"/>
      <c r="O68" s="566" t="n"/>
      <c r="P68" s="515" t="n"/>
      <c r="Q68" s="516" t="n"/>
      <c r="R68" s="517" t="n"/>
      <c r="S68" s="517" t="n"/>
      <c r="T68" s="515" t="n"/>
      <c r="U68" s="518" t="n"/>
      <c r="V68" s="515" t="n"/>
      <c r="W68" s="516" t="n"/>
      <c r="X68" s="500" t="n"/>
      <c r="Y68" s="500" t="n"/>
      <c r="Z68" s="573" t="n"/>
      <c r="AA68" s="518" t="n"/>
    </row>
    <row r="69">
      <c r="F69" s="101" t="n"/>
      <c r="G69" s="102" t="n"/>
      <c r="H69" s="102" t="n"/>
      <c r="I69" s="103" t="n"/>
      <c r="J69" s="562" t="n"/>
      <c r="K69" s="571" t="n"/>
      <c r="L69" s="572" t="n"/>
      <c r="M69" s="572" t="n"/>
      <c r="N69" s="566" t="n"/>
      <c r="O69" s="566" t="n"/>
      <c r="P69" s="515" t="n"/>
      <c r="Q69" s="516" t="n"/>
      <c r="R69" s="517" t="n"/>
      <c r="S69" s="517" t="n"/>
      <c r="T69" s="515" t="n"/>
      <c r="U69" s="518" t="n"/>
      <c r="V69" s="515" t="n"/>
      <c r="W69" s="516" t="n"/>
      <c r="X69" s="500" t="n"/>
      <c r="Y69" s="500" t="n"/>
      <c r="Z69" s="573" t="n"/>
      <c r="AA69" s="518" t="n"/>
    </row>
    <row r="70">
      <c r="F70" s="101" t="n"/>
      <c r="G70" s="102" t="n"/>
      <c r="H70" s="102" t="n"/>
      <c r="I70" s="103" t="n"/>
      <c r="J70" s="562" t="n"/>
      <c r="K70" s="571" t="n"/>
      <c r="L70" s="572" t="n"/>
      <c r="M70" s="572" t="n"/>
      <c r="N70" s="566" t="n"/>
      <c r="O70" s="566" t="n"/>
      <c r="P70" s="515" t="n"/>
      <c r="Q70" s="516" t="n"/>
      <c r="R70" s="517" t="n"/>
      <c r="S70" s="517" t="n"/>
      <c r="T70" s="515" t="n"/>
      <c r="U70" s="518" t="n"/>
      <c r="V70" s="515" t="n"/>
      <c r="W70" s="516" t="n"/>
      <c r="X70" s="500" t="n"/>
      <c r="Y70" s="500" t="n"/>
      <c r="Z70" s="573" t="n"/>
      <c r="AA70" s="518" t="n"/>
    </row>
    <row r="71">
      <c r="F71" s="101" t="n"/>
      <c r="G71" s="102" t="n"/>
      <c r="H71" s="102" t="n"/>
      <c r="I71" s="103" t="n"/>
      <c r="J71" s="562" t="n"/>
      <c r="K71" s="571" t="n"/>
      <c r="L71" s="572" t="n"/>
      <c r="M71" s="572" t="n"/>
      <c r="N71" s="566" t="n"/>
      <c r="O71" s="566" t="n"/>
      <c r="P71" s="515" t="n"/>
      <c r="Q71" s="516" t="n"/>
      <c r="R71" s="517" t="n"/>
      <c r="S71" s="517" t="n"/>
      <c r="T71" s="515" t="n"/>
      <c r="U71" s="518" t="n"/>
      <c r="V71" s="515" t="n"/>
      <c r="W71" s="516" t="n"/>
      <c r="X71" s="500" t="n"/>
      <c r="Y71" s="500" t="n"/>
      <c r="Z71" s="573" t="n"/>
      <c r="AA71" s="518" t="n"/>
    </row>
    <row r="72">
      <c r="F72" s="101" t="n"/>
      <c r="G72" s="102" t="n"/>
      <c r="H72" s="102" t="n"/>
      <c r="I72" s="103" t="n"/>
      <c r="J72" s="562" t="n"/>
      <c r="K72" s="571" t="n"/>
      <c r="L72" s="572" t="n"/>
      <c r="M72" s="572" t="n"/>
      <c r="N72" s="566" t="n"/>
      <c r="O72" s="566" t="n"/>
      <c r="P72" s="515" t="n"/>
      <c r="Q72" s="516" t="n"/>
      <c r="R72" s="517" t="n"/>
      <c r="S72" s="517" t="n"/>
      <c r="T72" s="515" t="n"/>
      <c r="U72" s="518" t="n"/>
      <c r="V72" s="515" t="n"/>
      <c r="W72" s="516" t="n"/>
      <c r="X72" s="500" t="n"/>
      <c r="Y72" s="500" t="n"/>
      <c r="Z72" s="573" t="n"/>
      <c r="AA72" s="518" t="n"/>
    </row>
    <row r="73">
      <c r="F73" s="101" t="n"/>
      <c r="G73" s="102" t="n"/>
      <c r="H73" s="102" t="n"/>
      <c r="I73" s="103" t="n"/>
      <c r="J73" s="562" t="n"/>
      <c r="K73" s="571" t="n"/>
      <c r="L73" s="572" t="n"/>
      <c r="M73" s="572" t="n"/>
      <c r="N73" s="566" t="n"/>
      <c r="O73" s="566" t="n"/>
      <c r="P73" s="515" t="n"/>
      <c r="Q73" s="516" t="n"/>
      <c r="R73" s="517" t="n"/>
      <c r="S73" s="517" t="n"/>
      <c r="T73" s="515" t="n"/>
      <c r="U73" s="518" t="n"/>
      <c r="V73" s="515" t="n"/>
      <c r="W73" s="516" t="n"/>
      <c r="X73" s="500" t="n"/>
      <c r="Y73" s="500" t="n"/>
      <c r="Z73" s="573" t="n"/>
      <c r="AA73" s="518" t="n"/>
    </row>
    <row r="74">
      <c r="F74" s="101" t="n"/>
      <c r="G74" s="102" t="n"/>
      <c r="H74" s="102" t="n"/>
      <c r="I74" s="103" t="n"/>
      <c r="J74" s="562" t="n"/>
      <c r="K74" s="571" t="n"/>
      <c r="L74" s="572" t="n"/>
      <c r="M74" s="572" t="n"/>
      <c r="N74" s="566" t="n"/>
      <c r="O74" s="566" t="n"/>
      <c r="P74" s="515" t="n"/>
      <c r="Q74" s="516" t="n"/>
      <c r="R74" s="517" t="n"/>
      <c r="S74" s="517" t="n"/>
      <c r="T74" s="515" t="n"/>
      <c r="U74" s="518" t="n"/>
      <c r="V74" s="515" t="n"/>
      <c r="W74" s="516" t="n"/>
      <c r="X74" s="500" t="n"/>
      <c r="Y74" s="500" t="n"/>
      <c r="Z74" s="573" t="n"/>
      <c r="AA74" s="518" t="n"/>
    </row>
    <row r="75">
      <c r="F75" s="101" t="n"/>
      <c r="G75" s="102" t="n"/>
      <c r="H75" s="102" t="n"/>
      <c r="I75" s="103" t="n"/>
      <c r="J75" s="562" t="n"/>
      <c r="K75" s="571" t="n"/>
      <c r="L75" s="572" t="n"/>
      <c r="M75" s="572" t="n"/>
      <c r="N75" s="566" t="n"/>
      <c r="O75" s="566" t="n"/>
      <c r="P75" s="515" t="n"/>
      <c r="Q75" s="516" t="n"/>
      <c r="R75" s="517" t="n"/>
      <c r="S75" s="517" t="n"/>
      <c r="T75" s="515" t="n"/>
      <c r="U75" s="518" t="n"/>
      <c r="V75" s="515" t="n"/>
      <c r="W75" s="516" t="n"/>
      <c r="X75" s="500" t="n"/>
      <c r="Y75" s="500" t="n"/>
      <c r="Z75" s="573" t="n"/>
      <c r="AA75" s="518" t="n"/>
    </row>
    <row r="76">
      <c r="F76" s="101" t="n"/>
      <c r="G76" s="102" t="n"/>
      <c r="H76" s="102" t="n"/>
      <c r="I76" s="103" t="n"/>
      <c r="J76" s="562" t="n"/>
      <c r="K76" s="571" t="n"/>
      <c r="L76" s="572" t="n"/>
      <c r="M76" s="572" t="n"/>
      <c r="N76" s="566" t="n"/>
      <c r="O76" s="566" t="n"/>
      <c r="P76" s="515" t="n"/>
      <c r="Q76" s="516" t="n"/>
      <c r="R76" s="517" t="n"/>
      <c r="S76" s="517" t="n"/>
      <c r="T76" s="515" t="n"/>
      <c r="U76" s="518" t="n"/>
      <c r="V76" s="515" t="n"/>
      <c r="W76" s="516" t="n"/>
      <c r="X76" s="500" t="n"/>
      <c r="Y76" s="500" t="n"/>
      <c r="Z76" s="573" t="n"/>
      <c r="AA76" s="518" t="n"/>
    </row>
    <row r="77">
      <c r="F77" s="101" t="n"/>
      <c r="G77" s="102" t="n"/>
      <c r="H77" s="102" t="n"/>
      <c r="I77" s="103" t="n"/>
      <c r="J77" s="562" t="n"/>
      <c r="K77" s="571" t="n"/>
      <c r="L77" s="572" t="n"/>
      <c r="M77" s="572" t="n"/>
      <c r="N77" s="566" t="n"/>
      <c r="O77" s="566" t="n"/>
      <c r="P77" s="515" t="n"/>
      <c r="Q77" s="516" t="n"/>
      <c r="R77" s="517" t="n"/>
      <c r="S77" s="517" t="n"/>
      <c r="T77" s="515" t="n"/>
      <c r="U77" s="518" t="n"/>
      <c r="V77" s="515" t="n"/>
      <c r="W77" s="516" t="n"/>
      <c r="X77" s="500" t="n"/>
      <c r="Y77" s="500" t="n"/>
      <c r="Z77" s="573" t="n"/>
      <c r="AA77" s="518" t="n"/>
    </row>
    <row r="78">
      <c r="F78" s="35" t="n"/>
      <c r="G78" s="36" t="n"/>
      <c r="H78" s="36" t="n"/>
      <c r="I78" s="37" t="n"/>
      <c r="J78" s="584" t="n"/>
      <c r="K78" s="585" t="n"/>
      <c r="L78" s="586" t="n"/>
      <c r="M78" s="586" t="n"/>
      <c r="N78" s="587" t="n"/>
      <c r="O78" s="587" t="n"/>
      <c r="P78" s="546" t="n"/>
      <c r="Q78" s="547" t="n"/>
      <c r="R78" s="548" t="n"/>
      <c r="S78" s="548" t="n"/>
      <c r="T78" s="546" t="n"/>
      <c r="U78" s="549" t="n"/>
      <c r="V78" s="581" t="n"/>
      <c r="W78" s="588" t="n"/>
      <c r="X78" s="589" t="n"/>
      <c r="Y78" s="589" t="n"/>
      <c r="Z78" s="590" t="n"/>
      <c r="AA78" s="549" t="n"/>
    </row>
    <row r="79">
      <c r="W79" s="500" t="n"/>
    </row>
  </sheetData>
  <pageMargins left="0.7" right="0.7" top="0.75" bottom="0.75" header="0.3" footer="0.3"/>
  <pageSetup orientation="portrait" paperSize="9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66"/>
  <sheetViews>
    <sheetView zoomScale="80" zoomScaleNormal="80" workbookViewId="0">
      <pane xSplit="2" ySplit="3" topLeftCell="C4" activePane="bottomRight" state="frozen"/>
      <selection activeCell="V39" sqref="V39"/>
      <selection pane="topRight" activeCell="V39" sqref="V39"/>
      <selection pane="bottomLeft" activeCell="V39" sqref="V39"/>
      <selection pane="bottomRight" activeCell="V39" sqref="V39"/>
    </sheetView>
  </sheetViews>
  <sheetFormatPr baseColWidth="8" defaultColWidth="9" defaultRowHeight="16.9"/>
  <cols>
    <col width="12.375" bestFit="1" customWidth="1" style="591" min="1" max="1"/>
    <col width="14" bestFit="1" customWidth="1" style="591" min="2" max="2"/>
    <col width="12.125" bestFit="1" customWidth="1" style="591" min="3" max="3"/>
    <col width="10.625" bestFit="1" customWidth="1" style="591" min="4" max="4"/>
    <col width="11.3125" bestFit="1" customWidth="1" style="591" min="5" max="5"/>
    <col width="12.125" bestFit="1" customWidth="1" style="591" min="6" max="6"/>
    <col width="40.875" bestFit="1" customWidth="1" style="591" min="7" max="7"/>
    <col width="13.5" customWidth="1" style="591" min="8" max="8"/>
    <col width="9.875" bestFit="1" customWidth="1" style="591" min="9" max="9"/>
    <col width="13.375" bestFit="1" customWidth="1" style="591" min="10" max="10"/>
    <col width="7.125" bestFit="1" customWidth="1" style="591" min="11" max="11"/>
    <col width="9" customWidth="1" style="591" min="12" max="12"/>
    <col width="9.375" bestFit="1" customWidth="1" style="591" min="13" max="13"/>
    <col width="12.375" bestFit="1" customWidth="1" style="591" min="14" max="14"/>
    <col width="9" customWidth="1" style="591" min="15" max="15"/>
    <col width="20.875" bestFit="1" customWidth="1" style="591" min="16" max="16"/>
    <col width="14.1875" bestFit="1" customWidth="1" style="591" min="17" max="17"/>
    <col width="12.125" bestFit="1" customWidth="1" style="591" min="18" max="18"/>
    <col width="10.5" bestFit="1" customWidth="1" style="591" min="19" max="19"/>
    <col width="8.875" bestFit="1" customWidth="1" style="591" min="20" max="20"/>
    <col hidden="1" width="43.1875" customWidth="1" style="591" min="21" max="21"/>
    <col hidden="1" width="12.125" customWidth="1" style="591" min="22" max="22"/>
    <col hidden="1" width="8.875" customWidth="1" style="591" min="23" max="23"/>
    <col width="15.1875" bestFit="1" customWidth="1" style="591" min="24" max="24"/>
    <col width="43.1875" bestFit="1" customWidth="1" style="591" min="25" max="25"/>
    <col width="11.6875" bestFit="1" customWidth="1" style="591" min="26" max="26"/>
    <col width="9" customWidth="1" style="591" min="27" max="16384"/>
  </cols>
  <sheetData>
    <row r="1">
      <c r="M1" s="591" t="inlineStr">
        <is>
          <t>구독기간</t>
        </is>
      </c>
      <c r="N1" s="591" t="n">
        <v>60</v>
      </c>
      <c r="R1" s="591" t="inlineStr">
        <is>
          <t>v+</t>
        </is>
      </c>
      <c r="S1" s="591" t="inlineStr">
        <is>
          <t>v-</t>
        </is>
      </c>
      <c r="U1" s="47" t="inlineStr">
        <is>
          <t>선납할인율 %</t>
        </is>
      </c>
      <c r="V1" s="61" t="n">
        <v>0.04</v>
      </c>
      <c r="Y1" s="314" t="inlineStr">
        <is>
          <t>단품할인율 %</t>
        </is>
      </c>
      <c r="Z1" s="315" t="n">
        <v>0.04</v>
      </c>
    </row>
    <row r="2">
      <c r="B2" s="591" t="inlineStr">
        <is>
          <t>리스채권</t>
        </is>
      </c>
      <c r="C2" s="659">
        <f>MIN(S3,PV(K2/12,N1,-(S2-S5-S6-S7)/N1))</f>
        <v/>
      </c>
      <c r="D2" s="591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C3/N1</f>
        <v/>
      </c>
      <c r="J2" s="591" t="inlineStr">
        <is>
          <t>현할차할인율</t>
        </is>
      </c>
      <c r="K2" s="439" t="n">
        <v>0.0357</v>
      </c>
      <c r="M2" s="591" t="inlineStr">
        <is>
          <t>설치일</t>
        </is>
      </c>
      <c r="N2" s="596" t="inlineStr">
        <is>
          <t>2025-07-05</t>
        </is>
      </c>
      <c r="P2" s="2" t="n"/>
      <c r="Q2" s="2" t="n"/>
      <c r="R2" s="597" t="n">
        <v>8170800</v>
      </c>
      <c r="S2" s="598">
        <f>SUM(S3:S6)</f>
        <v/>
      </c>
      <c r="T2" s="591">
        <f>+S2/60</f>
        <v/>
      </c>
      <c r="U2" s="47" t="inlineStr">
        <is>
          <t>(계산용) 선납금 %</t>
        </is>
      </c>
      <c r="V2" s="288" t="n">
        <v>0.1</v>
      </c>
      <c r="X2" s="599" t="inlineStr">
        <is>
          <t xml:space="preserve">차후 변경시 → </t>
        </is>
      </c>
      <c r="Y2" s="50" t="inlineStr">
        <is>
          <t>(계산용) 단품 할인금 (V-)</t>
        </is>
      </c>
      <c r="Z2" s="506">
        <f>R2*Z1/1.1</f>
        <v/>
      </c>
    </row>
    <row r="3">
      <c r="B3" s="591" t="inlineStr">
        <is>
          <t>총 순수구독료</t>
        </is>
      </c>
      <c r="C3" s="591">
        <f>(S2-S5-S6)-S7</f>
        <v/>
      </c>
      <c r="D3" s="661">
        <f>SUM(D6:D66)</f>
        <v/>
      </c>
      <c r="E3" s="591" t="inlineStr">
        <is>
          <t>월 이자율</t>
        </is>
      </c>
      <c r="F3" s="601">
        <f>RATE(N1,-H2,C2,0,0)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2" t="inlineStr">
        <is>
          <t>제품</t>
        </is>
      </c>
      <c r="Q3" s="2" t="inlineStr">
        <is>
          <t>제품제공</t>
        </is>
      </c>
      <c r="R3" s="506" t="n">
        <v>5290000</v>
      </c>
      <c r="S3" s="598">
        <f>R3/1.1</f>
        <v/>
      </c>
      <c r="U3" s="47" t="inlineStr">
        <is>
          <t>(계산용) 선납금 (총 구독료 기준, V-)</t>
        </is>
      </c>
      <c r="V3" s="527">
        <f>S2*V2</f>
        <v/>
      </c>
      <c r="Y3" s="50" t="inlineStr">
        <is>
          <t>(계산용) 단품 할인금 월할 (V-)</t>
        </is>
      </c>
      <c r="Z3" s="598">
        <f>Z2/N1</f>
        <v/>
      </c>
    </row>
    <row r="4">
      <c r="C4" s="606" t="inlineStr">
        <is>
          <t>기초</t>
        </is>
      </c>
      <c r="D4" s="606" t="inlineStr">
        <is>
          <t>이자수익</t>
        </is>
      </c>
      <c r="E4" s="606" t="inlineStr">
        <is>
          <t>리스료수령</t>
        </is>
      </c>
      <c r="F4" s="445" t="inlineStr">
        <is>
          <t>기말</t>
        </is>
      </c>
      <c r="P4" s="2" t="n"/>
      <c r="Q4" s="211" t="inlineStr">
        <is>
          <t>구독원가</t>
        </is>
      </c>
      <c r="R4" s="506">
        <f>R2-SUM(R3,R5:R6)</f>
        <v/>
      </c>
      <c r="S4" s="598">
        <f>R4/1.1</f>
        <v/>
      </c>
      <c r="U4" s="47" t="inlineStr">
        <is>
          <t>(계산용) 선납금 반영 총 구독료 (V-)</t>
        </is>
      </c>
      <c r="V4" s="527">
        <f>S2-V3</f>
        <v/>
      </c>
      <c r="Y4" s="50" t="inlineStr">
        <is>
          <t>(계산용) 단품 할인금 월할 보정 (V-)</t>
        </is>
      </c>
      <c r="Z4" s="598">
        <f>ROUNDUP(Z3,-2)</f>
        <v/>
      </c>
    </row>
    <row r="5">
      <c r="A5" s="596" t="inlineStr">
        <is>
          <t>2025-07-05</t>
        </is>
      </c>
      <c r="B5" s="591" t="n">
        <v>0</v>
      </c>
      <c r="C5" s="594" t="n"/>
      <c r="D5" s="594" t="n"/>
      <c r="E5" s="594" t="n"/>
      <c r="F5" s="594">
        <f>ROUND(C2,)</f>
        <v/>
      </c>
      <c r="P5" s="2" t="inlineStr">
        <is>
          <t>서비스</t>
        </is>
      </c>
      <c r="Q5" s="2" t="inlineStr">
        <is>
          <t>가전케어/세척</t>
        </is>
      </c>
      <c r="R5" s="506">
        <f>S5*1.1</f>
        <v/>
      </c>
      <c r="S5" s="598">
        <f>6900*60</f>
        <v/>
      </c>
      <c r="U5" s="47" t="inlineStr">
        <is>
          <t>(계산용) 선납금 반영 월 구독료(V-)</t>
        </is>
      </c>
      <c r="V5" s="527">
        <f>V4/N1</f>
        <v/>
      </c>
      <c r="Y5" s="50" t="inlineStr">
        <is>
          <t>(최종) 단품 할인금 (V-)</t>
        </is>
      </c>
      <c r="Z5" s="608">
        <f>Z4*N1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662">
        <f>ROUND(-E6+(C2*F3*27/31-H2*27/31),0)</f>
        <v/>
      </c>
      <c r="E6" s="594">
        <f>-(ROUNDDOWN($S$9*27/31,-2)-ROUNDDOWN((S6/60)*27/31,-2)-ROUNDDOWN((S5/60)*27/31,-2))</f>
        <v/>
      </c>
      <c r="F6" s="594">
        <f>SUM(C6:E6)</f>
        <v/>
      </c>
      <c r="P6" s="2" t="n"/>
      <c r="Q6" s="2" t="inlineStr">
        <is>
          <t>보증연장</t>
        </is>
      </c>
      <c r="R6" s="506">
        <f>S6*1.1</f>
        <v/>
      </c>
      <c r="S6" s="598">
        <f>900*60</f>
        <v/>
      </c>
      <c r="U6" s="47" t="inlineStr">
        <is>
          <t>(최종) 선납금 반영 월 구독료 (V-)</t>
        </is>
      </c>
      <c r="V6" s="527">
        <f>ROUNDDOWN(V5,-2)</f>
        <v/>
      </c>
      <c r="Y6" s="50" t="inlineStr">
        <is>
          <t>(최종) 단품 할인 반영 월 구독료 (V-)</t>
        </is>
      </c>
      <c r="Z6" s="608">
        <f>(S2-Z5)/N1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n"/>
      <c r="O7" s="610" t="n"/>
      <c r="P7" s="615" t="inlineStr">
        <is>
          <t>할인</t>
        </is>
      </c>
      <c r="Q7" s="616" t="n"/>
      <c r="R7" s="598">
        <f>S7*1.1</f>
        <v/>
      </c>
      <c r="S7" s="598">
        <f>Z5</f>
        <v/>
      </c>
      <c r="U7" s="47" t="inlineStr">
        <is>
          <t>(최종) 선납금 반영 총 구독료 (V-)</t>
        </is>
      </c>
      <c r="V7" s="527">
        <f>V6*N1</f>
        <v/>
      </c>
      <c r="Y7" s="50" t="inlineStr">
        <is>
          <t>(최종) 단품 할인 반영 총 구독료 (V-)</t>
        </is>
      </c>
      <c r="Z7" s="608">
        <f>Z6*N1</f>
        <v/>
      </c>
    </row>
    <row r="8"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O8" s="613" t="n"/>
      <c r="P8" s="598" t="inlineStr">
        <is>
          <t>단품할인반영 구독료</t>
        </is>
      </c>
      <c r="Q8" s="598" t="n"/>
      <c r="R8" s="598">
        <f>S8*1.1</f>
        <v/>
      </c>
      <c r="S8" s="598">
        <f>Z7</f>
        <v/>
      </c>
      <c r="U8" s="47" t="inlineStr">
        <is>
          <t>(최종) 선납금 (V-)</t>
        </is>
      </c>
      <c r="V8" s="527">
        <f>S2-V7</f>
        <v/>
      </c>
      <c r="W8" s="591">
        <f>V8*1.1</f>
        <v/>
      </c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P9" s="591" t="inlineStr">
        <is>
          <t>(최종) 단품 할인 반영 월 구독료 (V-)</t>
        </is>
      </c>
      <c r="S9" s="591">
        <f>+S8/N1</f>
        <v/>
      </c>
      <c r="U9" s="63" t="inlineStr">
        <is>
          <t>(계산용) 선납 할인금 (V-)</t>
        </is>
      </c>
      <c r="V9" s="617">
        <f>+R2*V1/1.1</f>
        <v/>
      </c>
      <c r="W9" s="594" t="n"/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U10" s="47" t="inlineStr">
        <is>
          <t>(계산용) 선납 할인금 월할 (V-)</t>
        </is>
      </c>
      <c r="V10" s="598">
        <f>V9/N1</f>
        <v/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U11" s="47" t="inlineStr">
        <is>
          <t>(계산용) 선납 할인금 월할 보정 (V-)</t>
        </is>
      </c>
      <c r="V11" s="598">
        <f>ROUNDUP(V10,-2)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U12" s="47" t="inlineStr">
        <is>
          <t>(최종) 선납 할인금 (V-)</t>
        </is>
      </c>
      <c r="V12" s="608">
        <f>V11*N1</f>
        <v/>
      </c>
      <c r="W12" s="594" t="n"/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U13" s="47" t="inlineStr">
        <is>
          <t>(최종) 선납금+선납 할인 반영 월 구독료 (V-)</t>
        </is>
      </c>
      <c r="V13" s="608">
        <f>(S2-V8-V12)/N1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U14" s="47" t="inlineStr">
        <is>
          <t>(최종) 선납금+선납 할인 반영 총 구독료 (V-)</t>
        </is>
      </c>
      <c r="V14" s="608">
        <f>V13*N1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X16" s="495" t="n"/>
      <c r="Y16" s="500" t="n"/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X17" s="495" t="n"/>
      <c r="Y17" s="500" t="n"/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X18" s="495" t="n"/>
      <c r="Y18" s="500" t="n"/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X19" s="495" t="n"/>
      <c r="Y19" s="500" t="n"/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Y20" s="500" t="n"/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X21" s="495" t="n"/>
      <c r="Y21" s="618" t="n"/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X22" s="495" t="n"/>
    </row>
    <row r="23"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X23" s="495" t="n"/>
    </row>
    <row r="24"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X24" s="495" t="n"/>
      <c r="Y24" s="618" t="n"/>
    </row>
    <row r="25"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X25" s="495" t="n"/>
      <c r="Y25" s="618" t="n"/>
    </row>
    <row r="26"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X26" s="495" t="n"/>
      <c r="Y26" s="618" t="n"/>
    </row>
    <row r="27"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</row>
    <row r="28">
      <c r="B28" s="591">
        <f>B27+1</f>
        <v/>
      </c>
      <c r="C28" s="594">
        <f>F27</f>
        <v/>
      </c>
      <c r="D28" s="594">
        <f>ROUND(C28*$F$3,)</f>
        <v/>
      </c>
      <c r="E28" s="594">
        <f>-$H$2</f>
        <v/>
      </c>
      <c r="F28" s="594">
        <f>SUM(C28:E28)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  <c r="G65" s="591" t="inlineStr">
        <is>
          <t>막달 마이너스 이자수익 발생 방지를 위한 조정 적용</t>
        </is>
      </c>
    </row>
    <row r="66">
      <c r="B66" s="591" t="n">
        <v>61</v>
      </c>
      <c r="C66" s="594">
        <f>F65</f>
        <v/>
      </c>
      <c r="D66" s="662">
        <f>C66*$F$3-(C66+C66*$F$3+E66)</f>
        <v/>
      </c>
      <c r="E66" s="594">
        <f>-$H$2-E6</f>
        <v/>
      </c>
      <c r="F66" s="594">
        <f>SUM(C66:E66)</f>
        <v/>
      </c>
    </row>
  </sheetData>
  <pageMargins left="0.7" right="0.7" top="0.75" bottom="0.75" header="0.3" footer="0.3"/>
  <pageSetup orientation="portrait" paperSize="9"/>
</worksheet>
</file>

<file path=xl/worksheets/sheet45.xml><?xml version="1.0" encoding="utf-8"?>
<worksheet xmlns="http://schemas.openxmlformats.org/spreadsheetml/2006/main">
  <sheetPr>
    <tabColor rgb="FF92D050"/>
    <outlinePr summaryBelow="1" summaryRight="1"/>
    <pageSetUpPr/>
  </sheetPr>
  <dimension ref="A1:W78"/>
  <sheetViews>
    <sheetView showGridLines="0" zoomScale="50" zoomScaleNormal="50" workbookViewId="0">
      <selection activeCell="P1" sqref="P1:P1048576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.375" bestFit="1" customWidth="1" style="497" min="10" max="11"/>
    <col width="12.125" bestFit="1" customWidth="1" style="497" min="12" max="12"/>
    <col width="10.5" bestFit="1" customWidth="1" style="497" min="13" max="13"/>
    <col width="10.5" customWidth="1" style="497" min="14" max="14"/>
    <col width="12.125" bestFit="1" customWidth="1" style="497" min="15" max="18"/>
    <col width="10.5" bestFit="1" customWidth="1" style="497" min="19" max="19"/>
    <col width="10.5" customWidth="1" style="497" min="20" max="20"/>
    <col width="25.625" bestFit="1" customWidth="1" style="497" min="22" max="22"/>
    <col width="12.125" bestFit="1" customWidth="1" style="497" min="23" max="23"/>
  </cols>
  <sheetData>
    <row r="1">
      <c r="O1" s="505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502" t="n"/>
      <c r="O3" s="502" t="n"/>
      <c r="P3" s="75" t="inlineStr">
        <is>
          <t>선납+선납할인 시 (v-)</t>
        </is>
      </c>
      <c r="Q3" s="76" t="n"/>
      <c r="R3" s="76" t="n"/>
      <c r="S3" s="76" t="n"/>
      <c r="T3" s="137" t="n"/>
      <c r="V3" s="9" t="inlineStr">
        <is>
          <t>고객노출 기본 구독료 (v+)</t>
        </is>
      </c>
      <c r="W3" s="506">
        <f>C18</f>
        <v/>
      </c>
    </row>
    <row r="4">
      <c r="B4" s="9" t="inlineStr">
        <is>
          <t>품목</t>
        </is>
      </c>
      <c r="C4" s="6" t="n"/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15" t="inlineStr">
        <is>
          <t>보증</t>
        </is>
      </c>
      <c r="N4" s="27" t="inlineStr">
        <is>
          <t>파손</t>
        </is>
      </c>
      <c r="O4" s="27" t="inlineStr">
        <is>
          <t>월청구(v+)</t>
        </is>
      </c>
      <c r="P4" s="9" t="inlineStr">
        <is>
          <t>구독료청구</t>
        </is>
      </c>
      <c r="Q4" s="26" t="inlineStr">
        <is>
          <t>제품</t>
        </is>
      </c>
      <c r="R4" s="15" t="inlineStr">
        <is>
          <t>케어</t>
        </is>
      </c>
      <c r="S4" s="15" t="inlineStr">
        <is>
          <t>보증</t>
        </is>
      </c>
      <c r="T4" s="27" t="inlineStr">
        <is>
          <t>파손</t>
        </is>
      </c>
      <c r="V4" s="9" t="inlineStr">
        <is>
          <t>선납금 월할(v+)</t>
        </is>
      </c>
      <c r="W4" s="506">
        <f>C26*1.1/C7</f>
        <v/>
      </c>
    </row>
    <row r="5">
      <c r="B5" s="9" t="inlineStr">
        <is>
          <t>모델코드</t>
        </is>
      </c>
      <c r="C5" s="6" t="inlineStr">
        <is>
          <t>SM-X920NZAAKOO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ROUNDDOWN(($C$15/$C$7)*(H5-G5+1)/DAY(H5),-2)</f>
        <v/>
      </c>
      <c r="K5" s="567">
        <f>J5-L5-M5-N5</f>
        <v/>
      </c>
      <c r="L5" s="568">
        <f>ROUNDDOWN(($C$11/$C$7)*(H5-G5+1)/DAY(H5),-2)</f>
        <v/>
      </c>
      <c r="M5" s="568">
        <f>ROUNDDOWN(($C$12/$C$7)*(H5-G5+1)/DAY(H5),-2)</f>
        <v/>
      </c>
      <c r="N5" s="740">
        <f>ROUNDDOWN(($C$13/$C$7)*(H5-G5+1)/DAY(H5),-2)</f>
        <v/>
      </c>
      <c r="O5" s="511">
        <f>SUM(K5:M5)*1.1+N5</f>
        <v/>
      </c>
      <c r="P5" s="508">
        <f>ROUNDDOWN(($C$33/$C$7)*(H5-G5+1)/DAY(H5),-2)</f>
        <v/>
      </c>
      <c r="Q5" s="567">
        <f>P5-R5-S5-T5</f>
        <v/>
      </c>
      <c r="R5" s="568">
        <f>L5</f>
        <v/>
      </c>
      <c r="S5" s="568">
        <f>M5</f>
        <v/>
      </c>
      <c r="T5" s="741">
        <f>N5</f>
        <v/>
      </c>
      <c r="V5" s="9" t="inlineStr">
        <is>
          <t>선납할인금 월할 (v+)</t>
        </is>
      </c>
      <c r="W5" s="506">
        <f>C30*1.1/C7</f>
        <v/>
      </c>
    </row>
    <row r="6">
      <c r="B6" s="9" t="inlineStr">
        <is>
          <t>구독기간(년)</t>
        </is>
      </c>
      <c r="C6" s="514" t="n">
        <v>4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$C$16</f>
        <v/>
      </c>
      <c r="K6" s="516">
        <f>J6-L6-M6-N6</f>
        <v/>
      </c>
      <c r="L6" s="517">
        <f>$C$11/$C$7</f>
        <v/>
      </c>
      <c r="M6" s="517">
        <f>$C$12/$C$7</f>
        <v/>
      </c>
      <c r="N6" s="518">
        <f>$C$13/$C$7</f>
        <v/>
      </c>
      <c r="O6" s="518">
        <f>SUM(K6:M6)*1.1+N6</f>
        <v/>
      </c>
      <c r="P6" s="515">
        <f>$C$32</f>
        <v/>
      </c>
      <c r="Q6" s="516">
        <f>P6-R6-S6-T6</f>
        <v/>
      </c>
      <c r="R6" s="517">
        <f>L6</f>
        <v/>
      </c>
      <c r="S6" s="517">
        <f>M6</f>
        <v/>
      </c>
      <c r="T6" s="519">
        <f>N6</f>
        <v/>
      </c>
      <c r="V6" s="9" t="inlineStr">
        <is>
          <t>선납시 최종 납부금 (v+)</t>
        </is>
      </c>
      <c r="W6" s="527">
        <f>W3-W4-W5</f>
        <v/>
      </c>
    </row>
    <row r="7">
      <c r="B7" s="9" t="inlineStr">
        <is>
          <t>구독기간(개월)</t>
        </is>
      </c>
      <c r="C7" s="514" t="n">
        <v>48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$C$16</f>
        <v/>
      </c>
      <c r="K7" s="516">
        <f>$C$14/$C$7</f>
        <v/>
      </c>
      <c r="L7" s="517">
        <f>$C$11/$C$7</f>
        <v/>
      </c>
      <c r="M7" s="517">
        <f>$C$12/$C$7</f>
        <v/>
      </c>
      <c r="N7" s="518">
        <f>$C$13/$C$7</f>
        <v/>
      </c>
      <c r="O7" s="518">
        <f>SUM(K7:M7)*1.1+N7</f>
        <v/>
      </c>
      <c r="P7" s="515">
        <f>$C$32</f>
        <v/>
      </c>
      <c r="Q7" s="516">
        <f>P7-R7-S7-T7</f>
        <v/>
      </c>
      <c r="R7" s="517">
        <f>L7</f>
        <v/>
      </c>
      <c r="S7" s="517">
        <f>M7</f>
        <v/>
      </c>
      <c r="T7" s="519">
        <f>N7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$C$16</f>
        <v/>
      </c>
      <c r="K8" s="516">
        <f>$C$14/$C$7</f>
        <v/>
      </c>
      <c r="L8" s="517">
        <f>$C$11/$C$7</f>
        <v/>
      </c>
      <c r="M8" s="517">
        <f>$C$12/$C$7</f>
        <v/>
      </c>
      <c r="N8" s="518">
        <f>$C$13/$C$7</f>
        <v/>
      </c>
      <c r="O8" s="518">
        <f>SUM(K8:M8)*1.1+N8</f>
        <v/>
      </c>
      <c r="P8" s="515">
        <f>$C$32</f>
        <v/>
      </c>
      <c r="Q8" s="516">
        <f>P8-R8-S8-T8</f>
        <v/>
      </c>
      <c r="R8" s="517">
        <f>L8</f>
        <v/>
      </c>
      <c r="S8" s="517">
        <f>M8</f>
        <v/>
      </c>
      <c r="T8" s="519">
        <f>N8</f>
        <v/>
      </c>
    </row>
    <row r="9">
      <c r="B9" s="9" t="inlineStr">
        <is>
          <t>케어서비스</t>
        </is>
      </c>
      <c r="C9" s="6" t="inlineStr">
        <is>
          <t>파손보험+무상보증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$C$16</f>
        <v/>
      </c>
      <c r="K9" s="516">
        <f>$C$14/$C$7</f>
        <v/>
      </c>
      <c r="L9" s="517">
        <f>$C$11/$C$7</f>
        <v/>
      </c>
      <c r="M9" s="517">
        <f>$C$12/$C$7</f>
        <v/>
      </c>
      <c r="N9" s="518">
        <f>$C$13/$C$7</f>
        <v/>
      </c>
      <c r="O9" s="518">
        <f>SUM(K9:M9)*1.1+N9</f>
        <v/>
      </c>
      <c r="P9" s="515">
        <f>$C$32</f>
        <v/>
      </c>
      <c r="Q9" s="516">
        <f>P9-R9-S9-T9</f>
        <v/>
      </c>
      <c r="R9" s="517">
        <f>L9</f>
        <v/>
      </c>
      <c r="S9" s="517">
        <f>M9</f>
        <v/>
      </c>
      <c r="T9" s="519">
        <f>N9</f>
        <v/>
      </c>
    </row>
    <row r="10">
      <c r="B10" s="9" t="inlineStr">
        <is>
          <t>혜택가(v-)</t>
        </is>
      </c>
      <c r="C10" s="526" t="n">
        <v>1264545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$C$16</f>
        <v/>
      </c>
      <c r="K10" s="516">
        <f>$C$14/$C$7</f>
        <v/>
      </c>
      <c r="L10" s="517">
        <f>$C$11/$C$7</f>
        <v/>
      </c>
      <c r="M10" s="517">
        <f>$C$12/$C$7</f>
        <v/>
      </c>
      <c r="N10" s="518">
        <f>$C$13/$C$7</f>
        <v/>
      </c>
      <c r="O10" s="518">
        <f>SUM(K10:M10)*1.1+N10</f>
        <v/>
      </c>
      <c r="P10" s="515">
        <f>$C$32</f>
        <v/>
      </c>
      <c r="Q10" s="516">
        <f>P10-R10-S10-T10</f>
        <v/>
      </c>
      <c r="R10" s="517">
        <f>L10</f>
        <v/>
      </c>
      <c r="S10" s="517">
        <f>M10</f>
        <v/>
      </c>
      <c r="T10" s="519">
        <f>N10</f>
        <v/>
      </c>
      <c r="V10" s="500" t="n"/>
    </row>
    <row r="11">
      <c r="B11" s="9" t="inlineStr">
        <is>
          <t>케어서비스(v-)</t>
        </is>
      </c>
      <c r="C11" s="526" t="n">
        <v>0</v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$C$16</f>
        <v/>
      </c>
      <c r="K11" s="516">
        <f>$C$14/$C$7</f>
        <v/>
      </c>
      <c r="L11" s="517">
        <f>$C$11/$C$7</f>
        <v/>
      </c>
      <c r="M11" s="517">
        <f>$C$12/$C$7</f>
        <v/>
      </c>
      <c r="N11" s="518">
        <f>$C$13/$C$7</f>
        <v/>
      </c>
      <c r="O11" s="518">
        <f>SUM(K11:M11)*1.1+N11</f>
        <v/>
      </c>
      <c r="P11" s="515">
        <f>$C$32</f>
        <v/>
      </c>
      <c r="Q11" s="516">
        <f>P11-R11-S11-T11</f>
        <v/>
      </c>
      <c r="R11" s="517">
        <f>L11</f>
        <v/>
      </c>
      <c r="S11" s="517">
        <f>M11</f>
        <v/>
      </c>
      <c r="T11" s="519">
        <f>N11</f>
        <v/>
      </c>
      <c r="V11" s="500" t="n"/>
    </row>
    <row r="12">
      <c r="B12" s="9" t="inlineStr">
        <is>
          <t>보증연장(v-)</t>
        </is>
      </c>
      <c r="C12" s="526" t="n">
        <v>96000</v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$C$16</f>
        <v/>
      </c>
      <c r="K12" s="516">
        <f>$C$14/$C$7</f>
        <v/>
      </c>
      <c r="L12" s="517">
        <f>$C$11/$C$7</f>
        <v/>
      </c>
      <c r="M12" s="517">
        <f>$C$12/$C$7</f>
        <v/>
      </c>
      <c r="N12" s="518">
        <f>$C$13/$C$7</f>
        <v/>
      </c>
      <c r="O12" s="518">
        <f>SUM(K12:M12)*1.1+N12</f>
        <v/>
      </c>
      <c r="P12" s="515">
        <f>$C$32</f>
        <v/>
      </c>
      <c r="Q12" s="516">
        <f>P12-R12-S12-T12</f>
        <v/>
      </c>
      <c r="R12" s="517">
        <f>L12</f>
        <v/>
      </c>
      <c r="S12" s="517">
        <f>M12</f>
        <v/>
      </c>
      <c r="T12" s="519">
        <f>N12</f>
        <v/>
      </c>
      <c r="V12" s="500" t="n"/>
    </row>
    <row r="13">
      <c r="B13" s="9" t="inlineStr">
        <is>
          <t>파손보험</t>
        </is>
      </c>
      <c r="C13" s="506" t="n">
        <v>115200</v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$C$16</f>
        <v/>
      </c>
      <c r="K13" s="516">
        <f>$C$14/$C$7</f>
        <v/>
      </c>
      <c r="L13" s="517">
        <f>$C$11/$C$7</f>
        <v/>
      </c>
      <c r="M13" s="517">
        <f>$C$12/$C$7</f>
        <v/>
      </c>
      <c r="N13" s="518">
        <f>$C$13/$C$7</f>
        <v/>
      </c>
      <c r="O13" s="518">
        <f>SUM(K13:M13)*1.1+N13</f>
        <v/>
      </c>
      <c r="P13" s="515">
        <f>$C$32</f>
        <v/>
      </c>
      <c r="Q13" s="516">
        <f>P13-R13-S13-T13</f>
        <v/>
      </c>
      <c r="R13" s="517">
        <f>L13</f>
        <v/>
      </c>
      <c r="S13" s="517">
        <f>M13</f>
        <v/>
      </c>
      <c r="T13" s="519">
        <f>N13</f>
        <v/>
      </c>
    </row>
    <row r="14">
      <c r="B14" s="9" t="inlineStr">
        <is>
          <t>매출인식 기준 구독료(v-)</t>
        </is>
      </c>
      <c r="C14" s="527">
        <f>C15-C13-C12-C11</f>
        <v/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$C$16</f>
        <v/>
      </c>
      <c r="K14" s="516">
        <f>$C$14/$C$7</f>
        <v/>
      </c>
      <c r="L14" s="517">
        <f>$C$11/$C$7</f>
        <v/>
      </c>
      <c r="M14" s="517">
        <f>$C$12/$C$7</f>
        <v/>
      </c>
      <c r="N14" s="518">
        <f>$C$13/$C$7</f>
        <v/>
      </c>
      <c r="O14" s="518">
        <f>SUM(K14:M14)*1.1+N14</f>
        <v/>
      </c>
      <c r="P14" s="515">
        <f>$C$32</f>
        <v/>
      </c>
      <c r="Q14" s="516">
        <f>P14-R14-S14-T14</f>
        <v/>
      </c>
      <c r="R14" s="517">
        <f>L14</f>
        <v/>
      </c>
      <c r="S14" s="517">
        <f>M14</f>
        <v/>
      </c>
      <c r="T14" s="519">
        <f>N14</f>
        <v/>
      </c>
    </row>
    <row r="15">
      <c r="B15" s="9" t="inlineStr">
        <is>
          <t>총구독료(v-)</t>
        </is>
      </c>
      <c r="C15" s="526" t="n">
        <v>2011200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$C$16</f>
        <v/>
      </c>
      <c r="K15" s="516">
        <f>$C$14/$C$7</f>
        <v/>
      </c>
      <c r="L15" s="517">
        <f>$C$11/$C$7</f>
        <v/>
      </c>
      <c r="M15" s="517">
        <f>$C$12/$C$7</f>
        <v/>
      </c>
      <c r="N15" s="518">
        <f>$C$13/$C$7</f>
        <v/>
      </c>
      <c r="O15" s="518">
        <f>SUM(K15:M15)*1.1+N15</f>
        <v/>
      </c>
      <c r="P15" s="515">
        <f>$C$32</f>
        <v/>
      </c>
      <c r="Q15" s="516">
        <f>P15-R15-S15-T15</f>
        <v/>
      </c>
      <c r="R15" s="517">
        <f>L15</f>
        <v/>
      </c>
      <c r="S15" s="517">
        <f>M15</f>
        <v/>
      </c>
      <c r="T15" s="519">
        <f>N15</f>
        <v/>
      </c>
    </row>
    <row r="16">
      <c r="B16" s="9" t="inlineStr">
        <is>
          <t>월구독료(v-)</t>
        </is>
      </c>
      <c r="C16" s="526">
        <f>C15/C7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$C$16</f>
        <v/>
      </c>
      <c r="K16" s="516">
        <f>$C$14/$C$7</f>
        <v/>
      </c>
      <c r="L16" s="517">
        <f>$C$11/$C$7</f>
        <v/>
      </c>
      <c r="M16" s="517">
        <f>$C$12/$C$7</f>
        <v/>
      </c>
      <c r="N16" s="518">
        <f>$C$13/$C$7</f>
        <v/>
      </c>
      <c r="O16" s="518">
        <f>SUM(K16:M16)*1.1+N16</f>
        <v/>
      </c>
      <c r="P16" s="515">
        <f>$C$32</f>
        <v/>
      </c>
      <c r="Q16" s="516">
        <f>P16-R16-S16-T16</f>
        <v/>
      </c>
      <c r="R16" s="517">
        <f>L16</f>
        <v/>
      </c>
      <c r="S16" s="517">
        <f>M16</f>
        <v/>
      </c>
      <c r="T16" s="519">
        <f>N16</f>
        <v/>
      </c>
    </row>
    <row r="17">
      <c r="B17" s="9" t="inlineStr">
        <is>
          <t>총구독료(v+)</t>
        </is>
      </c>
      <c r="C17" s="526">
        <f>(C14+C12)*1.1+C13</f>
        <v/>
      </c>
      <c r="D17" s="539">
        <f>C17/1.1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$C$16</f>
        <v/>
      </c>
      <c r="K17" s="516">
        <f>$C$14/$C$7</f>
        <v/>
      </c>
      <c r="L17" s="517">
        <f>$C$11/$C$7</f>
        <v/>
      </c>
      <c r="M17" s="517">
        <f>$C$12/$C$7</f>
        <v/>
      </c>
      <c r="N17" s="518">
        <f>$C$13/$C$7</f>
        <v/>
      </c>
      <c r="O17" s="518">
        <f>SUM(K17:M17)*1.1+N17</f>
        <v/>
      </c>
      <c r="P17" s="515">
        <f>$C$32</f>
        <v/>
      </c>
      <c r="Q17" s="516">
        <f>P17-R17-S17-T17</f>
        <v/>
      </c>
      <c r="R17" s="517">
        <f>L17</f>
        <v/>
      </c>
      <c r="S17" s="517">
        <f>M17</f>
        <v/>
      </c>
      <c r="T17" s="519">
        <f>N17</f>
        <v/>
      </c>
    </row>
    <row r="18">
      <c r="B18" s="9" t="inlineStr">
        <is>
          <t>월구독료(v+)</t>
        </is>
      </c>
      <c r="C18" s="526">
        <f>((C14+C12)*1.1+C13)/C7</f>
        <v/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$C$16</f>
        <v/>
      </c>
      <c r="K18" s="516">
        <f>$C$14/$C$7</f>
        <v/>
      </c>
      <c r="L18" s="517">
        <f>$C$11/$C$7</f>
        <v/>
      </c>
      <c r="M18" s="517">
        <f>$C$12/$C$7</f>
        <v/>
      </c>
      <c r="N18" s="518">
        <f>$C$13/$C$7</f>
        <v/>
      </c>
      <c r="O18" s="518">
        <f>SUM(K18:M18)*1.1+N18</f>
        <v/>
      </c>
      <c r="P18" s="515">
        <f>$C$32</f>
        <v/>
      </c>
      <c r="Q18" s="516">
        <f>P18-R18-S18-T18</f>
        <v/>
      </c>
      <c r="R18" s="517">
        <f>L18</f>
        <v/>
      </c>
      <c r="S18" s="517">
        <f>M18</f>
        <v/>
      </c>
      <c r="T18" s="519">
        <f>N18</f>
        <v/>
      </c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$C$16</f>
        <v/>
      </c>
      <c r="K19" s="516">
        <f>$C$14/$C$7</f>
        <v/>
      </c>
      <c r="L19" s="517">
        <f>$C$11/$C$7</f>
        <v/>
      </c>
      <c r="M19" s="517">
        <f>$C$12/$C$7</f>
        <v/>
      </c>
      <c r="N19" s="518">
        <f>$C$13/$C$7</f>
        <v/>
      </c>
      <c r="O19" s="518">
        <f>SUM(K19:M19)*1.1+N19</f>
        <v/>
      </c>
      <c r="P19" s="515">
        <f>$C$32</f>
        <v/>
      </c>
      <c r="Q19" s="516">
        <f>P19-R19-S19-T19</f>
        <v/>
      </c>
      <c r="R19" s="517">
        <f>L19</f>
        <v/>
      </c>
      <c r="S19" s="517">
        <f>M19</f>
        <v/>
      </c>
      <c r="T19" s="519">
        <f>N19</f>
        <v/>
      </c>
    </row>
    <row r="20">
      <c r="A20" s="492" t="inlineStr">
        <is>
          <t>기적용 버전</t>
        </is>
      </c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$C$16</f>
        <v/>
      </c>
      <c r="K20" s="516">
        <f>$C$14/$C$7</f>
        <v/>
      </c>
      <c r="L20" s="517">
        <f>$C$11/$C$7</f>
        <v/>
      </c>
      <c r="M20" s="517">
        <f>$C$12/$C$7</f>
        <v/>
      </c>
      <c r="N20" s="518">
        <f>$C$13/$C$7</f>
        <v/>
      </c>
      <c r="O20" s="518">
        <f>SUM(K20:M20)*1.1+N20</f>
        <v/>
      </c>
      <c r="P20" s="515">
        <f>$C$32</f>
        <v/>
      </c>
      <c r="Q20" s="516">
        <f>P20-R20-S20-T20</f>
        <v/>
      </c>
      <c r="R20" s="517">
        <f>L20</f>
        <v/>
      </c>
      <c r="S20" s="517">
        <f>M20</f>
        <v/>
      </c>
      <c r="T20" s="519">
        <f>N20</f>
        <v/>
      </c>
    </row>
    <row r="21">
      <c r="A21" s="628" t="n"/>
      <c r="B21" s="9" t="inlineStr">
        <is>
          <t>(계산용) 선납금(v-) (총구독료 v- 기준)</t>
        </is>
      </c>
      <c r="C21" s="506">
        <f>C15*C20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$C$16</f>
        <v/>
      </c>
      <c r="K21" s="516">
        <f>$C$14/$C$7</f>
        <v/>
      </c>
      <c r="L21" s="517">
        <f>$C$11/$C$7</f>
        <v/>
      </c>
      <c r="M21" s="517">
        <f>$C$12/$C$7</f>
        <v/>
      </c>
      <c r="N21" s="518">
        <f>$C$13/$C$7</f>
        <v/>
      </c>
      <c r="O21" s="518">
        <f>SUM(K21:M21)*1.1+N21</f>
        <v/>
      </c>
      <c r="P21" s="515">
        <f>$C$32</f>
        <v/>
      </c>
      <c r="Q21" s="516">
        <f>P21-R21-S21-T21</f>
        <v/>
      </c>
      <c r="R21" s="517">
        <f>L21</f>
        <v/>
      </c>
      <c r="S21" s="517">
        <f>M21</f>
        <v/>
      </c>
      <c r="T21" s="519">
        <f>N21</f>
        <v/>
      </c>
    </row>
    <row r="22">
      <c r="A22" s="628" t="n"/>
      <c r="B22" s="9" t="inlineStr">
        <is>
          <t>(계산용) 선납금 반영 총 구독료 (V-)</t>
        </is>
      </c>
      <c r="C22" s="506">
        <f>C15-C21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$C$16</f>
        <v/>
      </c>
      <c r="K22" s="516">
        <f>$C$14/$C$7</f>
        <v/>
      </c>
      <c r="L22" s="517">
        <f>$C$11/$C$7</f>
        <v/>
      </c>
      <c r="M22" s="517">
        <f>$C$12/$C$7</f>
        <v/>
      </c>
      <c r="N22" s="518">
        <f>$C$13/$C$7</f>
        <v/>
      </c>
      <c r="O22" s="518">
        <f>SUM(K22:M22)*1.1+N22</f>
        <v/>
      </c>
      <c r="P22" s="515">
        <f>$C$32</f>
        <v/>
      </c>
      <c r="Q22" s="516">
        <f>P22-R22-S22-T22</f>
        <v/>
      </c>
      <c r="R22" s="517">
        <f>L22</f>
        <v/>
      </c>
      <c r="S22" s="517">
        <f>M22</f>
        <v/>
      </c>
      <c r="T22" s="519">
        <f>N22</f>
        <v/>
      </c>
    </row>
    <row r="23">
      <c r="A23" s="628" t="n"/>
      <c r="B23" s="9" t="inlineStr">
        <is>
          <t>(계산용) 선납금 반영 월 구독료(V-)</t>
        </is>
      </c>
      <c r="C23" s="506">
        <f>C22/C7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$C$16</f>
        <v/>
      </c>
      <c r="K23" s="516">
        <f>$C$14/$C$7</f>
        <v/>
      </c>
      <c r="L23" s="517">
        <f>$C$11/$C$7</f>
        <v/>
      </c>
      <c r="M23" s="517">
        <f>$C$12/$C$7</f>
        <v/>
      </c>
      <c r="N23" s="518">
        <f>$C$13/$C$7</f>
        <v/>
      </c>
      <c r="O23" s="518">
        <f>SUM(K23:M23)*1.1+N23</f>
        <v/>
      </c>
      <c r="P23" s="515">
        <f>$C$32</f>
        <v/>
      </c>
      <c r="Q23" s="516">
        <f>P23-R23-S23-T23</f>
        <v/>
      </c>
      <c r="R23" s="517">
        <f>L23</f>
        <v/>
      </c>
      <c r="S23" s="517">
        <f>M23</f>
        <v/>
      </c>
      <c r="T23" s="519">
        <f>N23</f>
        <v/>
      </c>
    </row>
    <row r="24">
      <c r="A24" s="628" t="n"/>
      <c r="B24" s="9" t="inlineStr">
        <is>
          <t>(최종) 선납금 반영 월 구독료 (V-)</t>
        </is>
      </c>
      <c r="C24" s="506">
        <f>ROUNDDOWN(C23,-2)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$C$16</f>
        <v/>
      </c>
      <c r="K24" s="516">
        <f>$C$14/$C$7</f>
        <v/>
      </c>
      <c r="L24" s="517">
        <f>$C$11/$C$7</f>
        <v/>
      </c>
      <c r="M24" s="517">
        <f>$C$12/$C$7</f>
        <v/>
      </c>
      <c r="N24" s="518">
        <f>$C$13/$C$7</f>
        <v/>
      </c>
      <c r="O24" s="518">
        <f>SUM(K24:M24)*1.1+N24</f>
        <v/>
      </c>
      <c r="P24" s="515">
        <f>$C$32</f>
        <v/>
      </c>
      <c r="Q24" s="516">
        <f>P24-R24-S24-T24</f>
        <v/>
      </c>
      <c r="R24" s="517">
        <f>L24</f>
        <v/>
      </c>
      <c r="S24" s="517">
        <f>M24</f>
        <v/>
      </c>
      <c r="T24" s="519">
        <f>N24</f>
        <v/>
      </c>
    </row>
    <row r="25">
      <c r="A25" s="628" t="n"/>
      <c r="B25" s="9" t="inlineStr">
        <is>
          <t>(최종) 선납금 반영 총 구독료 (V-)</t>
        </is>
      </c>
      <c r="C25" s="506">
        <f>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$C$16</f>
        <v/>
      </c>
      <c r="K25" s="516">
        <f>$C$14/$C$7</f>
        <v/>
      </c>
      <c r="L25" s="517">
        <f>$C$11/$C$7</f>
        <v/>
      </c>
      <c r="M25" s="517">
        <f>$C$12/$C$7</f>
        <v/>
      </c>
      <c r="N25" s="518">
        <f>$C$13/$C$7</f>
        <v/>
      </c>
      <c r="O25" s="518">
        <f>SUM(K25:M25)*1.1+N25</f>
        <v/>
      </c>
      <c r="P25" s="515">
        <f>$C$32</f>
        <v/>
      </c>
      <c r="Q25" s="516">
        <f>P25-R25-S25-T25</f>
        <v/>
      </c>
      <c r="R25" s="517">
        <f>L25</f>
        <v/>
      </c>
      <c r="S25" s="517">
        <f>M25</f>
        <v/>
      </c>
      <c r="T25" s="519">
        <f>N25</f>
        <v/>
      </c>
    </row>
    <row r="26">
      <c r="A26" s="628" t="n"/>
      <c r="B26" s="63" t="inlineStr">
        <is>
          <t>(최종) 선납금 (V-)</t>
        </is>
      </c>
      <c r="C26" s="649">
        <f>C15-C25</f>
        <v/>
      </c>
      <c r="D26" s="505" t="n"/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$C$16</f>
        <v/>
      </c>
      <c r="K26" s="516">
        <f>$C$14/$C$7</f>
        <v/>
      </c>
      <c r="L26" s="517">
        <f>$C$11/$C$7</f>
        <v/>
      </c>
      <c r="M26" s="517">
        <f>$C$12/$C$7</f>
        <v/>
      </c>
      <c r="N26" s="518">
        <f>$C$13/$C$7</f>
        <v/>
      </c>
      <c r="O26" s="518">
        <f>SUM(K26:M26)*1.1+N26</f>
        <v/>
      </c>
      <c r="P26" s="515">
        <f>$C$32</f>
        <v/>
      </c>
      <c r="Q26" s="516">
        <f>P26-R26-S26-T26</f>
        <v/>
      </c>
      <c r="R26" s="517">
        <f>L26</f>
        <v/>
      </c>
      <c r="S26" s="517">
        <f>M26</f>
        <v/>
      </c>
      <c r="T26" s="519">
        <f>N26</f>
        <v/>
      </c>
    </row>
    <row r="27">
      <c r="B27" s="170" t="inlineStr">
        <is>
          <t>(계산용) 선납 할인금 (V-) (총구독료 v+기준)</t>
        </is>
      </c>
      <c r="C27" s="650">
        <f>C17*5%/1.1</f>
        <v/>
      </c>
      <c r="D27" s="500" t="n"/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$C$16</f>
        <v/>
      </c>
      <c r="K27" s="516">
        <f>$C$14/$C$7</f>
        <v/>
      </c>
      <c r="L27" s="517">
        <f>$C$11/$C$7</f>
        <v/>
      </c>
      <c r="M27" s="517">
        <f>$C$12/$C$7</f>
        <v/>
      </c>
      <c r="N27" s="518">
        <f>$C$13/$C$7</f>
        <v/>
      </c>
      <c r="O27" s="518">
        <f>SUM(K27:M27)*1.1+N27</f>
        <v/>
      </c>
      <c r="P27" s="515">
        <f>$C$32</f>
        <v/>
      </c>
      <c r="Q27" s="516">
        <f>P27-R27-S27-T27</f>
        <v/>
      </c>
      <c r="R27" s="517">
        <f>L27</f>
        <v/>
      </c>
      <c r="S27" s="517">
        <f>M27</f>
        <v/>
      </c>
      <c r="T27" s="519">
        <f>N27</f>
        <v/>
      </c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$C$16</f>
        <v/>
      </c>
      <c r="K28" s="516">
        <f>$C$14/$C$7</f>
        <v/>
      </c>
      <c r="L28" s="517">
        <f>$C$11/$C$7</f>
        <v/>
      </c>
      <c r="M28" s="517">
        <f>$C$12/$C$7</f>
        <v/>
      </c>
      <c r="N28" s="518">
        <f>$C$13/$C$7</f>
        <v/>
      </c>
      <c r="O28" s="518">
        <f>SUM(K28:M28)*1.1+N28</f>
        <v/>
      </c>
      <c r="P28" s="515">
        <f>$C$32</f>
        <v/>
      </c>
      <c r="Q28" s="516">
        <f>P28-R28-S28-T28</f>
        <v/>
      </c>
      <c r="R28" s="517">
        <f>L28</f>
        <v/>
      </c>
      <c r="S28" s="517">
        <f>M28</f>
        <v/>
      </c>
      <c r="T28" s="519">
        <f>N28</f>
        <v/>
      </c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$C$16</f>
        <v/>
      </c>
      <c r="K29" s="516">
        <f>$C$14/$C$7</f>
        <v/>
      </c>
      <c r="L29" s="517">
        <f>$C$11/$C$7</f>
        <v/>
      </c>
      <c r="M29" s="517">
        <f>$C$12/$C$7</f>
        <v/>
      </c>
      <c r="N29" s="518">
        <f>$C$13/$C$7</f>
        <v/>
      </c>
      <c r="O29" s="518">
        <f>SUM(K29:M29)*1.1+N29</f>
        <v/>
      </c>
      <c r="P29" s="515">
        <f>$C$32</f>
        <v/>
      </c>
      <c r="Q29" s="516">
        <f>P29-R29-S29-T29</f>
        <v/>
      </c>
      <c r="R29" s="517">
        <f>L29</f>
        <v/>
      </c>
      <c r="S29" s="517">
        <f>M29</f>
        <v/>
      </c>
      <c r="T29" s="519">
        <f>N29</f>
        <v/>
      </c>
    </row>
    <row r="30">
      <c r="B30" s="63" t="inlineStr">
        <is>
          <t>(최종) 선납 할인금 (V-)</t>
        </is>
      </c>
      <c r="C30" s="649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$C$16</f>
        <v/>
      </c>
      <c r="K30" s="516">
        <f>$C$14/$C$7</f>
        <v/>
      </c>
      <c r="L30" s="517">
        <f>$C$11/$C$7</f>
        <v/>
      </c>
      <c r="M30" s="517">
        <f>$C$12/$C$7</f>
        <v/>
      </c>
      <c r="N30" s="518">
        <f>$C$13/$C$7</f>
        <v/>
      </c>
      <c r="O30" s="518">
        <f>SUM(K30:M30)*1.1+N30</f>
        <v/>
      </c>
      <c r="P30" s="515">
        <f>$C$32</f>
        <v/>
      </c>
      <c r="Q30" s="516">
        <f>P30-R30-S30-T30</f>
        <v/>
      </c>
      <c r="R30" s="517">
        <f>L30</f>
        <v/>
      </c>
      <c r="S30" s="517">
        <f>M30</f>
        <v/>
      </c>
      <c r="T30" s="519">
        <f>N30</f>
        <v/>
      </c>
    </row>
    <row r="31">
      <c r="B31" s="9" t="inlineStr">
        <is>
          <t>(최종) 선납 할인금 (V+)</t>
        </is>
      </c>
      <c r="C31" s="506">
        <f>C30*1.1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$C$16</f>
        <v/>
      </c>
      <c r="K31" s="516">
        <f>$C$14/$C$7</f>
        <v/>
      </c>
      <c r="L31" s="517">
        <f>$C$11/$C$7</f>
        <v/>
      </c>
      <c r="M31" s="517">
        <f>$C$12/$C$7</f>
        <v/>
      </c>
      <c r="N31" s="518">
        <f>$C$13/$C$7</f>
        <v/>
      </c>
      <c r="O31" s="518">
        <f>SUM(K31:M31)*1.1+N31</f>
        <v/>
      </c>
      <c r="P31" s="515">
        <f>$C$32</f>
        <v/>
      </c>
      <c r="Q31" s="516">
        <f>P31-R31-S31-T31</f>
        <v/>
      </c>
      <c r="R31" s="517">
        <f>L31</f>
        <v/>
      </c>
      <c r="S31" s="517">
        <f>M31</f>
        <v/>
      </c>
      <c r="T31" s="519">
        <f>N31</f>
        <v/>
      </c>
    </row>
    <row r="32">
      <c r="B32" s="182" t="inlineStr">
        <is>
          <t>(최종) 선납금+선납 할인 반영 월 구독료 (V-)</t>
        </is>
      </c>
      <c r="C32" s="651">
        <f>((C14-C26-C30)+C12+C13)/48</f>
        <v/>
      </c>
      <c r="D32" s="539" t="n"/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$C$16</f>
        <v/>
      </c>
      <c r="K32" s="516">
        <f>$C$14/$C$7</f>
        <v/>
      </c>
      <c r="L32" s="517">
        <f>$C$11/$C$7</f>
        <v/>
      </c>
      <c r="M32" s="517">
        <f>$C$12/$C$7</f>
        <v/>
      </c>
      <c r="N32" s="518">
        <f>$C$13/$C$7</f>
        <v/>
      </c>
      <c r="O32" s="518">
        <f>SUM(K32:M32)*1.1+N32</f>
        <v/>
      </c>
      <c r="P32" s="515">
        <f>$C$32</f>
        <v/>
      </c>
      <c r="Q32" s="516">
        <f>P32-R32-S32-T32</f>
        <v/>
      </c>
      <c r="R32" s="517">
        <f>L32</f>
        <v/>
      </c>
      <c r="S32" s="517">
        <f>M32</f>
        <v/>
      </c>
      <c r="T32" s="519">
        <f>N32</f>
        <v/>
      </c>
    </row>
    <row r="33">
      <c r="B33" s="182" t="inlineStr">
        <is>
          <t>(최종) 선납금+선납 할인 반영 총 구독료 (V-)</t>
        </is>
      </c>
      <c r="C33" s="651">
        <f>C32*C7</f>
        <v/>
      </c>
      <c r="D33" s="539" t="n"/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$C$16</f>
        <v/>
      </c>
      <c r="K33" s="516">
        <f>$C$14/$C$7</f>
        <v/>
      </c>
      <c r="L33" s="517">
        <f>$C$11/$C$7</f>
        <v/>
      </c>
      <c r="M33" s="517">
        <f>$C$12/$C$7</f>
        <v/>
      </c>
      <c r="N33" s="518">
        <f>$C$13/$C$7</f>
        <v/>
      </c>
      <c r="O33" s="518">
        <f>SUM(K33:M33)*1.1+N33</f>
        <v/>
      </c>
      <c r="P33" s="515">
        <f>$C$32</f>
        <v/>
      </c>
      <c r="Q33" s="516">
        <f>P33-R33-S33-T33</f>
        <v/>
      </c>
      <c r="R33" s="517">
        <f>L33</f>
        <v/>
      </c>
      <c r="S33" s="517">
        <f>M33</f>
        <v/>
      </c>
      <c r="T33" s="519">
        <f>N33</f>
        <v/>
      </c>
    </row>
    <row r="34">
      <c r="B34" s="182" t="inlineStr">
        <is>
          <t>(최종) 선납금+선납 할인 반영 월 구독료 (V+)</t>
        </is>
      </c>
      <c r="C34" s="651">
        <f>((C14-C26-C30)*1.1+C12*1.1+C13)/48</f>
        <v/>
      </c>
      <c r="D34" s="517" t="n"/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$C$16</f>
        <v/>
      </c>
      <c r="K34" s="516">
        <f>$C$14/$C$7</f>
        <v/>
      </c>
      <c r="L34" s="517">
        <f>$C$11/$C$7</f>
        <v/>
      </c>
      <c r="M34" s="517">
        <f>$C$12/$C$7</f>
        <v/>
      </c>
      <c r="N34" s="518">
        <f>$C$13/$C$7</f>
        <v/>
      </c>
      <c r="O34" s="518">
        <f>SUM(K34:M34)*1.1+N34</f>
        <v/>
      </c>
      <c r="P34" s="515">
        <f>$C$32</f>
        <v/>
      </c>
      <c r="Q34" s="516">
        <f>P34-R34-S34-T34</f>
        <v/>
      </c>
      <c r="R34" s="517">
        <f>L34</f>
        <v/>
      </c>
      <c r="S34" s="517">
        <f>M34</f>
        <v/>
      </c>
      <c r="T34" s="519">
        <f>N34</f>
        <v/>
      </c>
    </row>
    <row r="35">
      <c r="B35" s="182" t="inlineStr">
        <is>
          <t>(최종) 선납금+선납 할인 반영 총 구독료 (V+)</t>
        </is>
      </c>
      <c r="C35" s="651">
        <f>C34*C7</f>
        <v/>
      </c>
      <c r="D35" s="505">
        <f>(C14-C26-C30+C12)*1.1+C13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$C$16</f>
        <v/>
      </c>
      <c r="K35" s="516">
        <f>$C$14/$C$7</f>
        <v/>
      </c>
      <c r="L35" s="517">
        <f>$C$11/$C$7</f>
        <v/>
      </c>
      <c r="M35" s="517">
        <f>$C$12/$C$7</f>
        <v/>
      </c>
      <c r="N35" s="518">
        <f>$C$13/$C$7</f>
        <v/>
      </c>
      <c r="O35" s="518">
        <f>SUM(K35:M35)*1.1+N35</f>
        <v/>
      </c>
      <c r="P35" s="515">
        <f>$C$32</f>
        <v/>
      </c>
      <c r="Q35" s="516">
        <f>P35-R35-S35-T35</f>
        <v/>
      </c>
      <c r="R35" s="517">
        <f>L35</f>
        <v/>
      </c>
      <c r="S35" s="517">
        <f>M35</f>
        <v/>
      </c>
      <c r="T35" s="519">
        <f>N35</f>
        <v/>
      </c>
    </row>
    <row r="36">
      <c r="C36" s="505" t="n"/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$C$16</f>
        <v/>
      </c>
      <c r="K36" s="516">
        <f>$C$14/$C$7</f>
        <v/>
      </c>
      <c r="L36" s="517">
        <f>$C$11/$C$7</f>
        <v/>
      </c>
      <c r="M36" s="517">
        <f>$C$12/$C$7</f>
        <v/>
      </c>
      <c r="N36" s="518">
        <f>$C$13/$C$7</f>
        <v/>
      </c>
      <c r="O36" s="518">
        <f>SUM(K36:M36)*1.1+N36</f>
        <v/>
      </c>
      <c r="P36" s="515">
        <f>$C$32</f>
        <v/>
      </c>
      <c r="Q36" s="516">
        <f>P36-R36-S36-T36</f>
        <v/>
      </c>
      <c r="R36" s="517">
        <f>L36</f>
        <v/>
      </c>
      <c r="S36" s="517">
        <f>M36</f>
        <v/>
      </c>
      <c r="T36" s="519">
        <f>N36</f>
        <v/>
      </c>
    </row>
    <row r="37">
      <c r="B37" s="9" t="inlineStr">
        <is>
          <t>선납금+선납 할인 반영 순수 구독료 (V-)</t>
        </is>
      </c>
      <c r="C37" s="506">
        <f>C33-C11-C12</f>
        <v/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$C$16</f>
        <v/>
      </c>
      <c r="K37" s="516">
        <f>$C$14/$C$7</f>
        <v/>
      </c>
      <c r="L37" s="517">
        <f>$C$11/$C$7</f>
        <v/>
      </c>
      <c r="M37" s="517">
        <f>$C$12/$C$7</f>
        <v/>
      </c>
      <c r="N37" s="518">
        <f>$C$13/$C$7</f>
        <v/>
      </c>
      <c r="O37" s="518">
        <f>SUM(K37:M37)*1.1+N37</f>
        <v/>
      </c>
      <c r="P37" s="515">
        <f>$C$32</f>
        <v/>
      </c>
      <c r="Q37" s="516">
        <f>P37-R37-S37-T37</f>
        <v/>
      </c>
      <c r="R37" s="517">
        <f>L37</f>
        <v/>
      </c>
      <c r="S37" s="517">
        <f>M37</f>
        <v/>
      </c>
      <c r="T37" s="519">
        <f>N37</f>
        <v/>
      </c>
    </row>
    <row r="38">
      <c r="B38" s="9" t="inlineStr">
        <is>
          <t>선납금+선납 할인 반영 순수 구독료 월할 (V-)</t>
        </is>
      </c>
      <c r="C38" s="506">
        <f>C37/C7</f>
        <v/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$C$16</f>
        <v/>
      </c>
      <c r="K38" s="516">
        <f>$C$14/$C$7</f>
        <v/>
      </c>
      <c r="L38" s="517">
        <f>$C$11/$C$7</f>
        <v/>
      </c>
      <c r="M38" s="517">
        <f>$C$12/$C$7</f>
        <v/>
      </c>
      <c r="N38" s="518">
        <f>$C$13/$C$7</f>
        <v/>
      </c>
      <c r="O38" s="518">
        <f>SUM(K38:M38)*1.1+N38</f>
        <v/>
      </c>
      <c r="P38" s="515">
        <f>$C$32</f>
        <v/>
      </c>
      <c r="Q38" s="516">
        <f>P38-R38-S38-T38</f>
        <v/>
      </c>
      <c r="R38" s="517">
        <f>L38</f>
        <v/>
      </c>
      <c r="S38" s="517">
        <f>M38</f>
        <v/>
      </c>
      <c r="T38" s="519">
        <f>N38</f>
        <v/>
      </c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$C$16</f>
        <v/>
      </c>
      <c r="K39" s="516">
        <f>$C$14/$C$7</f>
        <v/>
      </c>
      <c r="L39" s="517">
        <f>$C$11/$C$7</f>
        <v/>
      </c>
      <c r="M39" s="517">
        <f>$C$12/$C$7</f>
        <v/>
      </c>
      <c r="N39" s="518">
        <f>$C$13/$C$7</f>
        <v/>
      </c>
      <c r="O39" s="518">
        <f>SUM(K39:M39)*1.1+N39</f>
        <v/>
      </c>
      <c r="P39" s="515">
        <f>$C$32</f>
        <v/>
      </c>
      <c r="Q39" s="516">
        <f>P39-R39-S39-T39</f>
        <v/>
      </c>
      <c r="R39" s="517">
        <f>L39</f>
        <v/>
      </c>
      <c r="S39" s="517">
        <f>M39</f>
        <v/>
      </c>
      <c r="T39" s="519">
        <f>N39</f>
        <v/>
      </c>
    </row>
    <row r="40">
      <c r="C40" s="505" t="n"/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$C$16</f>
        <v/>
      </c>
      <c r="K40" s="516">
        <f>$C$14/$C$7</f>
        <v/>
      </c>
      <c r="L40" s="517">
        <f>$C$11/$C$7</f>
        <v/>
      </c>
      <c r="M40" s="517">
        <f>$C$12/$C$7</f>
        <v/>
      </c>
      <c r="N40" s="518">
        <f>$C$13/$C$7</f>
        <v/>
      </c>
      <c r="O40" s="518">
        <f>SUM(K40:M40)*1.1+N40</f>
        <v/>
      </c>
      <c r="P40" s="515">
        <f>$C$32</f>
        <v/>
      </c>
      <c r="Q40" s="516">
        <f>P40-R40-S40-T40</f>
        <v/>
      </c>
      <c r="R40" s="517">
        <f>L40</f>
        <v/>
      </c>
      <c r="S40" s="517">
        <f>M40</f>
        <v/>
      </c>
      <c r="T40" s="519">
        <f>N40</f>
        <v/>
      </c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$C$16</f>
        <v/>
      </c>
      <c r="K41" s="516">
        <f>$C$14/$C$7</f>
        <v/>
      </c>
      <c r="L41" s="517">
        <f>$C$11/$C$7</f>
        <v/>
      </c>
      <c r="M41" s="517">
        <f>$C$12/$C$7</f>
        <v/>
      </c>
      <c r="N41" s="518">
        <f>$C$13/$C$7</f>
        <v/>
      </c>
      <c r="O41" s="518">
        <f>SUM(K41:M41)*1.1+N41</f>
        <v/>
      </c>
      <c r="P41" s="515">
        <f>$C$32</f>
        <v/>
      </c>
      <c r="Q41" s="516">
        <f>P41-R41-S41-T41</f>
        <v/>
      </c>
      <c r="R41" s="517">
        <f>L41</f>
        <v/>
      </c>
      <c r="S41" s="517">
        <f>M41</f>
        <v/>
      </c>
      <c r="T41" s="519">
        <f>N41</f>
        <v/>
      </c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$C$16</f>
        <v/>
      </c>
      <c r="K42" s="516">
        <f>$C$14/$C$7</f>
        <v/>
      </c>
      <c r="L42" s="517">
        <f>$C$11/$C$7</f>
        <v/>
      </c>
      <c r="M42" s="517">
        <f>$C$12/$C$7</f>
        <v/>
      </c>
      <c r="N42" s="518">
        <f>$C$13/$C$7</f>
        <v/>
      </c>
      <c r="O42" s="518">
        <f>SUM(K42:M42)*1.1+N42</f>
        <v/>
      </c>
      <c r="P42" s="515">
        <f>$C$32</f>
        <v/>
      </c>
      <c r="Q42" s="516">
        <f>P42-R42-S42-T42</f>
        <v/>
      </c>
      <c r="R42" s="517">
        <f>L42</f>
        <v/>
      </c>
      <c r="S42" s="517">
        <f>M42</f>
        <v/>
      </c>
      <c r="T42" s="519">
        <f>N42</f>
        <v/>
      </c>
    </row>
    <row r="43">
      <c r="C43" s="505" t="n"/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$C$16</f>
        <v/>
      </c>
      <c r="K43" s="516">
        <f>$C$14/$C$7</f>
        <v/>
      </c>
      <c r="L43" s="517">
        <f>$C$11/$C$7</f>
        <v/>
      </c>
      <c r="M43" s="517">
        <f>$C$12/$C$7</f>
        <v/>
      </c>
      <c r="N43" s="518">
        <f>$C$13/$C$7</f>
        <v/>
      </c>
      <c r="O43" s="518">
        <f>SUM(K43:M43)*1.1+N43</f>
        <v/>
      </c>
      <c r="P43" s="515">
        <f>$C$32</f>
        <v/>
      </c>
      <c r="Q43" s="516">
        <f>P43-R43-S43-T43</f>
        <v/>
      </c>
      <c r="R43" s="517">
        <f>L43</f>
        <v/>
      </c>
      <c r="S43" s="517">
        <f>M43</f>
        <v/>
      </c>
      <c r="T43" s="519">
        <f>N43</f>
        <v/>
      </c>
    </row>
    <row r="44">
      <c r="C44" s="505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$C$16</f>
        <v/>
      </c>
      <c r="K44" s="516">
        <f>$C$14/$C$7</f>
        <v/>
      </c>
      <c r="L44" s="517">
        <f>$C$11/$C$7</f>
        <v/>
      </c>
      <c r="M44" s="517">
        <f>$C$12/$C$7</f>
        <v/>
      </c>
      <c r="N44" s="518">
        <f>$C$13/$C$7</f>
        <v/>
      </c>
      <c r="O44" s="518">
        <f>SUM(K44:M44)*1.1+N44</f>
        <v/>
      </c>
      <c r="P44" s="515">
        <f>$C$32</f>
        <v/>
      </c>
      <c r="Q44" s="516">
        <f>P44-R44-S44-T44</f>
        <v/>
      </c>
      <c r="R44" s="517">
        <f>L44</f>
        <v/>
      </c>
      <c r="S44" s="517">
        <f>M44</f>
        <v/>
      </c>
      <c r="T44" s="519">
        <f>N44</f>
        <v/>
      </c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$C$16</f>
        <v/>
      </c>
      <c r="K45" s="516">
        <f>$C$14/$C$7</f>
        <v/>
      </c>
      <c r="L45" s="517">
        <f>$C$11/$C$7</f>
        <v/>
      </c>
      <c r="M45" s="517">
        <f>$C$12/$C$7</f>
        <v/>
      </c>
      <c r="N45" s="518">
        <f>$C$13/$C$7</f>
        <v/>
      </c>
      <c r="O45" s="518">
        <f>SUM(K45:M45)*1.1+N45</f>
        <v/>
      </c>
      <c r="P45" s="515">
        <f>$C$32</f>
        <v/>
      </c>
      <c r="Q45" s="516">
        <f>P45-R45-S45-T45</f>
        <v/>
      </c>
      <c r="R45" s="517">
        <f>L45</f>
        <v/>
      </c>
      <c r="S45" s="517">
        <f>M45</f>
        <v/>
      </c>
      <c r="T45" s="519">
        <f>N45</f>
        <v/>
      </c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$C$16</f>
        <v/>
      </c>
      <c r="K46" s="516">
        <f>$C$14/$C$7</f>
        <v/>
      </c>
      <c r="L46" s="517">
        <f>$C$11/$C$7</f>
        <v/>
      </c>
      <c r="M46" s="517">
        <f>$C$12/$C$7</f>
        <v/>
      </c>
      <c r="N46" s="518">
        <f>$C$13/$C$7</f>
        <v/>
      </c>
      <c r="O46" s="518">
        <f>SUM(K46:M46)*1.1+N46</f>
        <v/>
      </c>
      <c r="P46" s="515">
        <f>$C$32</f>
        <v/>
      </c>
      <c r="Q46" s="516">
        <f>P46-R46-S46-T46</f>
        <v/>
      </c>
      <c r="R46" s="517">
        <f>L46</f>
        <v/>
      </c>
      <c r="S46" s="517">
        <f>M46</f>
        <v/>
      </c>
      <c r="T46" s="519">
        <f>N46</f>
        <v/>
      </c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$C$16</f>
        <v/>
      </c>
      <c r="K47" s="516">
        <f>$C$14/$C$7</f>
        <v/>
      </c>
      <c r="L47" s="517">
        <f>$C$11/$C$7</f>
        <v/>
      </c>
      <c r="M47" s="517">
        <f>$C$12/$C$7</f>
        <v/>
      </c>
      <c r="N47" s="518">
        <f>$C$13/$C$7</f>
        <v/>
      </c>
      <c r="O47" s="518">
        <f>SUM(K47:M47)*1.1+N47</f>
        <v/>
      </c>
      <c r="P47" s="515">
        <f>$C$32</f>
        <v/>
      </c>
      <c r="Q47" s="516">
        <f>P47-R47-S47-T47</f>
        <v/>
      </c>
      <c r="R47" s="517">
        <f>L47</f>
        <v/>
      </c>
      <c r="S47" s="517">
        <f>M47</f>
        <v/>
      </c>
      <c r="T47" s="519">
        <f>N47</f>
        <v/>
      </c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$C$16</f>
        <v/>
      </c>
      <c r="K48" s="516">
        <f>$C$14/$C$7</f>
        <v/>
      </c>
      <c r="L48" s="517">
        <f>$C$11/$C$7</f>
        <v/>
      </c>
      <c r="M48" s="517">
        <f>$C$12/$C$7</f>
        <v/>
      </c>
      <c r="N48" s="518">
        <f>$C$13/$C$7</f>
        <v/>
      </c>
      <c r="O48" s="518">
        <f>SUM(K48:M48)*1.1+N48</f>
        <v/>
      </c>
      <c r="P48" s="515">
        <f>$C$32</f>
        <v/>
      </c>
      <c r="Q48" s="516">
        <f>P48-R48-S48-T48</f>
        <v/>
      </c>
      <c r="R48" s="517">
        <f>L48</f>
        <v/>
      </c>
      <c r="S48" s="517">
        <f>M48</f>
        <v/>
      </c>
      <c r="T48" s="519">
        <f>N48</f>
        <v/>
      </c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$C$16</f>
        <v/>
      </c>
      <c r="K49" s="516">
        <f>$C$14/$C$7</f>
        <v/>
      </c>
      <c r="L49" s="517">
        <f>$C$11/$C$7</f>
        <v/>
      </c>
      <c r="M49" s="517">
        <f>$C$12/$C$7</f>
        <v/>
      </c>
      <c r="N49" s="518">
        <f>$C$13/$C$7</f>
        <v/>
      </c>
      <c r="O49" s="518">
        <f>SUM(K49:M49)*1.1+N49</f>
        <v/>
      </c>
      <c r="P49" s="515">
        <f>$C$32</f>
        <v/>
      </c>
      <c r="Q49" s="516">
        <f>P49-R49-S49-T49</f>
        <v/>
      </c>
      <c r="R49" s="517">
        <f>L49</f>
        <v/>
      </c>
      <c r="S49" s="517">
        <f>M49</f>
        <v/>
      </c>
      <c r="T49" s="519">
        <f>N49</f>
        <v/>
      </c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$C$16</f>
        <v/>
      </c>
      <c r="K50" s="516">
        <f>$C$14/$C$7</f>
        <v/>
      </c>
      <c r="L50" s="517">
        <f>$C$11/$C$7</f>
        <v/>
      </c>
      <c r="M50" s="517">
        <f>$C$12/$C$7</f>
        <v/>
      </c>
      <c r="N50" s="518">
        <f>$C$13/$C$7</f>
        <v/>
      </c>
      <c r="O50" s="518">
        <f>SUM(K50:M50)*1.1+N50</f>
        <v/>
      </c>
      <c r="P50" s="515">
        <f>$C$32</f>
        <v/>
      </c>
      <c r="Q50" s="516">
        <f>P50-R50-S50-T50</f>
        <v/>
      </c>
      <c r="R50" s="517">
        <f>L50</f>
        <v/>
      </c>
      <c r="S50" s="517">
        <f>M50</f>
        <v/>
      </c>
      <c r="T50" s="519">
        <f>N50</f>
        <v/>
      </c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$C$16</f>
        <v/>
      </c>
      <c r="K51" s="516">
        <f>$C$14/$C$7</f>
        <v/>
      </c>
      <c r="L51" s="517">
        <f>$C$11/$C$7</f>
        <v/>
      </c>
      <c r="M51" s="517">
        <f>$C$12/$C$7</f>
        <v/>
      </c>
      <c r="N51" s="518">
        <f>$C$13/$C$7</f>
        <v/>
      </c>
      <c r="O51" s="518">
        <f>SUM(K51:M51)*1.1+N51</f>
        <v/>
      </c>
      <c r="P51" s="515">
        <f>$C$32</f>
        <v/>
      </c>
      <c r="Q51" s="516">
        <f>P51-R51-S51-T51</f>
        <v/>
      </c>
      <c r="R51" s="517">
        <f>L51</f>
        <v/>
      </c>
      <c r="S51" s="517">
        <f>M51</f>
        <v/>
      </c>
      <c r="T51" s="519">
        <f>N51</f>
        <v/>
      </c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$C$16</f>
        <v/>
      </c>
      <c r="K52" s="516">
        <f>$C$14/$C$7</f>
        <v/>
      </c>
      <c r="L52" s="517">
        <f>$C$11/$C$7</f>
        <v/>
      </c>
      <c r="M52" s="517">
        <f>$C$12/$C$7</f>
        <v/>
      </c>
      <c r="N52" s="518">
        <f>$C$13/$C$7</f>
        <v/>
      </c>
      <c r="O52" s="518">
        <f>SUM(K52:M52)*1.1+N52</f>
        <v/>
      </c>
      <c r="P52" s="515">
        <f>$C$32</f>
        <v/>
      </c>
      <c r="Q52" s="516">
        <f>P52-R52-S52-T52</f>
        <v/>
      </c>
      <c r="R52" s="517">
        <f>L52</f>
        <v/>
      </c>
      <c r="S52" s="517">
        <f>M52</f>
        <v/>
      </c>
      <c r="T52" s="519">
        <f>N52</f>
        <v/>
      </c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$C$16-J5</f>
        <v/>
      </c>
      <c r="K53" s="516">
        <f>$C$14/$C$7-K5</f>
        <v/>
      </c>
      <c r="L53" s="517">
        <f>$C$11/$C$7</f>
        <v/>
      </c>
      <c r="M53" s="517">
        <f>$C$12/$C$7-M5</f>
        <v/>
      </c>
      <c r="N53" s="518">
        <f>$C$13/$C$7-N5</f>
        <v/>
      </c>
      <c r="O53" s="518">
        <f>SUM(K53:M53)*1.1+N53</f>
        <v/>
      </c>
      <c r="P53" s="515">
        <f>$C$32-P5</f>
        <v/>
      </c>
      <c r="Q53" s="516">
        <f>P53-R53-S53-T53</f>
        <v/>
      </c>
      <c r="R53" s="517">
        <f>L53</f>
        <v/>
      </c>
      <c r="S53" s="517">
        <f>M53</f>
        <v/>
      </c>
      <c r="T53" s="519">
        <f>N53</f>
        <v/>
      </c>
    </row>
    <row r="54">
      <c r="F54" s="101" t="n"/>
      <c r="G54" s="102" t="n"/>
      <c r="H54" s="102" t="n"/>
      <c r="I54" s="103" t="n"/>
      <c r="J54" s="515" t="n"/>
      <c r="K54" s="516" t="n"/>
      <c r="L54" s="517" t="n"/>
      <c r="M54" s="517" t="n"/>
      <c r="N54" s="518" t="n"/>
      <c r="O54" s="518" t="n"/>
      <c r="P54" s="515" t="n"/>
      <c r="Q54" s="516" t="n"/>
      <c r="R54" s="500" t="n"/>
      <c r="S54" s="500" t="n"/>
      <c r="T54" s="519" t="n"/>
    </row>
    <row r="55">
      <c r="F55" s="101" t="n"/>
      <c r="G55" s="102" t="n"/>
      <c r="H55" s="102" t="n"/>
      <c r="I55" s="103" t="n"/>
      <c r="J55" s="515" t="n"/>
      <c r="K55" s="516" t="n"/>
      <c r="L55" s="517" t="n"/>
      <c r="M55" s="517" t="n"/>
      <c r="N55" s="518" t="n"/>
      <c r="O55" s="518" t="n"/>
      <c r="P55" s="515" t="n"/>
      <c r="Q55" s="516" t="n"/>
      <c r="R55" s="500" t="n"/>
      <c r="S55" s="500" t="n"/>
      <c r="T55" s="519" t="n"/>
    </row>
    <row r="56">
      <c r="F56" s="101" t="n"/>
      <c r="G56" s="102" t="n"/>
      <c r="H56" s="102" t="n"/>
      <c r="I56" s="103" t="n"/>
      <c r="J56" s="515" t="n"/>
      <c r="K56" s="516" t="n"/>
      <c r="L56" s="517" t="n"/>
      <c r="M56" s="517" t="n"/>
      <c r="N56" s="518" t="n"/>
      <c r="O56" s="518" t="n"/>
      <c r="P56" s="515" t="n"/>
      <c r="Q56" s="516" t="n"/>
      <c r="R56" s="500" t="n"/>
      <c r="S56" s="500" t="n"/>
      <c r="T56" s="519" t="n"/>
    </row>
    <row r="57">
      <c r="F57" s="101" t="n"/>
      <c r="G57" s="102" t="n"/>
      <c r="H57" s="102" t="n"/>
      <c r="I57" s="103" t="n"/>
      <c r="J57" s="515" t="n"/>
      <c r="K57" s="516" t="n"/>
      <c r="L57" s="517" t="n"/>
      <c r="M57" s="517" t="n"/>
      <c r="N57" s="518" t="n"/>
      <c r="O57" s="518" t="n"/>
      <c r="P57" s="515" t="n"/>
      <c r="Q57" s="516" t="n"/>
      <c r="R57" s="500" t="n"/>
      <c r="S57" s="500" t="n"/>
      <c r="T57" s="519" t="n"/>
    </row>
    <row r="58">
      <c r="F58" s="101" t="n"/>
      <c r="G58" s="102" t="n"/>
      <c r="H58" s="102" t="n"/>
      <c r="I58" s="103" t="n"/>
      <c r="J58" s="515" t="n"/>
      <c r="K58" s="516" t="n"/>
      <c r="L58" s="517" t="n"/>
      <c r="M58" s="517" t="n"/>
      <c r="N58" s="518" t="n"/>
      <c r="O58" s="518" t="n"/>
      <c r="P58" s="515" t="n"/>
      <c r="Q58" s="516" t="n"/>
      <c r="R58" s="500" t="n"/>
      <c r="S58" s="500" t="n"/>
      <c r="T58" s="519" t="n"/>
    </row>
    <row r="59">
      <c r="F59" s="101" t="n"/>
      <c r="G59" s="102" t="n"/>
      <c r="H59" s="102" t="n"/>
      <c r="I59" s="103" t="n"/>
      <c r="J59" s="515" t="n"/>
      <c r="K59" s="516" t="n"/>
      <c r="L59" s="517" t="n"/>
      <c r="M59" s="517" t="n"/>
      <c r="N59" s="518" t="n"/>
      <c r="O59" s="518" t="n"/>
      <c r="P59" s="515" t="n"/>
      <c r="Q59" s="516" t="n"/>
      <c r="R59" s="500" t="n"/>
      <c r="S59" s="500" t="n"/>
      <c r="T59" s="519" t="n"/>
    </row>
    <row r="60">
      <c r="F60" s="101" t="n"/>
      <c r="G60" s="102" t="n"/>
      <c r="H60" s="102" t="n"/>
      <c r="I60" s="103" t="n"/>
      <c r="J60" s="515" t="n"/>
      <c r="K60" s="516" t="n"/>
      <c r="L60" s="517" t="n"/>
      <c r="M60" s="517" t="n"/>
      <c r="N60" s="518" t="n"/>
      <c r="O60" s="518" t="n"/>
      <c r="P60" s="515" t="n"/>
      <c r="Q60" s="516" t="n"/>
      <c r="R60" s="500" t="n"/>
      <c r="S60" s="500" t="n"/>
      <c r="T60" s="519" t="n"/>
    </row>
    <row r="61">
      <c r="F61" s="101" t="n"/>
      <c r="G61" s="102" t="n"/>
      <c r="H61" s="102" t="n"/>
      <c r="I61" s="103" t="n"/>
      <c r="J61" s="515" t="n"/>
      <c r="K61" s="516" t="n"/>
      <c r="L61" s="517" t="n"/>
      <c r="M61" s="517" t="n"/>
      <c r="N61" s="518" t="n"/>
      <c r="O61" s="518" t="n"/>
      <c r="P61" s="515" t="n"/>
      <c r="Q61" s="516" t="n"/>
      <c r="R61" s="500" t="n"/>
      <c r="S61" s="500" t="n"/>
      <c r="T61" s="519" t="n"/>
    </row>
    <row r="62">
      <c r="F62" s="101" t="n"/>
      <c r="G62" s="102" t="n"/>
      <c r="H62" s="102" t="n"/>
      <c r="I62" s="103" t="n"/>
      <c r="J62" s="515" t="n"/>
      <c r="K62" s="516" t="n"/>
      <c r="L62" s="517" t="n"/>
      <c r="M62" s="517" t="n"/>
      <c r="N62" s="518" t="n"/>
      <c r="O62" s="518" t="n"/>
      <c r="P62" s="515" t="n"/>
      <c r="Q62" s="516" t="n"/>
      <c r="R62" s="500" t="n"/>
      <c r="S62" s="500" t="n"/>
      <c r="T62" s="519" t="n"/>
    </row>
    <row r="63">
      <c r="F63" s="101" t="n"/>
      <c r="G63" s="102" t="n"/>
      <c r="H63" s="102" t="n"/>
      <c r="I63" s="103" t="n"/>
      <c r="J63" s="515" t="n"/>
      <c r="K63" s="516" t="n"/>
      <c r="L63" s="517" t="n"/>
      <c r="M63" s="517" t="n"/>
      <c r="N63" s="518" t="n"/>
      <c r="O63" s="518" t="n"/>
      <c r="P63" s="515" t="n"/>
      <c r="Q63" s="516" t="n"/>
      <c r="R63" s="500" t="n"/>
      <c r="S63" s="500" t="n"/>
      <c r="T63" s="519" t="n"/>
    </row>
    <row r="64">
      <c r="F64" s="101" t="n"/>
      <c r="G64" s="102" t="n"/>
      <c r="H64" s="102" t="n"/>
      <c r="I64" s="103" t="n"/>
      <c r="J64" s="515" t="n"/>
      <c r="K64" s="516" t="n"/>
      <c r="L64" s="517" t="n"/>
      <c r="M64" s="517" t="n"/>
      <c r="N64" s="518" t="n"/>
      <c r="O64" s="518" t="n"/>
      <c r="P64" s="515" t="n"/>
      <c r="Q64" s="516" t="n"/>
      <c r="R64" s="500" t="n"/>
      <c r="S64" s="500" t="n"/>
      <c r="T64" s="519" t="n"/>
    </row>
    <row r="65">
      <c r="F65" s="101" t="n"/>
      <c r="G65" s="102" t="n"/>
      <c r="H65" s="102" t="n"/>
      <c r="I65" s="103" t="n"/>
      <c r="J65" s="515" t="n"/>
      <c r="K65" s="516" t="n"/>
      <c r="L65" s="517" t="n"/>
      <c r="M65" s="517" t="n"/>
      <c r="N65" s="518" t="n"/>
      <c r="O65" s="518" t="n"/>
      <c r="P65" s="515" t="n"/>
      <c r="Q65" s="516" t="n"/>
      <c r="R65" s="500" t="n"/>
      <c r="S65" s="500" t="n"/>
      <c r="T65" s="519" t="n"/>
    </row>
    <row r="66">
      <c r="F66" s="101" t="n"/>
      <c r="G66" s="102" t="n"/>
      <c r="H66" s="102" t="n"/>
      <c r="I66" s="103" t="n"/>
      <c r="J66" s="515" t="n"/>
      <c r="K66" s="516" t="n"/>
      <c r="L66" s="517" t="n"/>
      <c r="M66" s="517" t="n"/>
      <c r="N66" s="518" t="n"/>
      <c r="O66" s="518" t="n"/>
      <c r="P66" s="515" t="n"/>
      <c r="Q66" s="516" t="n"/>
      <c r="R66" s="500" t="n"/>
      <c r="S66" s="500" t="n"/>
      <c r="T66" s="519" t="n"/>
    </row>
    <row r="67">
      <c r="F67" s="101" t="n"/>
      <c r="G67" s="102" t="n"/>
      <c r="H67" s="102" t="n"/>
      <c r="I67" s="103" t="n"/>
      <c r="J67" s="515" t="n"/>
      <c r="K67" s="516" t="n"/>
      <c r="L67" s="517" t="n"/>
      <c r="M67" s="517" t="n"/>
      <c r="N67" s="518" t="n"/>
      <c r="O67" s="518" t="n"/>
      <c r="P67" s="515" t="n"/>
      <c r="Q67" s="516" t="n"/>
      <c r="R67" s="500" t="n"/>
      <c r="S67" s="500" t="n"/>
      <c r="T67" s="519" t="n"/>
    </row>
    <row r="68">
      <c r="F68" s="101" t="n"/>
      <c r="G68" s="102" t="n"/>
      <c r="H68" s="102" t="n"/>
      <c r="I68" s="103" t="n"/>
      <c r="J68" s="515" t="n"/>
      <c r="K68" s="516" t="n"/>
      <c r="L68" s="517" t="n"/>
      <c r="M68" s="517" t="n"/>
      <c r="N68" s="518" t="n"/>
      <c r="O68" s="518" t="n"/>
      <c r="P68" s="515" t="n"/>
      <c r="Q68" s="516" t="n"/>
      <c r="R68" s="500" t="n"/>
      <c r="S68" s="500" t="n"/>
      <c r="T68" s="519" t="n"/>
    </row>
    <row r="69">
      <c r="F69" s="101" t="n"/>
      <c r="G69" s="102" t="n"/>
      <c r="H69" s="102" t="n"/>
      <c r="I69" s="103" t="n"/>
      <c r="J69" s="515" t="n"/>
      <c r="K69" s="516" t="n"/>
      <c r="L69" s="517" t="n"/>
      <c r="M69" s="517" t="n"/>
      <c r="N69" s="518" t="n"/>
      <c r="O69" s="518" t="n"/>
      <c r="P69" s="515" t="n"/>
      <c r="Q69" s="516" t="n"/>
      <c r="R69" s="500" t="n"/>
      <c r="S69" s="500" t="n"/>
      <c r="T69" s="519" t="n"/>
    </row>
    <row r="70">
      <c r="F70" s="101" t="n"/>
      <c r="G70" s="102" t="n"/>
      <c r="H70" s="102" t="n"/>
      <c r="I70" s="103" t="n"/>
      <c r="J70" s="515" t="n"/>
      <c r="K70" s="516" t="n"/>
      <c r="L70" s="517" t="n"/>
      <c r="M70" s="517" t="n"/>
      <c r="N70" s="518" t="n"/>
      <c r="O70" s="518" t="n"/>
      <c r="P70" s="515" t="n"/>
      <c r="Q70" s="516" t="n"/>
      <c r="R70" s="500" t="n"/>
      <c r="S70" s="500" t="n"/>
      <c r="T70" s="519" t="n"/>
    </row>
    <row r="71">
      <c r="F71" s="101" t="n"/>
      <c r="G71" s="102" t="n"/>
      <c r="H71" s="102" t="n"/>
      <c r="I71" s="103" t="n"/>
      <c r="J71" s="515" t="n"/>
      <c r="K71" s="516" t="n"/>
      <c r="L71" s="517" t="n"/>
      <c r="M71" s="517" t="n"/>
      <c r="N71" s="518" t="n"/>
      <c r="O71" s="518" t="n"/>
      <c r="P71" s="515" t="n"/>
      <c r="Q71" s="516" t="n"/>
      <c r="R71" s="500" t="n"/>
      <c r="S71" s="500" t="n"/>
      <c r="T71" s="519" t="n"/>
    </row>
    <row r="72">
      <c r="F72" s="101" t="n"/>
      <c r="G72" s="102" t="n"/>
      <c r="H72" s="102" t="n"/>
      <c r="I72" s="103" t="n"/>
      <c r="J72" s="515" t="n"/>
      <c r="K72" s="516" t="n"/>
      <c r="L72" s="517" t="n"/>
      <c r="M72" s="517" t="n"/>
      <c r="N72" s="518" t="n"/>
      <c r="O72" s="518" t="n"/>
      <c r="P72" s="515" t="n"/>
      <c r="Q72" s="516" t="n"/>
      <c r="R72" s="500" t="n"/>
      <c r="S72" s="500" t="n"/>
      <c r="T72" s="519" t="n"/>
    </row>
    <row r="73">
      <c r="F73" s="101" t="n"/>
      <c r="G73" s="102" t="n"/>
      <c r="H73" s="102" t="n"/>
      <c r="I73" s="103" t="n"/>
      <c r="J73" s="515" t="n"/>
      <c r="K73" s="516" t="n"/>
      <c r="L73" s="517" t="n"/>
      <c r="M73" s="517" t="n"/>
      <c r="N73" s="518" t="n"/>
      <c r="O73" s="518" t="n"/>
      <c r="P73" s="515" t="n"/>
      <c r="Q73" s="516" t="n"/>
      <c r="R73" s="500" t="n"/>
      <c r="S73" s="500" t="n"/>
      <c r="T73" s="519" t="n"/>
    </row>
    <row r="74">
      <c r="F74" s="101" t="n"/>
      <c r="G74" s="102" t="n"/>
      <c r="H74" s="102" t="n"/>
      <c r="I74" s="103" t="n"/>
      <c r="J74" s="515" t="n"/>
      <c r="K74" s="516" t="n"/>
      <c r="L74" s="517" t="n"/>
      <c r="M74" s="517" t="n"/>
      <c r="N74" s="518" t="n"/>
      <c r="O74" s="518" t="n"/>
      <c r="P74" s="515" t="n"/>
      <c r="Q74" s="516" t="n"/>
      <c r="R74" s="500" t="n"/>
      <c r="S74" s="500" t="n"/>
      <c r="T74" s="519" t="n"/>
    </row>
    <row r="75">
      <c r="F75" s="101" t="n"/>
      <c r="G75" s="102" t="n"/>
      <c r="H75" s="102" t="n"/>
      <c r="I75" s="103" t="n"/>
      <c r="J75" s="515" t="n"/>
      <c r="K75" s="516" t="n"/>
      <c r="L75" s="517" t="n"/>
      <c r="M75" s="517" t="n"/>
      <c r="N75" s="518" t="n"/>
      <c r="O75" s="518" t="n"/>
      <c r="P75" s="515" t="n"/>
      <c r="Q75" s="516" t="n"/>
      <c r="R75" s="500" t="n"/>
      <c r="S75" s="500" t="n"/>
      <c r="T75" s="519" t="n"/>
    </row>
    <row r="76">
      <c r="F76" s="101" t="n"/>
      <c r="G76" s="102" t="n"/>
      <c r="H76" s="102" t="n"/>
      <c r="I76" s="103" t="n"/>
      <c r="J76" s="515" t="n"/>
      <c r="K76" s="516" t="n"/>
      <c r="L76" s="517" t="n"/>
      <c r="M76" s="517" t="n"/>
      <c r="N76" s="518" t="n"/>
      <c r="O76" s="518" t="n"/>
      <c r="P76" s="515" t="n"/>
      <c r="Q76" s="516" t="n"/>
      <c r="R76" s="500" t="n"/>
      <c r="S76" s="500" t="n"/>
      <c r="T76" s="519" t="n"/>
    </row>
    <row r="77">
      <c r="F77" s="35" t="n"/>
      <c r="G77" s="36" t="n"/>
      <c r="H77" s="36" t="n"/>
      <c r="I77" s="37" t="n"/>
      <c r="J77" s="546" t="n"/>
      <c r="K77" s="547" t="n"/>
      <c r="L77" s="548" t="n"/>
      <c r="M77" s="548" t="n"/>
      <c r="N77" s="549" t="n"/>
      <c r="O77" s="549" t="n"/>
      <c r="P77" s="581" t="n"/>
      <c r="Q77" s="588" t="n"/>
      <c r="R77" s="589" t="n"/>
      <c r="S77" s="589" t="n"/>
      <c r="T77" s="642" t="n"/>
    </row>
    <row r="78">
      <c r="Q78" s="500" t="n"/>
    </row>
  </sheetData>
  <mergeCells count="1">
    <mergeCell ref="A20:A26"/>
  </mergeCells>
  <pageMargins left="0.7" right="0.7" top="0.75" bottom="0.75" header="0.3" footer="0.3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2:AN78"/>
  <sheetViews>
    <sheetView showGridLines="0" topLeftCell="P1" zoomScale="80" zoomScaleNormal="80" workbookViewId="0">
      <selection activeCell="AF28" sqref="AF28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.375" customWidth="1" style="497" min="10" max="11"/>
    <col width="12.125" customWidth="1" style="497" min="12" max="12"/>
    <col width="10.5" customWidth="1" style="497" min="13" max="13"/>
    <col width="12.125" customWidth="1" style="497" min="14" max="16"/>
    <col width="10.5" customWidth="1" style="497" min="17" max="17"/>
    <col width="12.125" bestFit="1" customWidth="1" style="497" min="18" max="18"/>
    <col width="10.5" customWidth="1" style="497" min="19" max="31"/>
    <col width="14.5" bestFit="1" customWidth="1" style="497" min="32" max="33"/>
    <col width="9.375" bestFit="1" customWidth="1" style="497" min="34" max="34"/>
    <col width="8.1875" bestFit="1" customWidth="1" style="497" min="35" max="35"/>
    <col width="13.375" bestFit="1" customWidth="1" style="497" min="36" max="36"/>
    <col width="25.625" bestFit="1" customWidth="1" style="497" min="38" max="38"/>
    <col width="12.125" bestFit="1" customWidth="1" style="497" min="39" max="39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  <c r="V2" s="500">
        <f>SUM(V5:V77)</f>
        <v/>
      </c>
      <c r="W2" s="500" t="n"/>
      <c r="X2" s="500" t="n"/>
      <c r="Y2" s="500" t="n"/>
      <c r="Z2" s="500" t="inlineStr">
        <is>
          <t>반드시 기존 구독료를 가지고 있어야함</t>
        </is>
      </c>
      <c r="AA2" s="500" t="n"/>
      <c r="AB2" s="500" t="n"/>
      <c r="AC2" s="500" t="n"/>
      <c r="AD2" s="500" t="n"/>
      <c r="AE2" s="500" t="n"/>
      <c r="AF2" s="500" t="inlineStr">
        <is>
          <t>기존 구독료를 가지고 있어야 함</t>
        </is>
      </c>
      <c r="AG2" s="500" t="n"/>
      <c r="AH2" s="500" t="n"/>
      <c r="AI2" s="500" t="n"/>
      <c r="AJ2" s="500" t="inlineStr">
        <is>
          <t>할인금을 가지고 있어야 함</t>
        </is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179" t="inlineStr">
        <is>
          <t>선납</t>
        </is>
      </c>
      <c r="S3" s="180" t="n"/>
      <c r="T3" s="180" t="n"/>
      <c r="U3" s="181" t="n"/>
      <c r="V3" s="178" t="inlineStr">
        <is>
          <t>+할인</t>
        </is>
      </c>
      <c r="W3" s="177" t="n"/>
      <c r="X3" s="177" t="n"/>
      <c r="Y3" s="177" t="n"/>
      <c r="Z3" s="177" t="n"/>
      <c r="AA3" s="177" t="n"/>
      <c r="AB3" s="177" t="n"/>
      <c r="AC3" s="177" t="n"/>
      <c r="AD3" s="177" t="n"/>
      <c r="AE3" s="177" t="n"/>
      <c r="AF3" s="177" t="n"/>
      <c r="AG3" s="177" t="n"/>
      <c r="AH3" s="177" t="n"/>
      <c r="AI3" s="177" t="n"/>
      <c r="AJ3" s="177" t="n"/>
      <c r="AL3" s="9" t="inlineStr">
        <is>
          <t>고객노출 기본 구독료 (v+)</t>
        </is>
      </c>
      <c r="AM3" s="506">
        <f>C15*1.1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9" t="inlineStr">
        <is>
          <t>구독료청구</t>
        </is>
      </c>
      <c r="W4" s="26" t="inlineStr">
        <is>
          <t>제품</t>
        </is>
      </c>
      <c r="X4" s="15" t="inlineStr">
        <is>
          <t>케어</t>
        </is>
      </c>
      <c r="Y4" s="15" t="inlineStr">
        <is>
          <t>보증</t>
        </is>
      </c>
      <c r="Z4" s="27" t="inlineStr">
        <is>
          <t>할인</t>
        </is>
      </c>
      <c r="AA4" s="9" t="inlineStr">
        <is>
          <t>구독료청구</t>
        </is>
      </c>
      <c r="AB4" s="26" t="inlineStr">
        <is>
          <t>제품</t>
        </is>
      </c>
      <c r="AC4" s="15" t="inlineStr">
        <is>
          <t>케어</t>
        </is>
      </c>
      <c r="AD4" s="15" t="inlineStr">
        <is>
          <t>보증</t>
        </is>
      </c>
      <c r="AE4" s="27" t="inlineStr">
        <is>
          <t>할인</t>
        </is>
      </c>
      <c r="AF4" s="9" t="inlineStr">
        <is>
          <t>구독료청구</t>
        </is>
      </c>
      <c r="AG4" s="26" t="inlineStr">
        <is>
          <t>제품</t>
        </is>
      </c>
      <c r="AH4" s="15" t="inlineStr">
        <is>
          <t>케어</t>
        </is>
      </c>
      <c r="AI4" s="15" t="inlineStr">
        <is>
          <t>보증</t>
        </is>
      </c>
      <c r="AJ4" s="27" t="inlineStr">
        <is>
          <t>할인</t>
        </is>
      </c>
      <c r="AL4" s="9" t="inlineStr">
        <is>
          <t>선납금 월할(v+)</t>
        </is>
      </c>
      <c r="AM4" s="506">
        <f>C24*1.1/C7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15">
        <f>ROUNDDOWN(($C$30/$C$7)*(H5-G5+1)/DAY(H5),-2)</f>
        <v/>
      </c>
      <c r="O5" s="516">
        <f>N5-P5-Q5</f>
        <v/>
      </c>
      <c r="P5" s="500">
        <f>L5</f>
        <v/>
      </c>
      <c r="Q5" s="519">
        <f>M5</f>
        <v/>
      </c>
      <c r="R5" s="516">
        <f>ROUNDDOWN(($C$23/$C$7)*(H5-G5+1)/DAY(H5),-2)</f>
        <v/>
      </c>
      <c r="S5" s="500">
        <f>R5-T5-U5</f>
        <v/>
      </c>
      <c r="T5" s="500">
        <f>P5</f>
        <v/>
      </c>
      <c r="U5" s="519">
        <f>Q5</f>
        <v/>
      </c>
      <c r="V5" s="516">
        <f>ROUNDDOWN(($C$30/$C$7)*(H5-G5+1)/DAY(H5),-2)</f>
        <v/>
      </c>
      <c r="W5" s="500">
        <f>V5-SUM(X5:Z5)</f>
        <v/>
      </c>
      <c r="X5" s="500">
        <f>T5</f>
        <v/>
      </c>
      <c r="Y5" s="500">
        <f>U5</f>
        <v/>
      </c>
      <c r="Z5" s="519">
        <f>(R5-V5)</f>
        <v/>
      </c>
      <c r="AA5" s="516">
        <f>ROUNDDOWN(($C$30/$C$7)*(H5-G5+1)/DAY(H5),-2)</f>
        <v/>
      </c>
      <c r="AB5" s="500">
        <f>AA5-SUM(AC5:AE5)</f>
        <v/>
      </c>
      <c r="AC5" s="500">
        <f>X5</f>
        <v/>
      </c>
      <c r="AD5" s="500">
        <f>Y5</f>
        <v/>
      </c>
      <c r="AE5" s="519">
        <f>ROUNDDOWN(($C$28/$C$7)*(H5-G5+1)/DAY(H5),-2)</f>
        <v/>
      </c>
      <c r="AF5" s="516">
        <f>R5-AJ5</f>
        <v/>
      </c>
      <c r="AG5" s="500">
        <f>AF5-SUM(AH5:AJ5)</f>
        <v/>
      </c>
      <c r="AH5" s="500">
        <f>AC5</f>
        <v/>
      </c>
      <c r="AI5" s="500">
        <f>AD5</f>
        <v/>
      </c>
      <c r="AJ5" s="519">
        <f>ROUNDDOWN(($C$28/$C$7)*(H5-G5+1)/DAY(H5),-2)</f>
        <v/>
      </c>
      <c r="AL5" s="9" t="inlineStr">
        <is>
          <t>선납할인금 월할 (v+)</t>
        </is>
      </c>
      <c r="AM5" s="506">
        <f>C28*1.1/C7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$C$29</f>
        <v/>
      </c>
      <c r="O6" s="516">
        <f>N6-P6-Q6</f>
        <v/>
      </c>
      <c r="P6" s="500">
        <f>L6</f>
        <v/>
      </c>
      <c r="Q6" s="519">
        <f>M6</f>
        <v/>
      </c>
      <c r="R6" s="516">
        <f>$C$22</f>
        <v/>
      </c>
      <c r="S6" s="500">
        <f>R6-T6-U6</f>
        <v/>
      </c>
      <c r="T6" s="500">
        <f>P6</f>
        <v/>
      </c>
      <c r="U6" s="519">
        <f>Q6</f>
        <v/>
      </c>
      <c r="V6" s="516">
        <f>ROUNDDOWN(($C$30/$C$7)*(H6-G6+1)/DAY(H6),-2)</f>
        <v/>
      </c>
      <c r="W6" s="500">
        <f>V6-SUM(X6:Z6)</f>
        <v/>
      </c>
      <c r="X6" s="500">
        <f>T6</f>
        <v/>
      </c>
      <c r="Y6" s="500">
        <f>U6</f>
        <v/>
      </c>
      <c r="Z6" s="519">
        <f>(R6-V6)</f>
        <v/>
      </c>
      <c r="AA6" s="516">
        <f>ROUNDDOWN(($C$30/$C$7)*(H6-G6+1)/DAY(H6),-2)</f>
        <v/>
      </c>
      <c r="AB6" s="500" t="n"/>
      <c r="AC6" s="500">
        <f>X6</f>
        <v/>
      </c>
      <c r="AD6" s="500">
        <f>Y6</f>
        <v/>
      </c>
      <c r="AE6" s="519">
        <f>Z6</f>
        <v/>
      </c>
      <c r="AF6" s="516">
        <f>R6-AJ6</f>
        <v/>
      </c>
      <c r="AG6" s="500" t="n"/>
      <c r="AH6" s="500">
        <f>AC6</f>
        <v/>
      </c>
      <c r="AI6" s="500">
        <f>AD6</f>
        <v/>
      </c>
      <c r="AJ6" s="519">
        <f>ROUNDDOWN(($C$28/$C$7)*(H6-G6+1)/DAY(H6),-2)</f>
        <v/>
      </c>
      <c r="AL6" s="9" t="inlineStr">
        <is>
          <t>선납시 최종 납부금 (v+)</t>
        </is>
      </c>
      <c r="AM6" s="527">
        <f>AM3-AM4-AM5</f>
        <v/>
      </c>
      <c r="AN6" s="206" t="inlineStr">
        <is>
          <t>* 부가세제외버전x1.1 값과 동일</t>
        </is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$C$29</f>
        <v/>
      </c>
      <c r="O7" s="516">
        <f>N7-P7-Q7</f>
        <v/>
      </c>
      <c r="P7" s="500">
        <f>L7</f>
        <v/>
      </c>
      <c r="Q7" s="519">
        <f>M7</f>
        <v/>
      </c>
      <c r="R7" s="516">
        <f>$C$22</f>
        <v/>
      </c>
      <c r="S7" s="500">
        <f>R7-T7-U7</f>
        <v/>
      </c>
      <c r="T7" s="500">
        <f>P7</f>
        <v/>
      </c>
      <c r="U7" s="519">
        <f>Q7</f>
        <v/>
      </c>
      <c r="V7" s="516">
        <f>ROUNDDOWN(($C$30/$C$7)*(H7-G7+1)/DAY(H7),-2)</f>
        <v/>
      </c>
      <c r="W7" s="500">
        <f>V7-SUM(X7:Z7)</f>
        <v/>
      </c>
      <c r="X7" s="500">
        <f>T7</f>
        <v/>
      </c>
      <c r="Y7" s="500">
        <f>U7</f>
        <v/>
      </c>
      <c r="Z7" s="519">
        <f>(R7-V7)</f>
        <v/>
      </c>
      <c r="AA7" s="516">
        <f>ROUNDDOWN(($C$30/$C$7)*(H7-G7+1)/DAY(H7),-2)</f>
        <v/>
      </c>
      <c r="AB7" s="500" t="n"/>
      <c r="AC7" s="500">
        <f>X7</f>
        <v/>
      </c>
      <c r="AD7" s="500">
        <f>Y7</f>
        <v/>
      </c>
      <c r="AE7" s="519" t="n"/>
      <c r="AF7" s="516" t="n"/>
      <c r="AG7" s="500" t="n"/>
      <c r="AH7" s="500">
        <f>AC7</f>
        <v/>
      </c>
      <c r="AI7" s="500">
        <f>AD7</f>
        <v/>
      </c>
      <c r="AJ7" s="519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$C$29</f>
        <v/>
      </c>
      <c r="O8" s="516">
        <f>N8-P8-Q8</f>
        <v/>
      </c>
      <c r="P8" s="500">
        <f>L8</f>
        <v/>
      </c>
      <c r="Q8" s="519">
        <f>M8</f>
        <v/>
      </c>
      <c r="R8" s="516">
        <f>$C$22</f>
        <v/>
      </c>
      <c r="S8" s="500">
        <f>R8-T8-U8</f>
        <v/>
      </c>
      <c r="T8" s="500">
        <f>P8</f>
        <v/>
      </c>
      <c r="U8" s="519">
        <f>Q8</f>
        <v/>
      </c>
      <c r="V8" s="516">
        <f>ROUNDDOWN(($C$30/$C$7)*(H8-G8+1)/DAY(H8),-2)</f>
        <v/>
      </c>
      <c r="W8" s="500">
        <f>V8-SUM(X8:Z8)</f>
        <v/>
      </c>
      <c r="X8" s="500">
        <f>T8</f>
        <v/>
      </c>
      <c r="Y8" s="500">
        <f>U8</f>
        <v/>
      </c>
      <c r="Z8" s="519">
        <f>(R8-V8)</f>
        <v/>
      </c>
      <c r="AA8" s="516">
        <f>ROUNDDOWN(($C$30/$C$7)*(H8-G8+1)/DAY(H8),-2)</f>
        <v/>
      </c>
      <c r="AB8" s="500" t="n"/>
      <c r="AC8" s="500">
        <f>X8</f>
        <v/>
      </c>
      <c r="AD8" s="500">
        <f>Y8</f>
        <v/>
      </c>
      <c r="AE8" s="519" t="n"/>
      <c r="AF8" s="516" t="n"/>
      <c r="AG8" s="500" t="n"/>
      <c r="AH8" s="500">
        <f>AC8</f>
        <v/>
      </c>
      <c r="AI8" s="500">
        <f>AD8</f>
        <v/>
      </c>
      <c r="AJ8" s="519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$C$29</f>
        <v/>
      </c>
      <c r="O9" s="516">
        <f>N9-P9-Q9</f>
        <v/>
      </c>
      <c r="P9" s="500">
        <f>L9</f>
        <v/>
      </c>
      <c r="Q9" s="519">
        <f>M9</f>
        <v/>
      </c>
      <c r="R9" s="516">
        <f>$C$22</f>
        <v/>
      </c>
      <c r="S9" s="500">
        <f>R9-T9-U9</f>
        <v/>
      </c>
      <c r="T9" s="500">
        <f>P9</f>
        <v/>
      </c>
      <c r="U9" s="519">
        <f>Q9</f>
        <v/>
      </c>
      <c r="V9" s="516">
        <f>ROUNDDOWN(($C$30/$C$7)*(H9-G9+1)/DAY(H9),-2)</f>
        <v/>
      </c>
      <c r="W9" s="500">
        <f>V9-SUM(X9:Z9)</f>
        <v/>
      </c>
      <c r="X9" s="500">
        <f>T9</f>
        <v/>
      </c>
      <c r="Y9" s="500">
        <f>U9</f>
        <v/>
      </c>
      <c r="Z9" s="519">
        <f>(R9-V9)</f>
        <v/>
      </c>
      <c r="AA9" s="516">
        <f>ROUNDDOWN(($C$30/$C$7)*(H9-G9+1)/DAY(H9),-2)</f>
        <v/>
      </c>
      <c r="AB9" s="500" t="n"/>
      <c r="AC9" s="500">
        <f>X9</f>
        <v/>
      </c>
      <c r="AD9" s="500">
        <f>Y9</f>
        <v/>
      </c>
      <c r="AE9" s="519" t="n"/>
      <c r="AF9" s="516" t="n"/>
      <c r="AG9" s="500" t="n"/>
      <c r="AH9" s="500">
        <f>AC9</f>
        <v/>
      </c>
      <c r="AI9" s="500">
        <f>AD9</f>
        <v/>
      </c>
      <c r="AJ9" s="519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$C$29</f>
        <v/>
      </c>
      <c r="O10" s="516">
        <f>N10-P10-Q10</f>
        <v/>
      </c>
      <c r="P10" s="500">
        <f>L10</f>
        <v/>
      </c>
      <c r="Q10" s="519">
        <f>M10</f>
        <v/>
      </c>
      <c r="R10" s="516">
        <f>$C$22</f>
        <v/>
      </c>
      <c r="S10" s="500">
        <f>R10-T10-U10</f>
        <v/>
      </c>
      <c r="T10" s="500">
        <f>P10</f>
        <v/>
      </c>
      <c r="U10" s="519">
        <f>Q10</f>
        <v/>
      </c>
      <c r="V10" s="516">
        <f>ROUNDDOWN(($C$30/$C$7)*(H10-G10+1)/DAY(H10),-2)</f>
        <v/>
      </c>
      <c r="W10" s="500">
        <f>V10-SUM(X10:Z10)</f>
        <v/>
      </c>
      <c r="X10" s="500">
        <f>T10</f>
        <v/>
      </c>
      <c r="Y10" s="500">
        <f>U10</f>
        <v/>
      </c>
      <c r="Z10" s="519">
        <f>(R10-V10)</f>
        <v/>
      </c>
      <c r="AA10" s="516">
        <f>ROUNDDOWN(($C$30/$C$7)*(H10-G10+1)/DAY(H10),-2)</f>
        <v/>
      </c>
      <c r="AB10" s="500" t="n"/>
      <c r="AC10" s="500">
        <f>X10</f>
        <v/>
      </c>
      <c r="AD10" s="500">
        <f>Y10</f>
        <v/>
      </c>
      <c r="AE10" s="519" t="n"/>
      <c r="AF10" s="516" t="n"/>
      <c r="AG10" s="500" t="n"/>
      <c r="AH10" s="500">
        <f>AC10</f>
        <v/>
      </c>
      <c r="AI10" s="500">
        <f>AD10</f>
        <v/>
      </c>
      <c r="AJ10" s="519" t="n"/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$C$29</f>
        <v/>
      </c>
      <c r="O11" s="516">
        <f>N11-P11-Q11</f>
        <v/>
      </c>
      <c r="P11" s="500">
        <f>L11</f>
        <v/>
      </c>
      <c r="Q11" s="519">
        <f>M11</f>
        <v/>
      </c>
      <c r="R11" s="516">
        <f>$C$22</f>
        <v/>
      </c>
      <c r="S11" s="500">
        <f>R11-T11-U11</f>
        <v/>
      </c>
      <c r="T11" s="500">
        <f>P11</f>
        <v/>
      </c>
      <c r="U11" s="519">
        <f>Q11</f>
        <v/>
      </c>
      <c r="V11" s="516">
        <f>ROUNDDOWN(($C$30/$C$7)*(H11-G11+1)/DAY(H11),-2)</f>
        <v/>
      </c>
      <c r="W11" s="500">
        <f>V11-SUM(X11:Z11)</f>
        <v/>
      </c>
      <c r="X11" s="500">
        <f>T11</f>
        <v/>
      </c>
      <c r="Y11" s="500">
        <f>U11</f>
        <v/>
      </c>
      <c r="Z11" s="519">
        <f>(R11-V11)</f>
        <v/>
      </c>
      <c r="AA11" s="516">
        <f>ROUNDDOWN(($C$30/$C$7)*(H11-G11+1)/DAY(H11),-2)</f>
        <v/>
      </c>
      <c r="AB11" s="500" t="n"/>
      <c r="AC11" s="500">
        <f>X11</f>
        <v/>
      </c>
      <c r="AD11" s="500">
        <f>Y11</f>
        <v/>
      </c>
      <c r="AE11" s="519" t="n"/>
      <c r="AF11" s="516" t="n"/>
      <c r="AG11" s="500" t="n"/>
      <c r="AH11" s="500">
        <f>AC11</f>
        <v/>
      </c>
      <c r="AI11" s="500">
        <f>AD11</f>
        <v/>
      </c>
      <c r="AJ11" s="519" t="n"/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$C$29</f>
        <v/>
      </c>
      <c r="O12" s="516">
        <f>N12-P12-Q12</f>
        <v/>
      </c>
      <c r="P12" s="500">
        <f>L12</f>
        <v/>
      </c>
      <c r="Q12" s="519">
        <f>M12</f>
        <v/>
      </c>
      <c r="R12" s="516">
        <f>$C$22</f>
        <v/>
      </c>
      <c r="S12" s="500">
        <f>R12-T12-U12</f>
        <v/>
      </c>
      <c r="T12" s="500">
        <f>P12</f>
        <v/>
      </c>
      <c r="U12" s="519">
        <f>Q12</f>
        <v/>
      </c>
      <c r="V12" s="516">
        <f>ROUNDDOWN(($C$30/$C$7)*(H12-G12+1)/DAY(H12),-2)</f>
        <v/>
      </c>
      <c r="W12" s="500">
        <f>V12-SUM(X12:Z12)</f>
        <v/>
      </c>
      <c r="X12" s="500">
        <f>T12</f>
        <v/>
      </c>
      <c r="Y12" s="500">
        <f>U12</f>
        <v/>
      </c>
      <c r="Z12" s="519">
        <f>(R12-V12)</f>
        <v/>
      </c>
      <c r="AA12" s="516">
        <f>ROUNDDOWN(($C$30/$C$7)*(H12-G12+1)/DAY(H12),-2)</f>
        <v/>
      </c>
      <c r="AB12" s="500" t="n"/>
      <c r="AC12" s="500">
        <f>X12</f>
        <v/>
      </c>
      <c r="AD12" s="500">
        <f>Y12</f>
        <v/>
      </c>
      <c r="AE12" s="519" t="n"/>
      <c r="AF12" s="516" t="n"/>
      <c r="AG12" s="500" t="n"/>
      <c r="AH12" s="500">
        <f>AC12</f>
        <v/>
      </c>
      <c r="AI12" s="500">
        <f>AD12</f>
        <v/>
      </c>
      <c r="AJ12" s="519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$C$29</f>
        <v/>
      </c>
      <c r="O13" s="516">
        <f>N13-P13-Q13</f>
        <v/>
      </c>
      <c r="P13" s="500">
        <f>L13</f>
        <v/>
      </c>
      <c r="Q13" s="519">
        <f>M13</f>
        <v/>
      </c>
      <c r="R13" s="516">
        <f>$C$22</f>
        <v/>
      </c>
      <c r="S13" s="500">
        <f>R13-T13-U13</f>
        <v/>
      </c>
      <c r="T13" s="500">
        <f>P13</f>
        <v/>
      </c>
      <c r="U13" s="519">
        <f>Q13</f>
        <v/>
      </c>
      <c r="V13" s="516">
        <f>ROUNDDOWN(($C$30/$C$7)*(H13-G13+1)/DAY(H13),-2)</f>
        <v/>
      </c>
      <c r="W13" s="500">
        <f>V13-SUM(X13:Z13)</f>
        <v/>
      </c>
      <c r="X13" s="500">
        <f>T13</f>
        <v/>
      </c>
      <c r="Y13" s="500">
        <f>U13</f>
        <v/>
      </c>
      <c r="Z13" s="519">
        <f>(R13-V13)</f>
        <v/>
      </c>
      <c r="AA13" s="516">
        <f>ROUNDDOWN(($C$30/$C$7)*(H13-G13+1)/DAY(H13),-2)</f>
        <v/>
      </c>
      <c r="AB13" s="500" t="n"/>
      <c r="AC13" s="500">
        <f>X13</f>
        <v/>
      </c>
      <c r="AD13" s="500">
        <f>Y13</f>
        <v/>
      </c>
      <c r="AE13" s="500" t="n"/>
      <c r="AF13" s="500" t="n"/>
      <c r="AG13" s="500" t="n"/>
      <c r="AH13" s="500">
        <f>AC13</f>
        <v/>
      </c>
      <c r="AI13" s="500">
        <f>AD13</f>
        <v/>
      </c>
      <c r="AJ13" s="500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$C$29</f>
        <v/>
      </c>
      <c r="O14" s="516">
        <f>N14-P14-Q14</f>
        <v/>
      </c>
      <c r="P14" s="500">
        <f>L14</f>
        <v/>
      </c>
      <c r="Q14" s="519">
        <f>M14</f>
        <v/>
      </c>
      <c r="R14" s="516">
        <f>$C$22</f>
        <v/>
      </c>
      <c r="S14" s="500">
        <f>R14-T14-U14</f>
        <v/>
      </c>
      <c r="T14" s="500">
        <f>P14</f>
        <v/>
      </c>
      <c r="U14" s="519">
        <f>Q14</f>
        <v/>
      </c>
      <c r="V14" s="516">
        <f>ROUNDDOWN(($C$30/$C$7)*(H14-G14+1)/DAY(H14),-2)</f>
        <v/>
      </c>
      <c r="W14" s="500">
        <f>V14-SUM(X14:Z14)</f>
        <v/>
      </c>
      <c r="X14" s="500">
        <f>T14</f>
        <v/>
      </c>
      <c r="Y14" s="500">
        <f>U14</f>
        <v/>
      </c>
      <c r="Z14" s="519">
        <f>(R14-V14)</f>
        <v/>
      </c>
      <c r="AA14" s="516">
        <f>ROUNDDOWN(($C$30/$C$7)*(H14-G14+1)/DAY(H14),-2)</f>
        <v/>
      </c>
      <c r="AB14" s="500" t="n"/>
      <c r="AC14" s="500" t="n"/>
      <c r="AD14" s="500" t="n"/>
      <c r="AE14" s="500" t="n"/>
      <c r="AF14" s="500" t="n"/>
      <c r="AG14" s="500" t="n"/>
      <c r="AH14" s="500" t="n"/>
      <c r="AI14" s="500" t="n"/>
      <c r="AJ14" s="500" t="n"/>
    </row>
    <row r="15">
      <c r="B15" s="9" t="inlineStr">
        <is>
          <t>월구독료(v-)</t>
        </is>
      </c>
      <c r="C15" s="526" t="n">
        <v>163300</v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$C$29</f>
        <v/>
      </c>
      <c r="O15" s="516">
        <f>N15-P15-Q15</f>
        <v/>
      </c>
      <c r="P15" s="500">
        <f>L15</f>
        <v/>
      </c>
      <c r="Q15" s="519">
        <f>M15</f>
        <v/>
      </c>
      <c r="R15" s="516">
        <f>$C$22</f>
        <v/>
      </c>
      <c r="S15" s="500">
        <f>R15-T15-U15</f>
        <v/>
      </c>
      <c r="T15" s="500">
        <f>P15</f>
        <v/>
      </c>
      <c r="U15" s="519">
        <f>Q15</f>
        <v/>
      </c>
      <c r="V15" s="516" t="n"/>
      <c r="W15" s="500" t="n"/>
      <c r="X15" s="500" t="n"/>
      <c r="Y15" s="500" t="n"/>
      <c r="Z15" s="519" t="n"/>
      <c r="AA15" s="516" t="n"/>
      <c r="AB15" s="500" t="n"/>
      <c r="AC15" s="500" t="n"/>
      <c r="AD15" s="500" t="n"/>
      <c r="AE15" s="500" t="n"/>
      <c r="AF15" s="500" t="n"/>
      <c r="AG15" s="500" t="n"/>
      <c r="AH15" s="500" t="n"/>
      <c r="AI15" s="500" t="n"/>
      <c r="AJ15" s="500" t="n"/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$C$29</f>
        <v/>
      </c>
      <c r="O16" s="516">
        <f>N16-P16-Q16</f>
        <v/>
      </c>
      <c r="P16" s="500">
        <f>L16</f>
        <v/>
      </c>
      <c r="Q16" s="519">
        <f>M16</f>
        <v/>
      </c>
      <c r="R16" s="516">
        <f>$C$22</f>
        <v/>
      </c>
      <c r="S16" s="500">
        <f>R16-T16-U16</f>
        <v/>
      </c>
      <c r="T16" s="500">
        <f>P16</f>
        <v/>
      </c>
      <c r="U16" s="519">
        <f>Q16</f>
        <v/>
      </c>
      <c r="V16" s="516" t="n"/>
      <c r="W16" s="500" t="n"/>
      <c r="X16" s="500" t="n"/>
      <c r="Y16" s="500" t="n"/>
      <c r="Z16" s="519" t="n"/>
      <c r="AA16" s="516" t="n"/>
      <c r="AB16" s="500" t="n"/>
      <c r="AC16" s="500" t="n"/>
      <c r="AD16" s="500" t="n"/>
      <c r="AE16" s="500" t="n"/>
      <c r="AF16" s="500" t="n"/>
      <c r="AG16" s="500" t="n"/>
      <c r="AH16" s="500" t="n"/>
      <c r="AI16" s="500" t="n"/>
      <c r="AJ16" s="500" t="n"/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$C$29</f>
        <v/>
      </c>
      <c r="O17" s="516">
        <f>N17-P17-Q17</f>
        <v/>
      </c>
      <c r="P17" s="500">
        <f>L17</f>
        <v/>
      </c>
      <c r="Q17" s="519">
        <f>M17</f>
        <v/>
      </c>
      <c r="R17" s="516">
        <f>$C$22</f>
        <v/>
      </c>
      <c r="S17" s="500">
        <f>R17-T17-U17</f>
        <v/>
      </c>
      <c r="T17" s="500">
        <f>P17</f>
        <v/>
      </c>
      <c r="U17" s="519">
        <f>Q17</f>
        <v/>
      </c>
      <c r="V17" s="516" t="n"/>
      <c r="W17" s="500" t="n"/>
      <c r="X17" s="500" t="n"/>
      <c r="Y17" s="500" t="n"/>
      <c r="Z17" s="519" t="n"/>
      <c r="AA17" s="516" t="n"/>
      <c r="AB17" s="500" t="n"/>
      <c r="AC17" s="500" t="n"/>
      <c r="AD17" s="500" t="n"/>
      <c r="AE17" s="500" t="n"/>
      <c r="AF17" s="500" t="n"/>
      <c r="AG17" s="500" t="n"/>
      <c r="AH17" s="500" t="n"/>
      <c r="AI17" s="500" t="n"/>
      <c r="AJ17" s="500" t="n"/>
    </row>
    <row r="18">
      <c r="A18" s="492" t="inlineStr">
        <is>
          <t>기적용 버전</t>
        </is>
      </c>
      <c r="B18" s="9" t="inlineStr">
        <is>
          <t>선납금 %</t>
        </is>
      </c>
      <c r="C18" s="288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$C$29</f>
        <v/>
      </c>
      <c r="O18" s="516">
        <f>N18-P18-Q18</f>
        <v/>
      </c>
      <c r="P18" s="500">
        <f>L18</f>
        <v/>
      </c>
      <c r="Q18" s="519">
        <f>M18</f>
        <v/>
      </c>
      <c r="R18" s="516">
        <f>$C$22</f>
        <v/>
      </c>
      <c r="S18" s="500">
        <f>R18-T18-U18</f>
        <v/>
      </c>
      <c r="T18" s="500">
        <f>P18</f>
        <v/>
      </c>
      <c r="U18" s="519">
        <f>Q18</f>
        <v/>
      </c>
      <c r="V18" s="516" t="n"/>
      <c r="W18" s="500" t="n"/>
      <c r="X18" s="500" t="n"/>
      <c r="Y18" s="500" t="n"/>
      <c r="Z18" s="519" t="n"/>
      <c r="AA18" s="516" t="n"/>
      <c r="AB18" s="500" t="n"/>
      <c r="AC18" s="500" t="n"/>
      <c r="AD18" s="500" t="n"/>
      <c r="AE18" s="500" t="n"/>
      <c r="AF18" s="500" t="n"/>
      <c r="AG18" s="500" t="n"/>
      <c r="AH18" s="500" t="n"/>
      <c r="AI18" s="500" t="n"/>
      <c r="AJ18" s="500" t="n"/>
    </row>
    <row r="19">
      <c r="A19" s="628" t="n"/>
      <c r="B19" s="9" t="inlineStr">
        <is>
          <t>(계산용) 선납금(v-) (총구독료 v- 기준)</t>
        </is>
      </c>
      <c r="C19" s="506">
        <f>C14*C18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$C$29</f>
        <v/>
      </c>
      <c r="O19" s="516">
        <f>N19-P19-Q19</f>
        <v/>
      </c>
      <c r="P19" s="500">
        <f>L19</f>
        <v/>
      </c>
      <c r="Q19" s="519">
        <f>M19</f>
        <v/>
      </c>
      <c r="R19" s="516">
        <f>$C$22</f>
        <v/>
      </c>
      <c r="S19" s="500">
        <f>R19-T19-U19</f>
        <v/>
      </c>
      <c r="T19" s="500">
        <f>P19</f>
        <v/>
      </c>
      <c r="U19" s="519">
        <f>Q19</f>
        <v/>
      </c>
      <c r="V19" s="516" t="n"/>
      <c r="W19" s="500" t="n"/>
      <c r="X19" s="500" t="n"/>
      <c r="Y19" s="500" t="n"/>
      <c r="Z19" s="519" t="n"/>
      <c r="AA19" s="516" t="n"/>
      <c r="AB19" s="500" t="n"/>
      <c r="AC19" s="500" t="n"/>
      <c r="AD19" s="500" t="n"/>
      <c r="AE19" s="500" t="n"/>
      <c r="AF19" s="500" t="n"/>
      <c r="AG19" s="500" t="n"/>
      <c r="AH19" s="500" t="n"/>
      <c r="AI19" s="500" t="n"/>
      <c r="AJ19" s="500" t="n"/>
    </row>
    <row r="20">
      <c r="A20" s="628" t="n"/>
      <c r="B20" s="9" t="inlineStr">
        <is>
          <t>(계산용) 선납금 반영 총 구독료 (V-)</t>
        </is>
      </c>
      <c r="C20" s="506">
        <f>C14-C19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$C$29</f>
        <v/>
      </c>
      <c r="O20" s="516">
        <f>N20-P20-Q20</f>
        <v/>
      </c>
      <c r="P20" s="500">
        <f>L20</f>
        <v/>
      </c>
      <c r="Q20" s="519">
        <f>M20</f>
        <v/>
      </c>
      <c r="R20" s="516">
        <f>$C$22</f>
        <v/>
      </c>
      <c r="S20" s="500">
        <f>R20-T20-U20</f>
        <v/>
      </c>
      <c r="T20" s="500">
        <f>P20</f>
        <v/>
      </c>
      <c r="U20" s="519">
        <f>Q20</f>
        <v/>
      </c>
      <c r="V20" s="516" t="n"/>
      <c r="W20" s="500" t="n"/>
      <c r="X20" s="500" t="n"/>
      <c r="Y20" s="500" t="n"/>
      <c r="Z20" s="519" t="n"/>
      <c r="AA20" s="516" t="n"/>
      <c r="AB20" s="500" t="n"/>
      <c r="AC20" s="500" t="n"/>
      <c r="AD20" s="500" t="n"/>
      <c r="AE20" s="500" t="n"/>
      <c r="AF20" s="500" t="n"/>
      <c r="AG20" s="500" t="n"/>
      <c r="AH20" s="500" t="n"/>
      <c r="AI20" s="500" t="n"/>
      <c r="AJ20" s="500" t="n"/>
    </row>
    <row r="21">
      <c r="A21" s="628" t="n"/>
      <c r="B21" s="9" t="inlineStr">
        <is>
          <t>(계산용) 선납금 반영 월 구독료(V-)</t>
        </is>
      </c>
      <c r="C21" s="506">
        <f>C20/C7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$C$29</f>
        <v/>
      </c>
      <c r="O21" s="516">
        <f>N21-P21-Q21</f>
        <v/>
      </c>
      <c r="P21" s="500">
        <f>L21</f>
        <v/>
      </c>
      <c r="Q21" s="519">
        <f>M21</f>
        <v/>
      </c>
      <c r="R21" s="516">
        <f>$C$22</f>
        <v/>
      </c>
      <c r="S21" s="500">
        <f>R21-T21-U21</f>
        <v/>
      </c>
      <c r="T21" s="500">
        <f>P21</f>
        <v/>
      </c>
      <c r="U21" s="519">
        <f>Q21</f>
        <v/>
      </c>
      <c r="V21" s="516" t="n"/>
      <c r="W21" s="500" t="n"/>
      <c r="X21" s="500" t="n"/>
      <c r="Y21" s="500" t="n"/>
      <c r="Z21" s="519" t="n"/>
      <c r="AA21" s="516" t="n"/>
      <c r="AB21" s="500" t="n"/>
      <c r="AC21" s="500" t="n"/>
      <c r="AD21" s="500" t="n"/>
      <c r="AE21" s="500" t="n"/>
      <c r="AF21" s="500" t="n"/>
      <c r="AG21" s="500" t="n"/>
      <c r="AH21" s="500" t="n"/>
      <c r="AI21" s="500" t="n"/>
      <c r="AJ21" s="500" t="n"/>
    </row>
    <row r="22">
      <c r="A22" s="628" t="n"/>
      <c r="B22" s="9" t="inlineStr">
        <is>
          <t>(최종) 선납금 반영 월 구독료 (V-)</t>
        </is>
      </c>
      <c r="C22" s="506">
        <f>ROUNDDOWN(C21,-2)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$C$29</f>
        <v/>
      </c>
      <c r="O22" s="516">
        <f>N22-P22-Q22</f>
        <v/>
      </c>
      <c r="P22" s="500">
        <f>L22</f>
        <v/>
      </c>
      <c r="Q22" s="519">
        <f>M22</f>
        <v/>
      </c>
      <c r="R22" s="516">
        <f>$C$22</f>
        <v/>
      </c>
      <c r="S22" s="500">
        <f>R22-T22-U22</f>
        <v/>
      </c>
      <c r="T22" s="500">
        <f>P22</f>
        <v/>
      </c>
      <c r="U22" s="519">
        <f>Q22</f>
        <v/>
      </c>
      <c r="V22" s="516" t="n"/>
      <c r="W22" s="500" t="n"/>
      <c r="X22" s="500" t="n"/>
      <c r="Y22" s="500" t="n"/>
      <c r="Z22" s="519" t="n"/>
      <c r="AA22" s="516" t="n"/>
      <c r="AB22" s="500" t="n"/>
      <c r="AC22" s="500" t="n"/>
      <c r="AD22" s="500" t="n"/>
      <c r="AE22" s="500" t="n"/>
      <c r="AF22" s="500" t="n"/>
      <c r="AG22" s="500" t="n"/>
      <c r="AH22" s="500" t="n"/>
      <c r="AI22" s="500" t="n"/>
      <c r="AJ22" s="500" t="n"/>
    </row>
    <row r="23">
      <c r="A23" s="628" t="n"/>
      <c r="B23" s="9" t="inlineStr">
        <is>
          <t>(최종) 선납금 반영 총 구독료 (V-)</t>
        </is>
      </c>
      <c r="C23" s="506">
        <f>C22*C7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$C$29</f>
        <v/>
      </c>
      <c r="O23" s="516">
        <f>N23-P23-Q23</f>
        <v/>
      </c>
      <c r="P23" s="500">
        <f>L23</f>
        <v/>
      </c>
      <c r="Q23" s="519">
        <f>M23</f>
        <v/>
      </c>
      <c r="R23" s="516">
        <f>$C$22</f>
        <v/>
      </c>
      <c r="S23" s="500">
        <f>R23-T23-U23</f>
        <v/>
      </c>
      <c r="T23" s="500">
        <f>P23</f>
        <v/>
      </c>
      <c r="U23" s="519">
        <f>Q23</f>
        <v/>
      </c>
      <c r="V23" s="516" t="n"/>
      <c r="W23" s="500" t="n"/>
      <c r="X23" s="500" t="n"/>
      <c r="Y23" s="500" t="n"/>
      <c r="Z23" s="519" t="n"/>
      <c r="AA23" s="516" t="n"/>
      <c r="AB23" s="500" t="n"/>
      <c r="AC23" s="500" t="n"/>
      <c r="AD23" s="500" t="n"/>
      <c r="AE23" s="500" t="n"/>
      <c r="AF23" s="500" t="n"/>
      <c r="AG23" s="500" t="n"/>
      <c r="AH23" s="500" t="n"/>
      <c r="AI23" s="500" t="n"/>
      <c r="AJ23" s="500" t="n"/>
    </row>
    <row r="24">
      <c r="A24" s="628" t="n"/>
      <c r="B24" s="63" t="inlineStr">
        <is>
          <t>(최종) 선납금 (V-)</t>
        </is>
      </c>
      <c r="C24" s="649">
        <f>C14-C23</f>
        <v/>
      </c>
      <c r="D24" s="505" t="n"/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$C$29</f>
        <v/>
      </c>
      <c r="O24" s="516">
        <f>N24-P24-Q24</f>
        <v/>
      </c>
      <c r="P24" s="500">
        <f>L24</f>
        <v/>
      </c>
      <c r="Q24" s="519">
        <f>M24</f>
        <v/>
      </c>
      <c r="R24" s="516">
        <f>$C$22</f>
        <v/>
      </c>
      <c r="S24" s="500">
        <f>R24-T24-U24</f>
        <v/>
      </c>
      <c r="T24" s="500">
        <f>P24</f>
        <v/>
      </c>
      <c r="U24" s="519">
        <f>Q24</f>
        <v/>
      </c>
      <c r="V24" s="516" t="n"/>
      <c r="W24" s="500" t="n"/>
      <c r="X24" s="500" t="n"/>
      <c r="Y24" s="500" t="n"/>
      <c r="Z24" s="519" t="n"/>
      <c r="AA24" s="516" t="n"/>
      <c r="AB24" s="500" t="n"/>
      <c r="AC24" s="500" t="n"/>
      <c r="AD24" s="500" t="n"/>
      <c r="AE24" s="500" t="n"/>
      <c r="AF24" s="500" t="n"/>
      <c r="AG24" s="500" t="n"/>
      <c r="AH24" s="500" t="n"/>
      <c r="AI24" s="500" t="n"/>
      <c r="AJ24" s="500" t="n"/>
    </row>
    <row r="25">
      <c r="B25" s="170" t="inlineStr">
        <is>
          <t>(계산용) 선납 할인금 (V-) (총구독료 v+기준)</t>
        </is>
      </c>
      <c r="C25" s="650">
        <f>C16*5%/1.1</f>
        <v/>
      </c>
      <c r="D25" s="500" t="inlineStr">
        <is>
          <t>* 추가검토필요</t>
        </is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$C$29</f>
        <v/>
      </c>
      <c r="O25" s="516">
        <f>N25-P25-Q25</f>
        <v/>
      </c>
      <c r="P25" s="500">
        <f>L25</f>
        <v/>
      </c>
      <c r="Q25" s="519">
        <f>M25</f>
        <v/>
      </c>
      <c r="R25" s="516">
        <f>$C$22</f>
        <v/>
      </c>
      <c r="S25" s="500">
        <f>R25-T25-U25</f>
        <v/>
      </c>
      <c r="T25" s="500">
        <f>P25</f>
        <v/>
      </c>
      <c r="U25" s="519">
        <f>Q25</f>
        <v/>
      </c>
      <c r="V25" s="516" t="n"/>
      <c r="W25" s="500" t="n"/>
      <c r="X25" s="500" t="n"/>
      <c r="Y25" s="500" t="n"/>
      <c r="Z25" s="519" t="n"/>
      <c r="AA25" s="516" t="n"/>
      <c r="AB25" s="500" t="n"/>
      <c r="AC25" s="500" t="n"/>
      <c r="AD25" s="500" t="n"/>
      <c r="AE25" s="500" t="n"/>
      <c r="AF25" s="500" t="n"/>
      <c r="AG25" s="500" t="n"/>
      <c r="AH25" s="500" t="n"/>
      <c r="AI25" s="500" t="n"/>
      <c r="AJ25" s="500" t="n"/>
    </row>
    <row r="26">
      <c r="B26" s="9" t="inlineStr">
        <is>
          <t>(계산용) 선납 할인금 월할 (V-)</t>
        </is>
      </c>
      <c r="C26" s="506">
        <f>C25/C7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$C$29</f>
        <v/>
      </c>
      <c r="O26" s="516">
        <f>N26-P26-Q26</f>
        <v/>
      </c>
      <c r="P26" s="500">
        <f>L26</f>
        <v/>
      </c>
      <c r="Q26" s="519">
        <f>M26</f>
        <v/>
      </c>
      <c r="R26" s="516">
        <f>$C$22</f>
        <v/>
      </c>
      <c r="S26" s="500">
        <f>R26-T26-U26</f>
        <v/>
      </c>
      <c r="T26" s="500">
        <f>P26</f>
        <v/>
      </c>
      <c r="U26" s="519">
        <f>Q26</f>
        <v/>
      </c>
      <c r="V26" s="516" t="n"/>
      <c r="W26" s="500" t="n"/>
      <c r="X26" s="500" t="n"/>
      <c r="Y26" s="500" t="n"/>
      <c r="Z26" s="519" t="n"/>
      <c r="AA26" s="516" t="n"/>
      <c r="AB26" s="500" t="n"/>
      <c r="AC26" s="500" t="n"/>
      <c r="AD26" s="500" t="n"/>
      <c r="AE26" s="500" t="n"/>
      <c r="AF26" s="500" t="n"/>
      <c r="AG26" s="500" t="n"/>
      <c r="AH26" s="500" t="n"/>
      <c r="AI26" s="500" t="n"/>
      <c r="AJ26" s="500" t="n"/>
    </row>
    <row r="27">
      <c r="B27" s="9" t="inlineStr">
        <is>
          <t>(계산용) 선납 할인금 월할 보정 (V-)</t>
        </is>
      </c>
      <c r="C27" s="506">
        <f>ROUNDUP(C26,-2)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$C$29</f>
        <v/>
      </c>
      <c r="O27" s="516">
        <f>N27-P27-Q27</f>
        <v/>
      </c>
      <c r="P27" s="500">
        <f>L27</f>
        <v/>
      </c>
      <c r="Q27" s="519">
        <f>M27</f>
        <v/>
      </c>
      <c r="R27" s="516">
        <f>$C$22</f>
        <v/>
      </c>
      <c r="S27" s="500">
        <f>R27-T27-U27</f>
        <v/>
      </c>
      <c r="T27" s="500">
        <f>P27</f>
        <v/>
      </c>
      <c r="U27" s="519">
        <f>Q27</f>
        <v/>
      </c>
      <c r="V27" s="516" t="n"/>
      <c r="W27" s="500" t="n"/>
      <c r="X27" s="500" t="n"/>
      <c r="Y27" s="500" t="n"/>
      <c r="Z27" s="519" t="n"/>
      <c r="AA27" s="516" t="n"/>
      <c r="AB27" s="500" t="n"/>
      <c r="AC27" s="500" t="n"/>
      <c r="AD27" s="500" t="n"/>
      <c r="AE27" s="500" t="n"/>
      <c r="AF27" s="500" t="n"/>
      <c r="AG27" s="500" t="n"/>
      <c r="AH27" s="500" t="n"/>
      <c r="AI27" s="500" t="n"/>
      <c r="AJ27" s="500" t="n"/>
    </row>
    <row r="28">
      <c r="B28" s="63" t="inlineStr">
        <is>
          <t>(최종) 선납 할인금 (V-)</t>
        </is>
      </c>
      <c r="C28" s="649">
        <f>C27*C7</f>
        <v/>
      </c>
      <c r="D28" s="505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$C$29</f>
        <v/>
      </c>
      <c r="O28" s="516">
        <f>N28-P28-Q28</f>
        <v/>
      </c>
      <c r="P28" s="500">
        <f>L28</f>
        <v/>
      </c>
      <c r="Q28" s="519">
        <f>M28</f>
        <v/>
      </c>
      <c r="R28" s="516">
        <f>$C$22</f>
        <v/>
      </c>
      <c r="S28" s="500">
        <f>R28-T28-U28</f>
        <v/>
      </c>
      <c r="T28" s="500">
        <f>P28</f>
        <v/>
      </c>
      <c r="U28" s="519">
        <f>Q28</f>
        <v/>
      </c>
      <c r="V28" s="516" t="n"/>
      <c r="W28" s="500" t="n"/>
      <c r="X28" s="500" t="n"/>
      <c r="Y28" s="500" t="n"/>
      <c r="Z28" s="519" t="n"/>
      <c r="AA28" s="516" t="n"/>
      <c r="AB28" s="500" t="n"/>
      <c r="AC28" s="500" t="n"/>
      <c r="AD28" s="500" t="n"/>
      <c r="AE28" s="500" t="n"/>
      <c r="AF28" s="500" t="n"/>
      <c r="AG28" s="500" t="n"/>
      <c r="AH28" s="500" t="n"/>
      <c r="AI28" s="500" t="n"/>
      <c r="AJ28" s="500" t="n"/>
    </row>
    <row r="29">
      <c r="B29" s="9" t="inlineStr">
        <is>
          <t>(최종) 선납금+선납 할인 반영 월 구독료 (V-)</t>
        </is>
      </c>
      <c r="C29" s="506">
        <f>(C14-C24-C28)/C7</f>
        <v/>
      </c>
      <c r="D29" s="505">
        <f>C29*1.1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$C$29</f>
        <v/>
      </c>
      <c r="O29" s="516">
        <f>N29-P29-Q29</f>
        <v/>
      </c>
      <c r="P29" s="500">
        <f>L29</f>
        <v/>
      </c>
      <c r="Q29" s="519">
        <f>M29</f>
        <v/>
      </c>
      <c r="R29" s="516">
        <f>$C$22</f>
        <v/>
      </c>
      <c r="S29" s="500">
        <f>R29-T29-U29</f>
        <v/>
      </c>
      <c r="T29" s="500">
        <f>P29</f>
        <v/>
      </c>
      <c r="U29" s="519">
        <f>Q29</f>
        <v/>
      </c>
      <c r="V29" s="516" t="n"/>
      <c r="W29" s="500" t="n"/>
      <c r="X29" s="500" t="n"/>
      <c r="Y29" s="500" t="n"/>
      <c r="Z29" s="519" t="n"/>
      <c r="AA29" s="516" t="n"/>
      <c r="AB29" s="500" t="n"/>
      <c r="AC29" s="500" t="n"/>
      <c r="AD29" s="500" t="n"/>
      <c r="AE29" s="500" t="n"/>
      <c r="AF29" s="500" t="n"/>
      <c r="AG29" s="500" t="n"/>
      <c r="AH29" s="500" t="n"/>
      <c r="AI29" s="500" t="n"/>
      <c r="AJ29" s="500" t="n"/>
    </row>
    <row r="30">
      <c r="B30" s="9" t="inlineStr">
        <is>
          <t>(최종) 선납금+선납 할인 반영 총 구독료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$C$29</f>
        <v/>
      </c>
      <c r="O30" s="516">
        <f>N30-P30-Q30</f>
        <v/>
      </c>
      <c r="P30" s="500">
        <f>L30</f>
        <v/>
      </c>
      <c r="Q30" s="519">
        <f>M30</f>
        <v/>
      </c>
      <c r="R30" s="516">
        <f>$C$22</f>
        <v/>
      </c>
      <c r="S30" s="500">
        <f>R30-T30-U30</f>
        <v/>
      </c>
      <c r="T30" s="500">
        <f>P30</f>
        <v/>
      </c>
      <c r="U30" s="519">
        <f>Q30</f>
        <v/>
      </c>
      <c r="V30" s="516" t="n"/>
      <c r="W30" s="500" t="n"/>
      <c r="X30" s="500" t="n"/>
      <c r="Y30" s="500" t="n"/>
      <c r="Z30" s="519" t="n"/>
      <c r="AA30" s="516" t="n"/>
      <c r="AB30" s="500" t="n"/>
      <c r="AC30" s="500" t="n"/>
      <c r="AD30" s="500" t="n"/>
      <c r="AE30" s="500" t="n"/>
      <c r="AF30" s="500" t="n"/>
      <c r="AG30" s="500" t="n"/>
      <c r="AH30" s="500" t="n"/>
      <c r="AI30" s="500" t="n"/>
      <c r="AJ30" s="500" t="n"/>
    </row>
    <row r="31">
      <c r="C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$C$29</f>
        <v/>
      </c>
      <c r="O31" s="516">
        <f>N31-P31-Q31</f>
        <v/>
      </c>
      <c r="P31" s="500">
        <f>L31</f>
        <v/>
      </c>
      <c r="Q31" s="519">
        <f>M31</f>
        <v/>
      </c>
      <c r="R31" s="516">
        <f>$C$22</f>
        <v/>
      </c>
      <c r="S31" s="500">
        <f>R31-T31-U31</f>
        <v/>
      </c>
      <c r="T31" s="500">
        <f>P31</f>
        <v/>
      </c>
      <c r="U31" s="519">
        <f>Q31</f>
        <v/>
      </c>
      <c r="V31" s="516" t="n"/>
      <c r="W31" s="500" t="n"/>
      <c r="X31" s="500" t="n"/>
      <c r="Y31" s="500" t="n"/>
      <c r="Z31" s="519" t="n"/>
      <c r="AA31" s="516" t="n"/>
      <c r="AB31" s="500" t="n"/>
      <c r="AC31" s="500" t="n"/>
      <c r="AD31" s="500" t="n"/>
      <c r="AE31" s="500" t="n"/>
      <c r="AF31" s="500" t="n"/>
      <c r="AG31" s="500" t="n"/>
      <c r="AH31" s="500" t="n"/>
      <c r="AI31" s="500" t="n"/>
      <c r="AJ31" s="500" t="n"/>
    </row>
    <row r="32">
      <c r="B32" s="9" t="inlineStr">
        <is>
          <t>선납금+선납 할인 반영 순수 구독료 (V-)</t>
        </is>
      </c>
      <c r="C32" s="506">
        <f>C30-C11-C12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$C$29</f>
        <v/>
      </c>
      <c r="O32" s="516">
        <f>N32-P32-Q32</f>
        <v/>
      </c>
      <c r="P32" s="500">
        <f>L32</f>
        <v/>
      </c>
      <c r="Q32" s="519">
        <f>M32</f>
        <v/>
      </c>
      <c r="R32" s="516">
        <f>$C$22</f>
        <v/>
      </c>
      <c r="S32" s="500">
        <f>R32-T32-U32</f>
        <v/>
      </c>
      <c r="T32" s="500">
        <f>P32</f>
        <v/>
      </c>
      <c r="U32" s="519">
        <f>Q32</f>
        <v/>
      </c>
      <c r="V32" s="516" t="n"/>
      <c r="W32" s="500" t="n"/>
      <c r="X32" s="500" t="n"/>
      <c r="Y32" s="500" t="n"/>
      <c r="Z32" s="519" t="n"/>
      <c r="AA32" s="516" t="n"/>
      <c r="AB32" s="500" t="n"/>
      <c r="AC32" s="500" t="n"/>
      <c r="AD32" s="500" t="n"/>
      <c r="AE32" s="500" t="n"/>
      <c r="AF32" s="500" t="n"/>
      <c r="AG32" s="500" t="n"/>
      <c r="AH32" s="500" t="n"/>
      <c r="AI32" s="500" t="n"/>
      <c r="AJ32" s="500" t="n"/>
    </row>
    <row r="33">
      <c r="B33" s="9" t="inlineStr">
        <is>
          <t>선납금+선납 할인 반영 순수 구독료 월할 (V-)</t>
        </is>
      </c>
      <c r="C33" s="506">
        <f>C32/C7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$C$29</f>
        <v/>
      </c>
      <c r="O33" s="516">
        <f>N33-P33-Q33</f>
        <v/>
      </c>
      <c r="P33" s="500">
        <f>L33</f>
        <v/>
      </c>
      <c r="Q33" s="519">
        <f>M33</f>
        <v/>
      </c>
      <c r="R33" s="516">
        <f>$C$22</f>
        <v/>
      </c>
      <c r="S33" s="500">
        <f>R33-T33-U33</f>
        <v/>
      </c>
      <c r="T33" s="500">
        <f>P33</f>
        <v/>
      </c>
      <c r="U33" s="519">
        <f>Q33</f>
        <v/>
      </c>
      <c r="V33" s="516" t="n"/>
      <c r="W33" s="500" t="n"/>
      <c r="X33" s="500" t="n"/>
      <c r="Y33" s="500" t="n"/>
      <c r="Z33" s="519" t="n"/>
      <c r="AA33" s="516" t="n"/>
      <c r="AB33" s="500" t="n"/>
      <c r="AC33" s="500" t="n"/>
      <c r="AD33" s="500" t="n"/>
      <c r="AE33" s="500" t="n"/>
      <c r="AF33" s="500" t="n"/>
      <c r="AG33" s="500" t="n"/>
      <c r="AH33" s="500" t="n"/>
      <c r="AI33" s="500" t="n"/>
      <c r="AJ33" s="500" t="n"/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$C$29</f>
        <v/>
      </c>
      <c r="O34" s="516">
        <f>N34-P34-Q34</f>
        <v/>
      </c>
      <c r="P34" s="500">
        <f>L34</f>
        <v/>
      </c>
      <c r="Q34" s="519">
        <f>M34</f>
        <v/>
      </c>
      <c r="R34" s="516">
        <f>$C$22</f>
        <v/>
      </c>
      <c r="S34" s="500">
        <f>R34-T34-U34</f>
        <v/>
      </c>
      <c r="T34" s="500">
        <f>P34</f>
        <v/>
      </c>
      <c r="U34" s="519">
        <f>Q34</f>
        <v/>
      </c>
      <c r="V34" s="516" t="n"/>
      <c r="W34" s="500" t="n"/>
      <c r="X34" s="500" t="n"/>
      <c r="Y34" s="500" t="n"/>
      <c r="Z34" s="519" t="n"/>
      <c r="AA34" s="516" t="n"/>
      <c r="AB34" s="500" t="n"/>
      <c r="AC34" s="500" t="n"/>
      <c r="AD34" s="500" t="n"/>
      <c r="AE34" s="500" t="n"/>
      <c r="AF34" s="500" t="n"/>
      <c r="AG34" s="500" t="n"/>
      <c r="AH34" s="500" t="n"/>
      <c r="AI34" s="500" t="n"/>
      <c r="AJ34" s="500" t="n"/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$C$29</f>
        <v/>
      </c>
      <c r="O35" s="516">
        <f>N35-P35-Q35</f>
        <v/>
      </c>
      <c r="P35" s="500">
        <f>L35</f>
        <v/>
      </c>
      <c r="Q35" s="519">
        <f>M35</f>
        <v/>
      </c>
      <c r="R35" s="516">
        <f>$C$22</f>
        <v/>
      </c>
      <c r="S35" s="500">
        <f>R35-T35-U35</f>
        <v/>
      </c>
      <c r="T35" s="500">
        <f>P35</f>
        <v/>
      </c>
      <c r="U35" s="519">
        <f>Q35</f>
        <v/>
      </c>
      <c r="V35" s="516" t="n"/>
      <c r="W35" s="500" t="n"/>
      <c r="X35" s="500" t="n"/>
      <c r="Y35" s="500" t="n"/>
      <c r="Z35" s="519" t="n"/>
      <c r="AA35" s="516" t="n"/>
      <c r="AB35" s="500" t="n"/>
      <c r="AC35" s="500" t="n"/>
      <c r="AD35" s="500" t="n"/>
      <c r="AE35" s="500" t="n"/>
      <c r="AF35" s="500" t="n"/>
      <c r="AG35" s="500" t="n"/>
      <c r="AH35" s="500" t="n"/>
      <c r="AI35" s="500" t="n"/>
      <c r="AJ35" s="500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$C$29</f>
        <v/>
      </c>
      <c r="O36" s="516">
        <f>N36-P36-Q36</f>
        <v/>
      </c>
      <c r="P36" s="500">
        <f>L36</f>
        <v/>
      </c>
      <c r="Q36" s="519">
        <f>M36</f>
        <v/>
      </c>
      <c r="R36" s="516">
        <f>$C$22</f>
        <v/>
      </c>
      <c r="S36" s="500">
        <f>R36-T36-U36</f>
        <v/>
      </c>
      <c r="T36" s="500">
        <f>P36</f>
        <v/>
      </c>
      <c r="U36" s="519">
        <f>Q36</f>
        <v/>
      </c>
      <c r="V36" s="516" t="n"/>
      <c r="W36" s="500" t="n"/>
      <c r="X36" s="500" t="n"/>
      <c r="Y36" s="500" t="n"/>
      <c r="Z36" s="519" t="n"/>
      <c r="AA36" s="516" t="n"/>
      <c r="AB36" s="500" t="n"/>
      <c r="AC36" s="500" t="n"/>
      <c r="AD36" s="500" t="n"/>
      <c r="AE36" s="500" t="n"/>
      <c r="AF36" s="500" t="n"/>
      <c r="AG36" s="500" t="n"/>
      <c r="AH36" s="500" t="n"/>
      <c r="AI36" s="500" t="n"/>
      <c r="AJ36" s="500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$C$29</f>
        <v/>
      </c>
      <c r="O37" s="516">
        <f>N37-P37-Q37</f>
        <v/>
      </c>
      <c r="P37" s="500">
        <f>L37</f>
        <v/>
      </c>
      <c r="Q37" s="519">
        <f>M37</f>
        <v/>
      </c>
      <c r="R37" s="516">
        <f>$C$22</f>
        <v/>
      </c>
      <c r="S37" s="500">
        <f>R37-T37-U37</f>
        <v/>
      </c>
      <c r="T37" s="500">
        <f>P37</f>
        <v/>
      </c>
      <c r="U37" s="519">
        <f>Q37</f>
        <v/>
      </c>
      <c r="V37" s="516" t="n"/>
      <c r="W37" s="500" t="n"/>
      <c r="X37" s="500" t="n"/>
      <c r="Y37" s="500" t="n"/>
      <c r="Z37" s="519" t="n"/>
      <c r="AA37" s="516" t="n"/>
      <c r="AB37" s="500" t="n"/>
      <c r="AC37" s="500" t="n"/>
      <c r="AD37" s="500" t="n"/>
      <c r="AE37" s="500" t="n"/>
      <c r="AF37" s="500" t="n"/>
      <c r="AG37" s="500" t="n"/>
      <c r="AH37" s="500" t="n"/>
      <c r="AI37" s="500" t="n"/>
      <c r="AJ37" s="500" t="n"/>
    </row>
    <row r="38">
      <c r="B38" s="206">
        <f>590400/72</f>
        <v/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$C$29</f>
        <v/>
      </c>
      <c r="O38" s="516">
        <f>N38-P38-Q38</f>
        <v/>
      </c>
      <c r="P38" s="500">
        <f>L38</f>
        <v/>
      </c>
      <c r="Q38" s="519">
        <f>M38</f>
        <v/>
      </c>
      <c r="R38" s="516">
        <f>$C$22</f>
        <v/>
      </c>
      <c r="S38" s="500">
        <f>R38-T38-U38</f>
        <v/>
      </c>
      <c r="T38" s="500">
        <f>P38</f>
        <v/>
      </c>
      <c r="U38" s="519">
        <f>Q38</f>
        <v/>
      </c>
      <c r="V38" s="516" t="n"/>
      <c r="W38" s="500" t="n"/>
      <c r="X38" s="500" t="n"/>
      <c r="Y38" s="500" t="n"/>
      <c r="Z38" s="519" t="n"/>
      <c r="AA38" s="516" t="n"/>
      <c r="AB38" s="500" t="n"/>
      <c r="AC38" s="500" t="n"/>
      <c r="AD38" s="500" t="n"/>
      <c r="AE38" s="500" t="n"/>
      <c r="AF38" s="500" t="n"/>
      <c r="AG38" s="500" t="n"/>
      <c r="AH38" s="500" t="n"/>
      <c r="AI38" s="500" t="n"/>
      <c r="AJ38" s="500" t="n"/>
    </row>
    <row r="39">
      <c r="B39" s="206">
        <f>106100-15100-1800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$C$29</f>
        <v/>
      </c>
      <c r="O39" s="516">
        <f>N39-P39-Q39</f>
        <v/>
      </c>
      <c r="P39" s="500">
        <f>L39</f>
        <v/>
      </c>
      <c r="Q39" s="519">
        <f>M39</f>
        <v/>
      </c>
      <c r="R39" s="516">
        <f>$C$22</f>
        <v/>
      </c>
      <c r="S39" s="500">
        <f>R39-T39-U39</f>
        <v/>
      </c>
      <c r="T39" s="500">
        <f>P39</f>
        <v/>
      </c>
      <c r="U39" s="519">
        <f>Q39</f>
        <v/>
      </c>
      <c r="V39" s="516" t="n"/>
      <c r="W39" s="500" t="n"/>
      <c r="X39" s="500" t="n"/>
      <c r="Y39" s="500" t="n"/>
      <c r="Z39" s="519" t="n"/>
      <c r="AA39" s="516" t="n"/>
      <c r="AB39" s="500" t="n"/>
      <c r="AC39" s="500" t="n"/>
      <c r="AD39" s="500" t="n"/>
      <c r="AE39" s="500" t="n"/>
      <c r="AF39" s="500" t="n"/>
      <c r="AG39" s="500" t="n"/>
      <c r="AH39" s="500" t="n"/>
      <c r="AI39" s="500" t="n"/>
      <c r="AJ39" s="500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$C$29</f>
        <v/>
      </c>
      <c r="O40" s="516">
        <f>N40-P40-Q40</f>
        <v/>
      </c>
      <c r="P40" s="500">
        <f>L40</f>
        <v/>
      </c>
      <c r="Q40" s="519">
        <f>M40</f>
        <v/>
      </c>
      <c r="R40" s="516">
        <f>$C$22</f>
        <v/>
      </c>
      <c r="S40" s="500">
        <f>R40-T40-U40</f>
        <v/>
      </c>
      <c r="T40" s="500">
        <f>P40</f>
        <v/>
      </c>
      <c r="U40" s="519">
        <f>Q40</f>
        <v/>
      </c>
      <c r="V40" s="516" t="n"/>
      <c r="W40" s="500" t="n"/>
      <c r="X40" s="500" t="n"/>
      <c r="Y40" s="500" t="n"/>
      <c r="Z40" s="519" t="n"/>
      <c r="AA40" s="516" t="n"/>
      <c r="AB40" s="500" t="n"/>
      <c r="AC40" s="500" t="n"/>
      <c r="AD40" s="500" t="n"/>
      <c r="AE40" s="500" t="n"/>
      <c r="AF40" s="500" t="n"/>
      <c r="AG40" s="500" t="n"/>
      <c r="AH40" s="500" t="n"/>
      <c r="AI40" s="500" t="n"/>
      <c r="AJ40" s="500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$C$29</f>
        <v/>
      </c>
      <c r="O41" s="516">
        <f>N41-P41-Q41</f>
        <v/>
      </c>
      <c r="P41" s="500">
        <f>L41</f>
        <v/>
      </c>
      <c r="Q41" s="519">
        <f>M41</f>
        <v/>
      </c>
      <c r="R41" s="516">
        <f>$C$22</f>
        <v/>
      </c>
      <c r="S41" s="500">
        <f>R41-T41-U41</f>
        <v/>
      </c>
      <c r="T41" s="500">
        <f>P41</f>
        <v/>
      </c>
      <c r="U41" s="519">
        <f>Q41</f>
        <v/>
      </c>
      <c r="V41" s="516" t="n"/>
      <c r="W41" s="500" t="n"/>
      <c r="X41" s="500" t="n"/>
      <c r="Y41" s="500" t="n"/>
      <c r="Z41" s="519" t="n"/>
      <c r="AA41" s="516" t="n"/>
      <c r="AB41" s="500" t="n"/>
      <c r="AC41" s="500" t="n"/>
      <c r="AD41" s="500" t="n"/>
      <c r="AE41" s="500" t="n"/>
      <c r="AF41" s="500" t="n"/>
      <c r="AG41" s="500" t="n"/>
      <c r="AH41" s="500" t="n"/>
      <c r="AI41" s="500" t="n"/>
      <c r="AJ41" s="500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$C$29</f>
        <v/>
      </c>
      <c r="O42" s="516">
        <f>N42-P42-Q42</f>
        <v/>
      </c>
      <c r="P42" s="500">
        <f>L42</f>
        <v/>
      </c>
      <c r="Q42" s="519">
        <f>M42</f>
        <v/>
      </c>
      <c r="R42" s="516">
        <f>$C$22</f>
        <v/>
      </c>
      <c r="S42" s="500">
        <f>R42-T42-U42</f>
        <v/>
      </c>
      <c r="T42" s="500">
        <f>P42</f>
        <v/>
      </c>
      <c r="U42" s="519">
        <f>Q42</f>
        <v/>
      </c>
      <c r="V42" s="516" t="n"/>
      <c r="W42" s="500" t="n"/>
      <c r="X42" s="500" t="n"/>
      <c r="Y42" s="500" t="n"/>
      <c r="Z42" s="519" t="n"/>
      <c r="AA42" s="516" t="n"/>
      <c r="AB42" s="500" t="n"/>
      <c r="AC42" s="500" t="n"/>
      <c r="AD42" s="500" t="n"/>
      <c r="AE42" s="500" t="n"/>
      <c r="AF42" s="500" t="n"/>
      <c r="AG42" s="500" t="n"/>
      <c r="AH42" s="500" t="n"/>
      <c r="AI42" s="500" t="n"/>
      <c r="AJ42" s="500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$C$29</f>
        <v/>
      </c>
      <c r="O43" s="516">
        <f>N43-P43-Q43</f>
        <v/>
      </c>
      <c r="P43" s="500">
        <f>L43</f>
        <v/>
      </c>
      <c r="Q43" s="519">
        <f>M43</f>
        <v/>
      </c>
      <c r="R43" s="516">
        <f>$C$22</f>
        <v/>
      </c>
      <c r="S43" s="500">
        <f>R43-T43-U43</f>
        <v/>
      </c>
      <c r="T43" s="500">
        <f>P43</f>
        <v/>
      </c>
      <c r="U43" s="519">
        <f>Q43</f>
        <v/>
      </c>
      <c r="V43" s="516" t="n"/>
      <c r="W43" s="500" t="n"/>
      <c r="X43" s="500" t="n"/>
      <c r="Y43" s="500" t="n"/>
      <c r="Z43" s="519" t="n"/>
      <c r="AA43" s="516" t="n"/>
      <c r="AB43" s="500" t="n"/>
      <c r="AC43" s="500" t="n"/>
      <c r="AD43" s="500" t="n"/>
      <c r="AE43" s="500" t="n"/>
      <c r="AF43" s="500" t="n"/>
      <c r="AG43" s="500" t="n"/>
      <c r="AH43" s="500" t="n"/>
      <c r="AI43" s="500" t="n"/>
      <c r="AJ43" s="500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$C$29</f>
        <v/>
      </c>
      <c r="O44" s="516">
        <f>N44-P44-Q44</f>
        <v/>
      </c>
      <c r="P44" s="500">
        <f>L44</f>
        <v/>
      </c>
      <c r="Q44" s="519">
        <f>M44</f>
        <v/>
      </c>
      <c r="R44" s="516">
        <f>$C$22</f>
        <v/>
      </c>
      <c r="S44" s="500">
        <f>R44-T44-U44</f>
        <v/>
      </c>
      <c r="T44" s="500">
        <f>P44</f>
        <v/>
      </c>
      <c r="U44" s="519">
        <f>Q44</f>
        <v/>
      </c>
      <c r="V44" s="516" t="n"/>
      <c r="W44" s="500" t="n"/>
      <c r="X44" s="500" t="n"/>
      <c r="Y44" s="500" t="n"/>
      <c r="Z44" s="519" t="n"/>
      <c r="AA44" s="516" t="n"/>
      <c r="AB44" s="500" t="n"/>
      <c r="AC44" s="500" t="n"/>
      <c r="AD44" s="500" t="n"/>
      <c r="AE44" s="500" t="n"/>
      <c r="AF44" s="500" t="n"/>
      <c r="AG44" s="500" t="n"/>
      <c r="AH44" s="500" t="n"/>
      <c r="AI44" s="500" t="n"/>
      <c r="AJ44" s="500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$C$29</f>
        <v/>
      </c>
      <c r="O45" s="516">
        <f>N45-P45-Q45</f>
        <v/>
      </c>
      <c r="P45" s="500">
        <f>L45</f>
        <v/>
      </c>
      <c r="Q45" s="519">
        <f>M45</f>
        <v/>
      </c>
      <c r="R45" s="516">
        <f>$C$22</f>
        <v/>
      </c>
      <c r="S45" s="500">
        <f>R45-T45-U45</f>
        <v/>
      </c>
      <c r="T45" s="500">
        <f>P45</f>
        <v/>
      </c>
      <c r="U45" s="519">
        <f>Q45</f>
        <v/>
      </c>
      <c r="V45" s="516" t="n"/>
      <c r="W45" s="500" t="n"/>
      <c r="X45" s="500" t="n"/>
      <c r="Y45" s="500" t="n"/>
      <c r="Z45" s="519" t="n"/>
      <c r="AA45" s="516" t="n"/>
      <c r="AB45" s="500" t="n"/>
      <c r="AC45" s="500" t="n"/>
      <c r="AD45" s="500" t="n"/>
      <c r="AE45" s="500" t="n"/>
      <c r="AF45" s="500" t="n"/>
      <c r="AG45" s="500" t="n"/>
      <c r="AH45" s="500" t="n"/>
      <c r="AI45" s="500" t="n"/>
      <c r="AJ45" s="500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$C$29</f>
        <v/>
      </c>
      <c r="O46" s="516">
        <f>N46-P46-Q46</f>
        <v/>
      </c>
      <c r="P46" s="500">
        <f>L46</f>
        <v/>
      </c>
      <c r="Q46" s="519">
        <f>M46</f>
        <v/>
      </c>
      <c r="R46" s="516">
        <f>$C$22</f>
        <v/>
      </c>
      <c r="S46" s="500">
        <f>R46-T46-U46</f>
        <v/>
      </c>
      <c r="T46" s="500">
        <f>P46</f>
        <v/>
      </c>
      <c r="U46" s="519">
        <f>Q46</f>
        <v/>
      </c>
      <c r="V46" s="516" t="n"/>
      <c r="W46" s="500" t="n"/>
      <c r="X46" s="500" t="n"/>
      <c r="Y46" s="500" t="n"/>
      <c r="Z46" s="519" t="n"/>
      <c r="AA46" s="516" t="n"/>
      <c r="AB46" s="500" t="n"/>
      <c r="AC46" s="500" t="n"/>
      <c r="AD46" s="500" t="n"/>
      <c r="AE46" s="500" t="n"/>
      <c r="AF46" s="500" t="n"/>
      <c r="AG46" s="500" t="n"/>
      <c r="AH46" s="500" t="n"/>
      <c r="AI46" s="500" t="n"/>
      <c r="AJ46" s="500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$C$29</f>
        <v/>
      </c>
      <c r="O47" s="516">
        <f>N47-P47-Q47</f>
        <v/>
      </c>
      <c r="P47" s="500">
        <f>L47</f>
        <v/>
      </c>
      <c r="Q47" s="519">
        <f>M47</f>
        <v/>
      </c>
      <c r="R47" s="516">
        <f>$C$22</f>
        <v/>
      </c>
      <c r="S47" s="500">
        <f>R47-T47-U47</f>
        <v/>
      </c>
      <c r="T47" s="500">
        <f>P47</f>
        <v/>
      </c>
      <c r="U47" s="519">
        <f>Q47</f>
        <v/>
      </c>
      <c r="V47" s="516" t="n"/>
      <c r="W47" s="500" t="n"/>
      <c r="X47" s="500" t="n"/>
      <c r="Y47" s="500" t="n"/>
      <c r="Z47" s="519" t="n"/>
      <c r="AA47" s="516" t="n"/>
      <c r="AB47" s="500" t="n"/>
      <c r="AC47" s="500" t="n"/>
      <c r="AD47" s="500" t="n"/>
      <c r="AE47" s="500" t="n"/>
      <c r="AF47" s="500" t="n"/>
      <c r="AG47" s="500" t="n"/>
      <c r="AH47" s="500" t="n"/>
      <c r="AI47" s="500" t="n"/>
      <c r="AJ47" s="500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$C$29</f>
        <v/>
      </c>
      <c r="O48" s="516">
        <f>N48-P48-Q48</f>
        <v/>
      </c>
      <c r="P48" s="500">
        <f>L48</f>
        <v/>
      </c>
      <c r="Q48" s="519">
        <f>M48</f>
        <v/>
      </c>
      <c r="R48" s="516">
        <f>$C$22</f>
        <v/>
      </c>
      <c r="S48" s="500">
        <f>R48-T48-U48</f>
        <v/>
      </c>
      <c r="T48" s="500">
        <f>P48</f>
        <v/>
      </c>
      <c r="U48" s="519">
        <f>Q48</f>
        <v/>
      </c>
      <c r="V48" s="516" t="n"/>
      <c r="W48" s="500" t="n"/>
      <c r="X48" s="500" t="n"/>
      <c r="Y48" s="500" t="n"/>
      <c r="Z48" s="519" t="n"/>
      <c r="AA48" s="516" t="n"/>
      <c r="AB48" s="500" t="n"/>
      <c r="AC48" s="500" t="n"/>
      <c r="AD48" s="500" t="n"/>
      <c r="AE48" s="500" t="n"/>
      <c r="AF48" s="500" t="n"/>
      <c r="AG48" s="500" t="n"/>
      <c r="AH48" s="500" t="n"/>
      <c r="AI48" s="500" t="n"/>
      <c r="AJ48" s="500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$C$29</f>
        <v/>
      </c>
      <c r="O49" s="516">
        <f>N49-P49-Q49</f>
        <v/>
      </c>
      <c r="P49" s="500">
        <f>L49</f>
        <v/>
      </c>
      <c r="Q49" s="519">
        <f>M49</f>
        <v/>
      </c>
      <c r="R49" s="516">
        <f>$C$22</f>
        <v/>
      </c>
      <c r="S49" s="500">
        <f>R49-T49-U49</f>
        <v/>
      </c>
      <c r="T49" s="500">
        <f>P49</f>
        <v/>
      </c>
      <c r="U49" s="519">
        <f>Q49</f>
        <v/>
      </c>
      <c r="V49" s="516" t="n"/>
      <c r="W49" s="500" t="n"/>
      <c r="X49" s="500" t="n"/>
      <c r="Y49" s="500" t="n"/>
      <c r="Z49" s="519" t="n"/>
      <c r="AA49" s="516" t="n"/>
      <c r="AB49" s="500" t="n"/>
      <c r="AC49" s="500" t="n"/>
      <c r="AD49" s="500" t="n"/>
      <c r="AE49" s="500" t="n"/>
      <c r="AF49" s="500" t="n"/>
      <c r="AG49" s="500" t="n"/>
      <c r="AH49" s="500" t="n"/>
      <c r="AI49" s="500" t="n"/>
      <c r="AJ49" s="500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$C$29</f>
        <v/>
      </c>
      <c r="O50" s="516">
        <f>N50-P50-Q50</f>
        <v/>
      </c>
      <c r="P50" s="500">
        <f>L50</f>
        <v/>
      </c>
      <c r="Q50" s="519">
        <f>M50</f>
        <v/>
      </c>
      <c r="R50" s="516">
        <f>$C$22</f>
        <v/>
      </c>
      <c r="S50" s="500">
        <f>R50-T50-U50</f>
        <v/>
      </c>
      <c r="T50" s="500">
        <f>P50</f>
        <v/>
      </c>
      <c r="U50" s="519">
        <f>Q50</f>
        <v/>
      </c>
      <c r="V50" s="516" t="n"/>
      <c r="W50" s="500" t="n"/>
      <c r="X50" s="500" t="n"/>
      <c r="Y50" s="500" t="n"/>
      <c r="Z50" s="519" t="n"/>
      <c r="AA50" s="516" t="n"/>
      <c r="AB50" s="500" t="n"/>
      <c r="AC50" s="500" t="n"/>
      <c r="AD50" s="500" t="n"/>
      <c r="AE50" s="500" t="n"/>
      <c r="AF50" s="500" t="n"/>
      <c r="AG50" s="500" t="n"/>
      <c r="AH50" s="500" t="n"/>
      <c r="AI50" s="500" t="n"/>
      <c r="AJ50" s="500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$C$29</f>
        <v/>
      </c>
      <c r="O51" s="516">
        <f>N51-P51-Q51</f>
        <v/>
      </c>
      <c r="P51" s="500">
        <f>L51</f>
        <v/>
      </c>
      <c r="Q51" s="519">
        <f>M51</f>
        <v/>
      </c>
      <c r="R51" s="516">
        <f>$C$22</f>
        <v/>
      </c>
      <c r="S51" s="500">
        <f>R51-T51-U51</f>
        <v/>
      </c>
      <c r="T51" s="500">
        <f>P51</f>
        <v/>
      </c>
      <c r="U51" s="519">
        <f>Q51</f>
        <v/>
      </c>
      <c r="V51" s="516" t="n"/>
      <c r="W51" s="500" t="n"/>
      <c r="X51" s="500" t="n"/>
      <c r="Y51" s="500" t="n"/>
      <c r="Z51" s="519" t="n"/>
      <c r="AA51" s="516" t="n"/>
      <c r="AB51" s="500" t="n"/>
      <c r="AC51" s="500" t="n"/>
      <c r="AD51" s="500" t="n"/>
      <c r="AE51" s="500" t="n"/>
      <c r="AF51" s="500" t="n"/>
      <c r="AG51" s="500" t="n"/>
      <c r="AH51" s="500" t="n"/>
      <c r="AI51" s="500" t="n"/>
      <c r="AJ51" s="500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$C$29</f>
        <v/>
      </c>
      <c r="O52" s="516">
        <f>N52-P52-Q52</f>
        <v/>
      </c>
      <c r="P52" s="500">
        <f>L52</f>
        <v/>
      </c>
      <c r="Q52" s="519">
        <f>M52</f>
        <v/>
      </c>
      <c r="R52" s="516">
        <f>$C$22</f>
        <v/>
      </c>
      <c r="S52" s="500">
        <f>R52-T52-U52</f>
        <v/>
      </c>
      <c r="T52" s="500">
        <f>P52</f>
        <v/>
      </c>
      <c r="U52" s="519">
        <f>Q52</f>
        <v/>
      </c>
      <c r="V52" s="516" t="n"/>
      <c r="W52" s="500" t="n"/>
      <c r="X52" s="500" t="n"/>
      <c r="Y52" s="500" t="n"/>
      <c r="Z52" s="519" t="n"/>
      <c r="AA52" s="516" t="n"/>
      <c r="AB52" s="500" t="n"/>
      <c r="AC52" s="500" t="n"/>
      <c r="AD52" s="500" t="n"/>
      <c r="AE52" s="500" t="n"/>
      <c r="AF52" s="500" t="n"/>
      <c r="AG52" s="500" t="n"/>
      <c r="AH52" s="500" t="n"/>
      <c r="AI52" s="500" t="n"/>
      <c r="AJ52" s="500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$C$29</f>
        <v/>
      </c>
      <c r="O53" s="516">
        <f>N53-P53-Q53</f>
        <v/>
      </c>
      <c r="P53" s="500">
        <f>L53</f>
        <v/>
      </c>
      <c r="Q53" s="519">
        <f>M53</f>
        <v/>
      </c>
      <c r="R53" s="516">
        <f>$C$22</f>
        <v/>
      </c>
      <c r="S53" s="500">
        <f>R53-T53-U53</f>
        <v/>
      </c>
      <c r="T53" s="500">
        <f>P53</f>
        <v/>
      </c>
      <c r="U53" s="519">
        <f>Q53</f>
        <v/>
      </c>
      <c r="V53" s="516" t="n"/>
      <c r="W53" s="500" t="n"/>
      <c r="X53" s="500" t="n"/>
      <c r="Y53" s="500" t="n"/>
      <c r="Z53" s="519" t="n"/>
      <c r="AA53" s="516" t="n"/>
      <c r="AB53" s="500" t="n"/>
      <c r="AC53" s="500" t="n"/>
      <c r="AD53" s="500" t="n"/>
      <c r="AE53" s="500" t="n"/>
      <c r="AF53" s="500" t="n"/>
      <c r="AG53" s="500" t="n"/>
      <c r="AH53" s="500" t="n"/>
      <c r="AI53" s="500" t="n"/>
      <c r="AJ53" s="500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$C$29</f>
        <v/>
      </c>
      <c r="O54" s="516">
        <f>N54-P54-Q54</f>
        <v/>
      </c>
      <c r="P54" s="500">
        <f>L54</f>
        <v/>
      </c>
      <c r="Q54" s="519">
        <f>M54</f>
        <v/>
      </c>
      <c r="R54" s="516">
        <f>$C$22</f>
        <v/>
      </c>
      <c r="S54" s="500">
        <f>R54-T54-U54</f>
        <v/>
      </c>
      <c r="T54" s="500">
        <f>P54</f>
        <v/>
      </c>
      <c r="U54" s="519">
        <f>Q54</f>
        <v/>
      </c>
      <c r="V54" s="516" t="n"/>
      <c r="W54" s="500" t="n"/>
      <c r="X54" s="500" t="n"/>
      <c r="Y54" s="500" t="n"/>
      <c r="Z54" s="519" t="n"/>
      <c r="AA54" s="516" t="n"/>
      <c r="AB54" s="500" t="n"/>
      <c r="AC54" s="500" t="n"/>
      <c r="AD54" s="500" t="n"/>
      <c r="AE54" s="500" t="n"/>
      <c r="AF54" s="500" t="n"/>
      <c r="AG54" s="500" t="n"/>
      <c r="AH54" s="500" t="n"/>
      <c r="AI54" s="500" t="n"/>
      <c r="AJ54" s="500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$C$29</f>
        <v/>
      </c>
      <c r="O55" s="516">
        <f>N55-P55-Q55</f>
        <v/>
      </c>
      <c r="P55" s="500">
        <f>L55</f>
        <v/>
      </c>
      <c r="Q55" s="519">
        <f>M55</f>
        <v/>
      </c>
      <c r="R55" s="516">
        <f>$C$22</f>
        <v/>
      </c>
      <c r="S55" s="500">
        <f>R55-T55-U55</f>
        <v/>
      </c>
      <c r="T55" s="500">
        <f>P55</f>
        <v/>
      </c>
      <c r="U55" s="519">
        <f>Q55</f>
        <v/>
      </c>
      <c r="V55" s="516" t="n"/>
      <c r="W55" s="500" t="n"/>
      <c r="X55" s="500" t="n"/>
      <c r="Y55" s="500" t="n"/>
      <c r="Z55" s="519" t="n"/>
      <c r="AA55" s="516" t="n"/>
      <c r="AB55" s="500" t="n"/>
      <c r="AC55" s="500" t="n"/>
      <c r="AD55" s="500" t="n"/>
      <c r="AE55" s="500" t="n"/>
      <c r="AF55" s="500" t="n"/>
      <c r="AG55" s="500" t="n"/>
      <c r="AH55" s="500" t="n"/>
      <c r="AI55" s="500" t="n"/>
      <c r="AJ55" s="500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$C$29</f>
        <v/>
      </c>
      <c r="O56" s="516">
        <f>N56-P56-Q56</f>
        <v/>
      </c>
      <c r="P56" s="500">
        <f>L56</f>
        <v/>
      </c>
      <c r="Q56" s="519">
        <f>M56</f>
        <v/>
      </c>
      <c r="R56" s="516">
        <f>$C$22</f>
        <v/>
      </c>
      <c r="S56" s="500">
        <f>R56-T56-U56</f>
        <v/>
      </c>
      <c r="T56" s="500">
        <f>P56</f>
        <v/>
      </c>
      <c r="U56" s="519">
        <f>Q56</f>
        <v/>
      </c>
      <c r="V56" s="516" t="n"/>
      <c r="W56" s="500" t="n"/>
      <c r="X56" s="500" t="n"/>
      <c r="Y56" s="500" t="n"/>
      <c r="Z56" s="519" t="n"/>
      <c r="AA56" s="516" t="n"/>
      <c r="AB56" s="500" t="n"/>
      <c r="AC56" s="500" t="n"/>
      <c r="AD56" s="500" t="n"/>
      <c r="AE56" s="500" t="n"/>
      <c r="AF56" s="500" t="n"/>
      <c r="AG56" s="500" t="n"/>
      <c r="AH56" s="500" t="n"/>
      <c r="AI56" s="500" t="n"/>
      <c r="AJ56" s="500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$C$29</f>
        <v/>
      </c>
      <c r="O57" s="516">
        <f>N57-P57-Q57</f>
        <v/>
      </c>
      <c r="P57" s="500">
        <f>L57</f>
        <v/>
      </c>
      <c r="Q57" s="519">
        <f>M57</f>
        <v/>
      </c>
      <c r="R57" s="516">
        <f>$C$22</f>
        <v/>
      </c>
      <c r="S57" s="500">
        <f>R57-T57-U57</f>
        <v/>
      </c>
      <c r="T57" s="500">
        <f>P57</f>
        <v/>
      </c>
      <c r="U57" s="519">
        <f>Q57</f>
        <v/>
      </c>
      <c r="V57" s="516" t="n"/>
      <c r="W57" s="500" t="n"/>
      <c r="X57" s="500" t="n"/>
      <c r="Y57" s="500" t="n"/>
      <c r="Z57" s="519" t="n"/>
      <c r="AA57" s="516" t="n"/>
      <c r="AB57" s="500" t="n"/>
      <c r="AC57" s="500" t="n"/>
      <c r="AD57" s="500" t="n"/>
      <c r="AE57" s="500" t="n"/>
      <c r="AF57" s="500" t="n"/>
      <c r="AG57" s="500" t="n"/>
      <c r="AH57" s="500" t="n"/>
      <c r="AI57" s="500" t="n"/>
      <c r="AJ57" s="500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$C$29</f>
        <v/>
      </c>
      <c r="O58" s="516">
        <f>N58-P58-Q58</f>
        <v/>
      </c>
      <c r="P58" s="500">
        <f>L58</f>
        <v/>
      </c>
      <c r="Q58" s="519">
        <f>M58</f>
        <v/>
      </c>
      <c r="R58" s="516">
        <f>$C$22</f>
        <v/>
      </c>
      <c r="S58" s="500">
        <f>R58-T58-U58</f>
        <v/>
      </c>
      <c r="T58" s="500">
        <f>P58</f>
        <v/>
      </c>
      <c r="U58" s="519">
        <f>Q58</f>
        <v/>
      </c>
      <c r="V58" s="516" t="n"/>
      <c r="W58" s="500" t="n"/>
      <c r="X58" s="500" t="n"/>
      <c r="Y58" s="500" t="n"/>
      <c r="Z58" s="519" t="n"/>
      <c r="AA58" s="516" t="n"/>
      <c r="AB58" s="500" t="n"/>
      <c r="AC58" s="500" t="n"/>
      <c r="AD58" s="500" t="n"/>
      <c r="AE58" s="500" t="n"/>
      <c r="AF58" s="500" t="n"/>
      <c r="AG58" s="500" t="n"/>
      <c r="AH58" s="500" t="n"/>
      <c r="AI58" s="500" t="n"/>
      <c r="AJ58" s="500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$C$29</f>
        <v/>
      </c>
      <c r="O59" s="516">
        <f>N59-P59-Q59</f>
        <v/>
      </c>
      <c r="P59" s="500">
        <f>L59</f>
        <v/>
      </c>
      <c r="Q59" s="519">
        <f>M59</f>
        <v/>
      </c>
      <c r="R59" s="516">
        <f>$C$22</f>
        <v/>
      </c>
      <c r="S59" s="500">
        <f>R59-T59-U59</f>
        <v/>
      </c>
      <c r="T59" s="500">
        <f>P59</f>
        <v/>
      </c>
      <c r="U59" s="519">
        <f>Q59</f>
        <v/>
      </c>
      <c r="V59" s="516" t="n"/>
      <c r="W59" s="500" t="n"/>
      <c r="X59" s="500" t="n"/>
      <c r="Y59" s="500" t="n"/>
      <c r="Z59" s="519" t="n"/>
      <c r="AA59" s="516" t="n"/>
      <c r="AB59" s="500" t="n"/>
      <c r="AC59" s="500" t="n"/>
      <c r="AD59" s="500" t="n"/>
      <c r="AE59" s="500" t="n"/>
      <c r="AF59" s="500" t="n"/>
      <c r="AG59" s="500" t="n"/>
      <c r="AH59" s="500" t="n"/>
      <c r="AI59" s="500" t="n"/>
      <c r="AJ59" s="500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$C$29</f>
        <v/>
      </c>
      <c r="O60" s="516">
        <f>N60-P60-Q60</f>
        <v/>
      </c>
      <c r="P60" s="500">
        <f>L60</f>
        <v/>
      </c>
      <c r="Q60" s="519">
        <f>M60</f>
        <v/>
      </c>
      <c r="R60" s="516">
        <f>$C$22</f>
        <v/>
      </c>
      <c r="S60" s="500">
        <f>R60-T60-U60</f>
        <v/>
      </c>
      <c r="T60" s="500">
        <f>P60</f>
        <v/>
      </c>
      <c r="U60" s="519">
        <f>Q60</f>
        <v/>
      </c>
      <c r="V60" s="516" t="n"/>
      <c r="W60" s="500" t="n"/>
      <c r="X60" s="500" t="n"/>
      <c r="Y60" s="500" t="n"/>
      <c r="Z60" s="519" t="n"/>
      <c r="AA60" s="516" t="n"/>
      <c r="AB60" s="500" t="n"/>
      <c r="AC60" s="500" t="n"/>
      <c r="AD60" s="500" t="n"/>
      <c r="AE60" s="500" t="n"/>
      <c r="AF60" s="500" t="n"/>
      <c r="AG60" s="500" t="n"/>
      <c r="AH60" s="500" t="n"/>
      <c r="AI60" s="500" t="n"/>
      <c r="AJ60" s="500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$C$29</f>
        <v/>
      </c>
      <c r="O61" s="516">
        <f>N61-P61-Q61</f>
        <v/>
      </c>
      <c r="P61" s="500">
        <f>L61</f>
        <v/>
      </c>
      <c r="Q61" s="519">
        <f>M61</f>
        <v/>
      </c>
      <c r="R61" s="516">
        <f>$C$22</f>
        <v/>
      </c>
      <c r="S61" s="500">
        <f>R61-T61-U61</f>
        <v/>
      </c>
      <c r="T61" s="500">
        <f>P61</f>
        <v/>
      </c>
      <c r="U61" s="519">
        <f>Q61</f>
        <v/>
      </c>
      <c r="V61" s="516" t="n"/>
      <c r="W61" s="500" t="n"/>
      <c r="X61" s="500" t="n"/>
      <c r="Y61" s="500" t="n"/>
      <c r="Z61" s="519" t="n"/>
      <c r="AA61" s="516" t="n"/>
      <c r="AB61" s="500" t="n"/>
      <c r="AC61" s="500" t="n"/>
      <c r="AD61" s="500" t="n"/>
      <c r="AE61" s="500" t="n"/>
      <c r="AF61" s="500" t="n"/>
      <c r="AG61" s="500" t="n"/>
      <c r="AH61" s="500" t="n"/>
      <c r="AI61" s="500" t="n"/>
      <c r="AJ61" s="500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$C$29</f>
        <v/>
      </c>
      <c r="O62" s="516">
        <f>N62-P62-Q62</f>
        <v/>
      </c>
      <c r="P62" s="500">
        <f>L62</f>
        <v/>
      </c>
      <c r="Q62" s="519">
        <f>M62</f>
        <v/>
      </c>
      <c r="R62" s="516">
        <f>$C$22</f>
        <v/>
      </c>
      <c r="S62" s="500">
        <f>R62-T62-U62</f>
        <v/>
      </c>
      <c r="T62" s="500">
        <f>P62</f>
        <v/>
      </c>
      <c r="U62" s="519">
        <f>Q62</f>
        <v/>
      </c>
      <c r="V62" s="516" t="n"/>
      <c r="W62" s="500" t="n"/>
      <c r="X62" s="500" t="n"/>
      <c r="Y62" s="500" t="n"/>
      <c r="Z62" s="519" t="n"/>
      <c r="AA62" s="516" t="n"/>
      <c r="AB62" s="500" t="n"/>
      <c r="AC62" s="500" t="n"/>
      <c r="AD62" s="500" t="n"/>
      <c r="AE62" s="500" t="n"/>
      <c r="AF62" s="500" t="n"/>
      <c r="AG62" s="500" t="n"/>
      <c r="AH62" s="500" t="n"/>
      <c r="AI62" s="500" t="n"/>
      <c r="AJ62" s="500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$C$29</f>
        <v/>
      </c>
      <c r="O63" s="516">
        <f>N63-P63-Q63</f>
        <v/>
      </c>
      <c r="P63" s="500">
        <f>L63</f>
        <v/>
      </c>
      <c r="Q63" s="519">
        <f>M63</f>
        <v/>
      </c>
      <c r="R63" s="516">
        <f>$C$22</f>
        <v/>
      </c>
      <c r="S63" s="500">
        <f>R63-T63-U63</f>
        <v/>
      </c>
      <c r="T63" s="500">
        <f>P63</f>
        <v/>
      </c>
      <c r="U63" s="519">
        <f>Q63</f>
        <v/>
      </c>
      <c r="V63" s="516" t="n"/>
      <c r="W63" s="500" t="n"/>
      <c r="X63" s="500" t="n"/>
      <c r="Y63" s="500" t="n"/>
      <c r="Z63" s="519" t="n"/>
      <c r="AA63" s="516" t="n"/>
      <c r="AB63" s="500" t="n"/>
      <c r="AC63" s="500" t="n"/>
      <c r="AD63" s="500" t="n"/>
      <c r="AE63" s="500" t="n"/>
      <c r="AF63" s="500" t="n"/>
      <c r="AG63" s="500" t="n"/>
      <c r="AH63" s="500" t="n"/>
      <c r="AI63" s="500" t="n"/>
      <c r="AJ63" s="500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$C$29</f>
        <v/>
      </c>
      <c r="O64" s="516">
        <f>N64-P64-Q64</f>
        <v/>
      </c>
      <c r="P64" s="500">
        <f>L64</f>
        <v/>
      </c>
      <c r="Q64" s="519">
        <f>M64</f>
        <v/>
      </c>
      <c r="R64" s="516">
        <f>$C$22</f>
        <v/>
      </c>
      <c r="S64" s="500">
        <f>R64-T64-U64</f>
        <v/>
      </c>
      <c r="T64" s="500">
        <f>P64</f>
        <v/>
      </c>
      <c r="U64" s="519">
        <f>Q64</f>
        <v/>
      </c>
      <c r="V64" s="516" t="n"/>
      <c r="W64" s="500" t="n"/>
      <c r="X64" s="500" t="n"/>
      <c r="Y64" s="500" t="n"/>
      <c r="Z64" s="519" t="n"/>
      <c r="AA64" s="516" t="n"/>
      <c r="AB64" s="500" t="n"/>
      <c r="AC64" s="500" t="n"/>
      <c r="AD64" s="500" t="n"/>
      <c r="AE64" s="500" t="n"/>
      <c r="AF64" s="500" t="n"/>
      <c r="AG64" s="500" t="n"/>
      <c r="AH64" s="500" t="n"/>
      <c r="AI64" s="500" t="n"/>
      <c r="AJ64" s="500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$C$29</f>
        <v/>
      </c>
      <c r="O65" s="516">
        <f>N65-P65-Q65</f>
        <v/>
      </c>
      <c r="P65" s="500">
        <f>L65</f>
        <v/>
      </c>
      <c r="Q65" s="519">
        <f>M65</f>
        <v/>
      </c>
      <c r="R65" s="516">
        <f>$C$22</f>
        <v/>
      </c>
      <c r="S65" s="500">
        <f>R65-T65-U65</f>
        <v/>
      </c>
      <c r="T65" s="500">
        <f>P65</f>
        <v/>
      </c>
      <c r="U65" s="519">
        <f>Q65</f>
        <v/>
      </c>
      <c r="V65" s="516" t="n"/>
      <c r="W65" s="500" t="n"/>
      <c r="X65" s="500" t="n"/>
      <c r="Y65" s="500" t="n"/>
      <c r="Z65" s="519" t="n"/>
      <c r="AA65" s="516" t="n"/>
      <c r="AB65" s="500" t="n"/>
      <c r="AC65" s="500" t="n"/>
      <c r="AD65" s="500" t="n"/>
      <c r="AE65" s="500" t="n"/>
      <c r="AF65" s="500" t="n"/>
      <c r="AG65" s="500" t="n"/>
      <c r="AH65" s="500" t="n"/>
      <c r="AI65" s="500" t="n"/>
      <c r="AJ65" s="500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$C$29</f>
        <v/>
      </c>
      <c r="O66" s="516">
        <f>N66-P66-Q66</f>
        <v/>
      </c>
      <c r="P66" s="500">
        <f>L66</f>
        <v/>
      </c>
      <c r="Q66" s="519">
        <f>M66</f>
        <v/>
      </c>
      <c r="R66" s="516">
        <f>$C$22</f>
        <v/>
      </c>
      <c r="S66" s="500">
        <f>R66-T66-U66</f>
        <v/>
      </c>
      <c r="T66" s="500">
        <f>P66</f>
        <v/>
      </c>
      <c r="U66" s="519">
        <f>Q66</f>
        <v/>
      </c>
      <c r="V66" s="516" t="n"/>
      <c r="W66" s="500" t="n"/>
      <c r="X66" s="500" t="n"/>
      <c r="Y66" s="500" t="n"/>
      <c r="Z66" s="519" t="n"/>
      <c r="AA66" s="516" t="n"/>
      <c r="AB66" s="500" t="n"/>
      <c r="AC66" s="500" t="n"/>
      <c r="AD66" s="500" t="n"/>
      <c r="AE66" s="500" t="n"/>
      <c r="AF66" s="500" t="n"/>
      <c r="AG66" s="500" t="n"/>
      <c r="AH66" s="500" t="n"/>
      <c r="AI66" s="500" t="n"/>
      <c r="AJ66" s="500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$C$29</f>
        <v/>
      </c>
      <c r="O67" s="516">
        <f>N67-P67-Q67</f>
        <v/>
      </c>
      <c r="P67" s="500">
        <f>L67</f>
        <v/>
      </c>
      <c r="Q67" s="519">
        <f>M67</f>
        <v/>
      </c>
      <c r="R67" s="516">
        <f>$C$22</f>
        <v/>
      </c>
      <c r="S67" s="500">
        <f>R67-T67-U67</f>
        <v/>
      </c>
      <c r="T67" s="500">
        <f>P67</f>
        <v/>
      </c>
      <c r="U67" s="519">
        <f>Q67</f>
        <v/>
      </c>
      <c r="V67" s="516" t="n"/>
      <c r="W67" s="500" t="n"/>
      <c r="X67" s="500" t="n"/>
      <c r="Y67" s="500" t="n"/>
      <c r="Z67" s="519" t="n"/>
      <c r="AA67" s="516" t="n"/>
      <c r="AB67" s="500" t="n"/>
      <c r="AC67" s="500" t="n"/>
      <c r="AD67" s="500" t="n"/>
      <c r="AE67" s="500" t="n"/>
      <c r="AF67" s="500" t="n"/>
      <c r="AG67" s="500" t="n"/>
      <c r="AH67" s="500" t="n"/>
      <c r="AI67" s="500" t="n"/>
      <c r="AJ67" s="500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$C$29</f>
        <v/>
      </c>
      <c r="O68" s="516">
        <f>N68-P68-Q68</f>
        <v/>
      </c>
      <c r="P68" s="500">
        <f>L68</f>
        <v/>
      </c>
      <c r="Q68" s="519">
        <f>M68</f>
        <v/>
      </c>
      <c r="R68" s="516">
        <f>$C$22</f>
        <v/>
      </c>
      <c r="S68" s="500">
        <f>R68-T68-U68</f>
        <v/>
      </c>
      <c r="T68" s="500">
        <f>P68</f>
        <v/>
      </c>
      <c r="U68" s="519">
        <f>Q68</f>
        <v/>
      </c>
      <c r="V68" s="516" t="n"/>
      <c r="W68" s="500" t="n"/>
      <c r="X68" s="500" t="n"/>
      <c r="Y68" s="500" t="n"/>
      <c r="Z68" s="519" t="n"/>
      <c r="AA68" s="516" t="n"/>
      <c r="AB68" s="500" t="n"/>
      <c r="AC68" s="500" t="n"/>
      <c r="AD68" s="500" t="n"/>
      <c r="AE68" s="500" t="n"/>
      <c r="AF68" s="500" t="n"/>
      <c r="AG68" s="500" t="n"/>
      <c r="AH68" s="500" t="n"/>
      <c r="AI68" s="500" t="n"/>
      <c r="AJ68" s="500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$C$29</f>
        <v/>
      </c>
      <c r="O69" s="516">
        <f>N69-P69-Q69</f>
        <v/>
      </c>
      <c r="P69" s="500">
        <f>L69</f>
        <v/>
      </c>
      <c r="Q69" s="519">
        <f>M69</f>
        <v/>
      </c>
      <c r="R69" s="516">
        <f>$C$22</f>
        <v/>
      </c>
      <c r="S69" s="500">
        <f>R69-T69-U69</f>
        <v/>
      </c>
      <c r="T69" s="500">
        <f>P69</f>
        <v/>
      </c>
      <c r="U69" s="519">
        <f>Q69</f>
        <v/>
      </c>
      <c r="V69" s="516" t="n"/>
      <c r="W69" s="500" t="n"/>
      <c r="X69" s="500" t="n"/>
      <c r="Y69" s="500" t="n"/>
      <c r="Z69" s="519" t="n"/>
      <c r="AA69" s="516" t="n"/>
      <c r="AB69" s="500" t="n"/>
      <c r="AC69" s="500" t="n"/>
      <c r="AD69" s="500" t="n"/>
      <c r="AE69" s="500" t="n"/>
      <c r="AF69" s="500" t="n"/>
      <c r="AG69" s="500" t="n"/>
      <c r="AH69" s="500" t="n"/>
      <c r="AI69" s="500" t="n"/>
      <c r="AJ69" s="500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$C$29</f>
        <v/>
      </c>
      <c r="O70" s="516">
        <f>N70-P70-Q70</f>
        <v/>
      </c>
      <c r="P70" s="500">
        <f>L70</f>
        <v/>
      </c>
      <c r="Q70" s="519">
        <f>M70</f>
        <v/>
      </c>
      <c r="R70" s="516">
        <f>$C$22</f>
        <v/>
      </c>
      <c r="S70" s="500">
        <f>R70-T70-U70</f>
        <v/>
      </c>
      <c r="T70" s="500">
        <f>P70</f>
        <v/>
      </c>
      <c r="U70" s="519">
        <f>Q70</f>
        <v/>
      </c>
      <c r="V70" s="516" t="n"/>
      <c r="W70" s="500" t="n"/>
      <c r="X70" s="500" t="n"/>
      <c r="Y70" s="500" t="n"/>
      <c r="Z70" s="519" t="n"/>
      <c r="AA70" s="516" t="n"/>
      <c r="AB70" s="500" t="n"/>
      <c r="AC70" s="500" t="n"/>
      <c r="AD70" s="500" t="n"/>
      <c r="AE70" s="500" t="n"/>
      <c r="AF70" s="500" t="n"/>
      <c r="AG70" s="500" t="n"/>
      <c r="AH70" s="500" t="n"/>
      <c r="AI70" s="500" t="n"/>
      <c r="AJ70" s="500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$C$29</f>
        <v/>
      </c>
      <c r="O71" s="516">
        <f>N71-P71-Q71</f>
        <v/>
      </c>
      <c r="P71" s="500">
        <f>L71</f>
        <v/>
      </c>
      <c r="Q71" s="519">
        <f>M71</f>
        <v/>
      </c>
      <c r="R71" s="516">
        <f>$C$22</f>
        <v/>
      </c>
      <c r="S71" s="500">
        <f>R71-T71-U71</f>
        <v/>
      </c>
      <c r="T71" s="500">
        <f>P71</f>
        <v/>
      </c>
      <c r="U71" s="519">
        <f>Q71</f>
        <v/>
      </c>
      <c r="V71" s="516" t="n"/>
      <c r="W71" s="500" t="n"/>
      <c r="X71" s="500" t="n"/>
      <c r="Y71" s="500" t="n"/>
      <c r="Z71" s="519" t="n"/>
      <c r="AA71" s="516" t="n"/>
      <c r="AB71" s="500" t="n"/>
      <c r="AC71" s="500" t="n"/>
      <c r="AD71" s="500" t="n"/>
      <c r="AE71" s="500" t="n"/>
      <c r="AF71" s="500" t="n"/>
      <c r="AG71" s="500" t="n"/>
      <c r="AH71" s="500" t="n"/>
      <c r="AI71" s="500" t="n"/>
      <c r="AJ71" s="500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$C$29</f>
        <v/>
      </c>
      <c r="O72" s="516">
        <f>N72-P72-Q72</f>
        <v/>
      </c>
      <c r="P72" s="500">
        <f>L72</f>
        <v/>
      </c>
      <c r="Q72" s="519">
        <f>M72</f>
        <v/>
      </c>
      <c r="R72" s="516">
        <f>$C$22</f>
        <v/>
      </c>
      <c r="S72" s="500">
        <f>R72-T72-U72</f>
        <v/>
      </c>
      <c r="T72" s="500">
        <f>P72</f>
        <v/>
      </c>
      <c r="U72" s="519">
        <f>Q72</f>
        <v/>
      </c>
      <c r="V72" s="516" t="n"/>
      <c r="W72" s="500" t="n"/>
      <c r="X72" s="500" t="n"/>
      <c r="Y72" s="500" t="n"/>
      <c r="Z72" s="519" t="n"/>
      <c r="AA72" s="516" t="n"/>
      <c r="AB72" s="500" t="n"/>
      <c r="AC72" s="500" t="n"/>
      <c r="AD72" s="500" t="n"/>
      <c r="AE72" s="500" t="n"/>
      <c r="AF72" s="500" t="n"/>
      <c r="AG72" s="500" t="n"/>
      <c r="AH72" s="500" t="n"/>
      <c r="AI72" s="500" t="n"/>
      <c r="AJ72" s="500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$C$29</f>
        <v/>
      </c>
      <c r="O73" s="516">
        <f>N73-P73-Q73</f>
        <v/>
      </c>
      <c r="P73" s="500">
        <f>L73</f>
        <v/>
      </c>
      <c r="Q73" s="519">
        <f>M73</f>
        <v/>
      </c>
      <c r="R73" s="516">
        <f>$C$22</f>
        <v/>
      </c>
      <c r="S73" s="500">
        <f>R73-T73-U73</f>
        <v/>
      </c>
      <c r="T73" s="500">
        <f>P73</f>
        <v/>
      </c>
      <c r="U73" s="519">
        <f>Q73</f>
        <v/>
      </c>
      <c r="V73" s="516" t="n"/>
      <c r="W73" s="500" t="n"/>
      <c r="X73" s="500" t="n"/>
      <c r="Y73" s="500" t="n"/>
      <c r="Z73" s="519" t="n"/>
      <c r="AA73" s="516" t="n"/>
      <c r="AB73" s="500" t="n"/>
      <c r="AC73" s="500" t="n"/>
      <c r="AD73" s="500" t="n"/>
      <c r="AE73" s="500" t="n"/>
      <c r="AF73" s="500" t="n"/>
      <c r="AG73" s="500" t="n"/>
      <c r="AH73" s="500" t="n"/>
      <c r="AI73" s="500" t="n"/>
      <c r="AJ73" s="500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$C$29</f>
        <v/>
      </c>
      <c r="O74" s="516">
        <f>N74-P74-Q74</f>
        <v/>
      </c>
      <c r="P74" s="500">
        <f>L74</f>
        <v/>
      </c>
      <c r="Q74" s="519">
        <f>M74</f>
        <v/>
      </c>
      <c r="R74" s="516">
        <f>$C$22</f>
        <v/>
      </c>
      <c r="S74" s="500">
        <f>R74-T74-U74</f>
        <v/>
      </c>
      <c r="T74" s="500">
        <f>P74</f>
        <v/>
      </c>
      <c r="U74" s="519">
        <f>Q74</f>
        <v/>
      </c>
      <c r="V74" s="516" t="n"/>
      <c r="W74" s="500" t="n"/>
      <c r="X74" s="500" t="n"/>
      <c r="Y74" s="500" t="n"/>
      <c r="Z74" s="519" t="n"/>
      <c r="AA74" s="516" t="n"/>
      <c r="AB74" s="500" t="n"/>
      <c r="AC74" s="500" t="n"/>
      <c r="AD74" s="500" t="n"/>
      <c r="AE74" s="500" t="n"/>
      <c r="AF74" s="500" t="n"/>
      <c r="AG74" s="500" t="n"/>
      <c r="AH74" s="500" t="n"/>
      <c r="AI74" s="500" t="n"/>
      <c r="AJ74" s="500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$C$29</f>
        <v/>
      </c>
      <c r="O75" s="516">
        <f>N75-P75-Q75</f>
        <v/>
      </c>
      <c r="P75" s="500">
        <f>L75</f>
        <v/>
      </c>
      <c r="Q75" s="519">
        <f>M75</f>
        <v/>
      </c>
      <c r="R75" s="516">
        <f>$C$22</f>
        <v/>
      </c>
      <c r="S75" s="500">
        <f>R75-T75-U75</f>
        <v/>
      </c>
      <c r="T75" s="500">
        <f>P75</f>
        <v/>
      </c>
      <c r="U75" s="519">
        <f>Q75</f>
        <v/>
      </c>
      <c r="V75" s="516" t="n"/>
      <c r="W75" s="500" t="n"/>
      <c r="X75" s="500" t="n"/>
      <c r="Y75" s="500" t="n"/>
      <c r="Z75" s="519" t="n"/>
      <c r="AA75" s="516" t="n"/>
      <c r="AB75" s="500" t="n"/>
      <c r="AC75" s="500" t="n"/>
      <c r="AD75" s="500" t="n"/>
      <c r="AE75" s="500" t="n"/>
      <c r="AF75" s="500" t="n"/>
      <c r="AG75" s="500" t="n"/>
      <c r="AH75" s="500" t="n"/>
      <c r="AI75" s="500" t="n"/>
      <c r="AJ75" s="500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$C$29</f>
        <v/>
      </c>
      <c r="O76" s="516">
        <f>N76-P76-Q76</f>
        <v/>
      </c>
      <c r="P76" s="500">
        <f>L76</f>
        <v/>
      </c>
      <c r="Q76" s="519">
        <f>M76</f>
        <v/>
      </c>
      <c r="R76" s="516">
        <f>$C$22</f>
        <v/>
      </c>
      <c r="S76" s="500">
        <f>R76-T76-U76</f>
        <v/>
      </c>
      <c r="T76" s="500">
        <f>P76</f>
        <v/>
      </c>
      <c r="U76" s="519">
        <f>Q76</f>
        <v/>
      </c>
      <c r="V76" s="516" t="n"/>
      <c r="W76" s="500" t="n"/>
      <c r="X76" s="500" t="n"/>
      <c r="Y76" s="500" t="n"/>
      <c r="Z76" s="519" t="n"/>
      <c r="AA76" s="516" t="n"/>
      <c r="AB76" s="500" t="n"/>
      <c r="AC76" s="500" t="n"/>
      <c r="AD76" s="500" t="n"/>
      <c r="AE76" s="500" t="n"/>
      <c r="AF76" s="500" t="n"/>
      <c r="AG76" s="500" t="n"/>
      <c r="AH76" s="500" t="n"/>
      <c r="AI76" s="500" t="n"/>
      <c r="AJ76" s="500" t="n"/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81">
        <f>$C$29-N5</f>
        <v/>
      </c>
      <c r="O77" s="588">
        <f>N77-P77-Q77</f>
        <v/>
      </c>
      <c r="P77" s="589">
        <f>L77</f>
        <v/>
      </c>
      <c r="Q77" s="642">
        <f>M77</f>
        <v/>
      </c>
      <c r="R77" s="588">
        <f>$C$22-R5</f>
        <v/>
      </c>
      <c r="S77" s="589">
        <f>R77-T77-U77</f>
        <v/>
      </c>
      <c r="T77" s="589">
        <f>P77</f>
        <v/>
      </c>
      <c r="U77" s="642">
        <f>Q77</f>
        <v/>
      </c>
      <c r="V77" s="516" t="n"/>
      <c r="W77" s="500" t="n"/>
      <c r="X77" s="500" t="n"/>
      <c r="Y77" s="500" t="n"/>
      <c r="Z77" s="519" t="n"/>
      <c r="AA77" s="516" t="n"/>
      <c r="AB77" s="500" t="n"/>
      <c r="AC77" s="500" t="n"/>
      <c r="AD77" s="500" t="n"/>
      <c r="AE77" s="500" t="n"/>
      <c r="AF77" s="500" t="n"/>
      <c r="AG77" s="500" t="n"/>
      <c r="AH77" s="500" t="n"/>
      <c r="AI77" s="500" t="n"/>
      <c r="AJ77" s="500" t="n"/>
    </row>
    <row r="78">
      <c r="O78" s="500" t="n"/>
    </row>
  </sheetData>
  <mergeCells count="1">
    <mergeCell ref="A18:A2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D79"/>
  <sheetViews>
    <sheetView showGridLines="0" zoomScale="70" zoomScaleNormal="70" workbookViewId="0">
      <selection activeCell="B22" sqref="B22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hidden="1" width="13.375" customWidth="1" style="224" min="10" max="11"/>
    <col hidden="1" width="12.125" customWidth="1" style="224" min="12" max="12"/>
    <col hidden="1" width="10.5" customWidth="1" style="224" min="13" max="14"/>
    <col hidden="1" width="12.125" customWidth="1" style="224" min="15" max="15"/>
    <col width="20" bestFit="1" customWidth="1" style="497" min="16" max="16"/>
    <col width="13.375" bestFit="1" customWidth="1" style="497" min="17" max="17"/>
    <col width="12.125" bestFit="1" customWidth="1" style="497" min="18" max="18"/>
    <col width="10.5" bestFit="1" customWidth="1" style="497" min="19" max="19"/>
    <col width="10.5" customWidth="1" style="497" min="20" max="20"/>
    <col width="12.125" bestFit="1" customWidth="1" style="497" min="21" max="21"/>
    <col width="20" bestFit="1" customWidth="1" style="497" min="22" max="22"/>
    <col width="12.125" customWidth="1" style="497" min="23" max="24"/>
    <col width="10.5" customWidth="1" style="497" min="25" max="27"/>
    <col width="25.625" bestFit="1" customWidth="1" style="497" min="29" max="29"/>
    <col width="12.125" bestFit="1" customWidth="1" style="497" min="30" max="30"/>
  </cols>
  <sheetData>
    <row r="1">
      <c r="I1" s="552" t="n"/>
      <c r="J1" s="244" t="n"/>
      <c r="K1" s="245" t="n"/>
      <c r="L1" s="245" t="n"/>
      <c r="M1" s="245" t="n"/>
      <c r="N1" s="245" t="n"/>
      <c r="O1" s="553" t="n"/>
      <c r="P1" s="505" t="n"/>
      <c r="Q1" s="505" t="n"/>
      <c r="R1" s="505" t="n"/>
      <c r="S1" s="505" t="n"/>
      <c r="T1" s="500" t="n"/>
      <c r="U1" s="505" t="n"/>
    </row>
    <row r="2">
      <c r="I2" s="8" t="inlineStr">
        <is>
          <t>SUM =</t>
        </is>
      </c>
      <c r="J2" s="554">
        <f>SUM(J6:J78)</f>
        <v/>
      </c>
      <c r="K2" s="554">
        <f>SUM(K6:K78)</f>
        <v/>
      </c>
      <c r="L2" s="554">
        <f>SUM(L6:L78)</f>
        <v/>
      </c>
      <c r="M2" s="554">
        <f>SUM(M6:M78)</f>
        <v/>
      </c>
      <c r="N2" s="554">
        <f>SUM(N6:N78)</f>
        <v/>
      </c>
      <c r="O2" s="554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V2" s="500">
        <f>SUM(V6:V78)</f>
        <v/>
      </c>
      <c r="W2" s="500">
        <f>SUM(W6:W78)</f>
        <v/>
      </c>
      <c r="X2" s="500">
        <f>SUM(X6:X78)</f>
        <v/>
      </c>
      <c r="Y2" s="500">
        <f>SUM(Y6:Y78)</f>
        <v/>
      </c>
      <c r="Z2" s="500">
        <f>SUM(Z6:Z78)</f>
        <v/>
      </c>
      <c r="AA2" s="500">
        <f>SUM(AA6:AA78)</f>
        <v/>
      </c>
    </row>
    <row r="3">
      <c r="I3" s="8" t="n"/>
      <c r="J3" s="555" t="inlineStr">
        <is>
          <t>기본 (v-)</t>
        </is>
      </c>
      <c r="K3" s="556" t="n"/>
      <c r="L3" s="556" t="n"/>
      <c r="M3" s="557" t="n"/>
      <c r="N3" s="556" t="n"/>
      <c r="O3" s="556" t="n"/>
      <c r="P3" s="501" t="inlineStr">
        <is>
          <t>기본 (v-)</t>
        </is>
      </c>
      <c r="Q3" s="502" t="n"/>
      <c r="R3" s="502" t="n"/>
      <c r="S3" s="503" t="n"/>
      <c r="T3" s="502" t="n"/>
      <c r="U3" s="558" t="inlineStr">
        <is>
          <t>부가세포함</t>
        </is>
      </c>
      <c r="V3" s="75" t="inlineStr">
        <is>
          <t>선납+선납할인 시 (v-)</t>
        </is>
      </c>
      <c r="W3" s="76" t="n"/>
      <c r="X3" s="76" t="n"/>
      <c r="Y3" s="76" t="n"/>
      <c r="Z3" s="137" t="n"/>
      <c r="AA3" s="558" t="inlineStr">
        <is>
          <t>부가세포함</t>
        </is>
      </c>
    </row>
    <row r="4">
      <c r="I4" s="8" t="n"/>
      <c r="J4" s="555" t="n"/>
      <c r="K4" s="556" t="n"/>
      <c r="L4" s="556" t="n"/>
      <c r="M4" s="556" t="n"/>
      <c r="N4" s="556" t="n"/>
      <c r="O4" s="556" t="n"/>
      <c r="P4" s="261" t="inlineStr">
        <is>
          <t>파손제외 구독료청구</t>
        </is>
      </c>
      <c r="Q4" s="560" t="n"/>
      <c r="R4" s="560" t="n"/>
      <c r="S4" s="561" t="n"/>
      <c r="T4" s="264" t="inlineStr">
        <is>
          <t>파손</t>
        </is>
      </c>
      <c r="U4" s="264" t="inlineStr">
        <is>
          <t>월청구(v+)</t>
        </is>
      </c>
      <c r="V4" s="261" t="inlineStr">
        <is>
          <t>파손제외 구독료청구</t>
        </is>
      </c>
      <c r="W4" s="560" t="n"/>
      <c r="X4" s="560" t="n"/>
      <c r="Y4" s="561" t="n"/>
      <c r="Z4" s="264" t="inlineStr">
        <is>
          <t>파손</t>
        </is>
      </c>
      <c r="AA4" s="264" t="inlineStr">
        <is>
          <t>월청구(v+)</t>
        </is>
      </c>
      <c r="AC4" s="9" t="inlineStr">
        <is>
          <t>고객노출 기본 구독료 (v+)</t>
        </is>
      </c>
      <c r="AD4" s="506">
        <f>C19</f>
        <v/>
      </c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29" t="inlineStr">
        <is>
          <t>구독료청구</t>
        </is>
      </c>
      <c r="K5" s="230" t="inlineStr">
        <is>
          <t>제품</t>
        </is>
      </c>
      <c r="L5" s="231" t="inlineStr">
        <is>
          <t>케어</t>
        </is>
      </c>
      <c r="M5" s="231" t="inlineStr">
        <is>
          <t>보증</t>
        </is>
      </c>
      <c r="N5" s="232" t="inlineStr">
        <is>
          <t>파손</t>
        </is>
      </c>
      <c r="O5" s="232" t="inlineStr">
        <is>
          <t>월청구(v+)</t>
        </is>
      </c>
      <c r="P5" s="265" t="n"/>
      <c r="Q5" s="26" t="inlineStr">
        <is>
          <t>제품</t>
        </is>
      </c>
      <c r="R5" s="15" t="inlineStr">
        <is>
          <t>케어</t>
        </is>
      </c>
      <c r="S5" s="15" t="inlineStr">
        <is>
          <t>보증</t>
        </is>
      </c>
      <c r="T5" s="265" t="n"/>
      <c r="U5" s="265" t="n"/>
      <c r="V5" s="265" t="n"/>
      <c r="W5" s="26" t="inlineStr">
        <is>
          <t>제품</t>
        </is>
      </c>
      <c r="X5" s="15" t="inlineStr">
        <is>
          <t>케어</t>
        </is>
      </c>
      <c r="Y5" s="15" t="inlineStr">
        <is>
          <t>보증</t>
        </is>
      </c>
      <c r="Z5" s="265" t="n"/>
      <c r="AA5" s="265" t="n"/>
      <c r="AC5" s="9" t="inlineStr">
        <is>
          <t>선납금 월할(v+)</t>
        </is>
      </c>
      <c r="AD5" s="506">
        <f>C28*1.1/C8</f>
        <v/>
      </c>
    </row>
    <row r="6">
      <c r="B6" s="9" t="inlineStr">
        <is>
          <t>모델코드</t>
        </is>
      </c>
      <c r="C6" s="6" t="inlineStr">
        <is>
          <t>SM-X920NZAAKOO</t>
        </is>
      </c>
      <c r="F6" s="28" t="inlineStr">
        <is>
          <t>1회차</t>
        </is>
      </c>
      <c r="G6" s="29" t="n">
        <v>45912</v>
      </c>
      <c r="H6" s="29" t="n">
        <v>45930</v>
      </c>
      <c r="I6" s="30">
        <f>EOMONTH(G6,0)+15</f>
        <v/>
      </c>
      <c r="J6" s="562">
        <f>ROUNDDOWN(($C$16/$C$8)*(H6-G6+1)/DAY(H6),-2)</f>
        <v/>
      </c>
      <c r="K6" s="563">
        <f>J6-L6-M6-N6</f>
        <v/>
      </c>
      <c r="L6" s="564">
        <f>ROUNDDOWN(($C$12/$C$8)*(H6-G6+1)/DAY(H6),-2)</f>
        <v/>
      </c>
      <c r="M6" s="564">
        <f>ROUNDDOWN(($C$13/$C$8)*(H6-G6+1)/DAY(H6),-2)</f>
        <v/>
      </c>
      <c r="N6" s="565">
        <f>ROUNDDOWN(($C$14/$C$8)*(H6-G6+1)/DAY(H6),-2)</f>
        <v/>
      </c>
      <c r="O6" s="566">
        <f>SUM(K6:M6)*1.1+N6</f>
        <v/>
      </c>
      <c r="P6" s="508">
        <f>ROUNDDOWN((($C$20/1.1)/$C$8)*(H6-G6+1)/DAY(H6),-2)</f>
        <v/>
      </c>
      <c r="Q6" s="567">
        <f>P6-R6-S6</f>
        <v/>
      </c>
      <c r="R6" s="568">
        <f>ROUNDDOWN(($C$12/$C$8)*(H6-G6+1)/DAY(H6),-2)</f>
        <v/>
      </c>
      <c r="S6" s="568">
        <f>ROUNDDOWN(($C$13/$C$8)*(H6-G6+1)/DAY(H6),-2)</f>
        <v/>
      </c>
      <c r="T6" s="569">
        <f>ROUNDDOWN(($C$14/$C$8)*(H6-G6+1)/DAY(H6),-2)</f>
        <v/>
      </c>
      <c r="U6" s="511">
        <f>P6*1.1+T6</f>
        <v/>
      </c>
      <c r="V6" s="508">
        <f>ROUNDDOWN(((C41/1.1)/$C$8)*(H6-G6+1)/DAY(H6),-2)</f>
        <v/>
      </c>
      <c r="W6" s="567">
        <f>V6-X6-Y6</f>
        <v/>
      </c>
      <c r="X6" s="568">
        <f>L6</f>
        <v/>
      </c>
      <c r="Y6" s="568">
        <f>M6</f>
        <v/>
      </c>
      <c r="Z6" s="570">
        <f>N6</f>
        <v/>
      </c>
      <c r="AA6" s="511">
        <f>V6*1.1+Z6</f>
        <v/>
      </c>
      <c r="AC6" s="9" t="inlineStr">
        <is>
          <t>선납할인금 월할 (v+)</t>
        </is>
      </c>
      <c r="AD6" s="506">
        <f>C32*1.1/C8</f>
        <v/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62">
        <f>$C$17</f>
        <v/>
      </c>
      <c r="K7" s="571">
        <f>J7-L7-M7-N7</f>
        <v/>
      </c>
      <c r="L7" s="572">
        <f>$C$12/$C$8</f>
        <v/>
      </c>
      <c r="M7" s="572">
        <f>$C$13/$C$8</f>
        <v/>
      </c>
      <c r="N7" s="566">
        <f>$C$14/$C$8</f>
        <v/>
      </c>
      <c r="O7" s="566">
        <f>SUM(K7:M7)*1.1+N7</f>
        <v/>
      </c>
      <c r="P7" s="515">
        <f>($C$20/1.1)/$C$8</f>
        <v/>
      </c>
      <c r="Q7" s="516">
        <f>P7-R7-S7</f>
        <v/>
      </c>
      <c r="R7" s="517">
        <f>$C$12/$C$8</f>
        <v/>
      </c>
      <c r="S7" s="517">
        <f>$C$13/$C$8</f>
        <v/>
      </c>
      <c r="T7" s="515">
        <f>$C$14/$C$8</f>
        <v/>
      </c>
      <c r="U7" s="518">
        <f>P7*1.1+T7</f>
        <v/>
      </c>
      <c r="V7" s="515">
        <f>($C$41/1.1)/$C$8</f>
        <v/>
      </c>
      <c r="W7" s="516">
        <f>V7-X7-Y7</f>
        <v/>
      </c>
      <c r="X7" s="517">
        <f>L7</f>
        <v/>
      </c>
      <c r="Y7" s="517">
        <f>M7</f>
        <v/>
      </c>
      <c r="Z7" s="573">
        <f>N7</f>
        <v/>
      </c>
      <c r="AA7" s="518">
        <f>V7*1.1+Z7</f>
        <v/>
      </c>
      <c r="AC7" s="9" t="inlineStr">
        <is>
          <t>선납시 최종 납부금 (v+)</t>
        </is>
      </c>
      <c r="AD7" s="527">
        <f>AD4-AD5-AD6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62">
        <f>$C$17</f>
        <v/>
      </c>
      <c r="K8" s="571">
        <f>$C$15/$C$8</f>
        <v/>
      </c>
      <c r="L8" s="572">
        <f>$C$12/$C$8</f>
        <v/>
      </c>
      <c r="M8" s="572">
        <f>$C$13/$C$8</f>
        <v/>
      </c>
      <c r="N8" s="566">
        <f>$C$14/$C$8</f>
        <v/>
      </c>
      <c r="O8" s="566">
        <f>SUM(K8:M8)*1.1+N8</f>
        <v/>
      </c>
      <c r="P8" s="515">
        <f>($C$20/1.1)/$C$8</f>
        <v/>
      </c>
      <c r="Q8" s="516">
        <f>P8-R8-S8</f>
        <v/>
      </c>
      <c r="R8" s="517">
        <f>$C$12/$C$8</f>
        <v/>
      </c>
      <c r="S8" s="517">
        <f>$C$13/$C$8</f>
        <v/>
      </c>
      <c r="T8" s="515">
        <f>$C$14/$C$8</f>
        <v/>
      </c>
      <c r="U8" s="518">
        <f>P8*1.1+T8</f>
        <v/>
      </c>
      <c r="V8" s="515">
        <f>($C$41/1.1)/$C$8</f>
        <v/>
      </c>
      <c r="W8" s="516">
        <f>V8-X8-Y8</f>
        <v/>
      </c>
      <c r="X8" s="517">
        <f>L8</f>
        <v/>
      </c>
      <c r="Y8" s="517">
        <f>M8</f>
        <v/>
      </c>
      <c r="Z8" s="573">
        <f>N8</f>
        <v/>
      </c>
      <c r="AA8" s="518">
        <f>V8*1.1+Z8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62">
        <f>$C$17</f>
        <v/>
      </c>
      <c r="K9" s="571">
        <f>$C$15/$C$8</f>
        <v/>
      </c>
      <c r="L9" s="572">
        <f>$C$12/$C$8</f>
        <v/>
      </c>
      <c r="M9" s="572">
        <f>$C$13/$C$8</f>
        <v/>
      </c>
      <c r="N9" s="566">
        <f>$C$14/$C$8</f>
        <v/>
      </c>
      <c r="O9" s="566">
        <f>SUM(K9:M9)*1.1+N9</f>
        <v/>
      </c>
      <c r="P9" s="515">
        <f>($C$20/1.1)/$C$8</f>
        <v/>
      </c>
      <c r="Q9" s="516">
        <f>P9-R9-S9</f>
        <v/>
      </c>
      <c r="R9" s="517">
        <f>$C$12/$C$8</f>
        <v/>
      </c>
      <c r="S9" s="517">
        <f>$C$13/$C$8</f>
        <v/>
      </c>
      <c r="T9" s="515">
        <f>$C$14/$C$8</f>
        <v/>
      </c>
      <c r="U9" s="518">
        <f>P9*1.1+T9</f>
        <v/>
      </c>
      <c r="V9" s="515">
        <f>($C$41/1.1)/$C$8</f>
        <v/>
      </c>
      <c r="W9" s="516">
        <f>V9-X9-Y9</f>
        <v/>
      </c>
      <c r="X9" s="517">
        <f>L9</f>
        <v/>
      </c>
      <c r="Y9" s="517">
        <f>M9</f>
        <v/>
      </c>
      <c r="Z9" s="573">
        <f>N9</f>
        <v/>
      </c>
      <c r="AA9" s="518">
        <f>V9*1.1+Z9</f>
        <v/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62">
        <f>$C$17</f>
        <v/>
      </c>
      <c r="K10" s="571">
        <f>$C$15/$C$8</f>
        <v/>
      </c>
      <c r="L10" s="572">
        <f>$C$12/$C$8</f>
        <v/>
      </c>
      <c r="M10" s="572">
        <f>$C$13/$C$8</f>
        <v/>
      </c>
      <c r="N10" s="566">
        <f>$C$14/$C$8</f>
        <v/>
      </c>
      <c r="O10" s="566">
        <f>SUM(K10:M10)*1.1+N10</f>
        <v/>
      </c>
      <c r="P10" s="515">
        <f>($C$20/1.1)/$C$8</f>
        <v/>
      </c>
      <c r="Q10" s="516">
        <f>P10-R10-S10</f>
        <v/>
      </c>
      <c r="R10" s="517">
        <f>$C$12/$C$8</f>
        <v/>
      </c>
      <c r="S10" s="517">
        <f>$C$13/$C$8</f>
        <v/>
      </c>
      <c r="T10" s="515">
        <f>$C$14/$C$8</f>
        <v/>
      </c>
      <c r="U10" s="518">
        <f>P10*1.1+T10</f>
        <v/>
      </c>
      <c r="V10" s="515">
        <f>($C$41/1.1)/$C$8</f>
        <v/>
      </c>
      <c r="W10" s="516">
        <f>V10-X10-Y10</f>
        <v/>
      </c>
      <c r="X10" s="517">
        <f>L10</f>
        <v/>
      </c>
      <c r="Y10" s="517">
        <f>M10</f>
        <v/>
      </c>
      <c r="Z10" s="573">
        <f>N10</f>
        <v/>
      </c>
      <c r="AA10" s="518">
        <f>V10*1.1+Z10</f>
        <v/>
      </c>
      <c r="AC10" s="505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62">
        <f>$C$17</f>
        <v/>
      </c>
      <c r="K11" s="571">
        <f>$C$15/$C$8</f>
        <v/>
      </c>
      <c r="L11" s="572">
        <f>$C$12/$C$8</f>
        <v/>
      </c>
      <c r="M11" s="572">
        <f>$C$13/$C$8</f>
        <v/>
      </c>
      <c r="N11" s="566">
        <f>$C$14/$C$8</f>
        <v/>
      </c>
      <c r="O11" s="566">
        <f>SUM(K11:M11)*1.1+N11</f>
        <v/>
      </c>
      <c r="P11" s="515">
        <f>($C$20/1.1)/$C$8</f>
        <v/>
      </c>
      <c r="Q11" s="516">
        <f>P11-R11-S11</f>
        <v/>
      </c>
      <c r="R11" s="517">
        <f>$C$12/$C$8</f>
        <v/>
      </c>
      <c r="S11" s="517">
        <f>$C$13/$C$8</f>
        <v/>
      </c>
      <c r="T11" s="515">
        <f>$C$14/$C$8</f>
        <v/>
      </c>
      <c r="U11" s="518">
        <f>P11*1.1+T11</f>
        <v/>
      </c>
      <c r="V11" s="515">
        <f>($C$41/1.1)/$C$8</f>
        <v/>
      </c>
      <c r="W11" s="516">
        <f>V11-X11-Y11</f>
        <v/>
      </c>
      <c r="X11" s="517">
        <f>L11</f>
        <v/>
      </c>
      <c r="Y11" s="517">
        <f>M11</f>
        <v/>
      </c>
      <c r="Z11" s="573">
        <f>N11</f>
        <v/>
      </c>
      <c r="AA11" s="518">
        <f>V11*1.1+Z11</f>
        <v/>
      </c>
      <c r="AC11" s="500" t="n"/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62">
        <f>$C$17</f>
        <v/>
      </c>
      <c r="K12" s="571">
        <f>$C$15/$C$8</f>
        <v/>
      </c>
      <c r="L12" s="572">
        <f>$C$12/$C$8</f>
        <v/>
      </c>
      <c r="M12" s="572">
        <f>$C$13/$C$8</f>
        <v/>
      </c>
      <c r="N12" s="566">
        <f>$C$14/$C$8</f>
        <v/>
      </c>
      <c r="O12" s="566">
        <f>SUM(K12:M12)*1.1+N12</f>
        <v/>
      </c>
      <c r="P12" s="515">
        <f>($C$20/1.1)/$C$8</f>
        <v/>
      </c>
      <c r="Q12" s="516">
        <f>P12-R12-S12</f>
        <v/>
      </c>
      <c r="R12" s="517">
        <f>$C$12/$C$8</f>
        <v/>
      </c>
      <c r="S12" s="517">
        <f>$C$13/$C$8</f>
        <v/>
      </c>
      <c r="T12" s="515">
        <f>$C$14/$C$8</f>
        <v/>
      </c>
      <c r="U12" s="518">
        <f>P12*1.1+T12</f>
        <v/>
      </c>
      <c r="V12" s="515">
        <f>($C$41/1.1)/$C$8</f>
        <v/>
      </c>
      <c r="W12" s="516">
        <f>V12-X12-Y12</f>
        <v/>
      </c>
      <c r="X12" s="517">
        <f>L12</f>
        <v/>
      </c>
      <c r="Y12" s="517">
        <f>M12</f>
        <v/>
      </c>
      <c r="Z12" s="573">
        <f>N12</f>
        <v/>
      </c>
      <c r="AA12" s="518">
        <f>V12*1.1+Z12</f>
        <v/>
      </c>
      <c r="AC12" s="500" t="n"/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62">
        <f>$C$17</f>
        <v/>
      </c>
      <c r="K13" s="571">
        <f>$C$15/$C$8</f>
        <v/>
      </c>
      <c r="L13" s="572">
        <f>$C$12/$C$8</f>
        <v/>
      </c>
      <c r="M13" s="572">
        <f>$C$13/$C$8</f>
        <v/>
      </c>
      <c r="N13" s="566">
        <f>$C$14/$C$8</f>
        <v/>
      </c>
      <c r="O13" s="566">
        <f>SUM(K13:M13)*1.1+N13</f>
        <v/>
      </c>
      <c r="P13" s="515">
        <f>($C$20/1.1)/$C$8</f>
        <v/>
      </c>
      <c r="Q13" s="516">
        <f>P13-R13-S13</f>
        <v/>
      </c>
      <c r="R13" s="517">
        <f>$C$12/$C$8</f>
        <v/>
      </c>
      <c r="S13" s="517">
        <f>$C$13/$C$8</f>
        <v/>
      </c>
      <c r="T13" s="515">
        <f>$C$14/$C$8</f>
        <v/>
      </c>
      <c r="U13" s="518">
        <f>P13*1.1+T13</f>
        <v/>
      </c>
      <c r="V13" s="515">
        <f>($C$41/1.1)/$C$8</f>
        <v/>
      </c>
      <c r="W13" s="516">
        <f>V13-X13-Y13</f>
        <v/>
      </c>
      <c r="X13" s="517">
        <f>L13</f>
        <v/>
      </c>
      <c r="Y13" s="517">
        <f>M13</f>
        <v/>
      </c>
      <c r="Z13" s="573">
        <f>N13</f>
        <v/>
      </c>
      <c r="AA13" s="518">
        <f>V13*1.1+Z13</f>
        <v/>
      </c>
      <c r="AC13" s="500" t="n"/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62">
        <f>$C$17</f>
        <v/>
      </c>
      <c r="K14" s="571">
        <f>$C$15/$C$8</f>
        <v/>
      </c>
      <c r="L14" s="572">
        <f>$C$12/$C$8</f>
        <v/>
      </c>
      <c r="M14" s="572">
        <f>$C$13/$C$8</f>
        <v/>
      </c>
      <c r="N14" s="566">
        <f>$C$14/$C$8</f>
        <v/>
      </c>
      <c r="O14" s="566">
        <f>SUM(K14:M14)*1.1+N14</f>
        <v/>
      </c>
      <c r="P14" s="515">
        <f>($C$20/1.1)/$C$8</f>
        <v/>
      </c>
      <c r="Q14" s="516">
        <f>P14-R14-S14</f>
        <v/>
      </c>
      <c r="R14" s="517">
        <f>$C$12/$C$8</f>
        <v/>
      </c>
      <c r="S14" s="517">
        <f>$C$13/$C$8</f>
        <v/>
      </c>
      <c r="T14" s="515">
        <f>$C$14/$C$8</f>
        <v/>
      </c>
      <c r="U14" s="518">
        <f>P14*1.1+T14</f>
        <v/>
      </c>
      <c r="V14" s="515">
        <f>($C$41/1.1)/$C$8</f>
        <v/>
      </c>
      <c r="W14" s="516">
        <f>V14-X14-Y14</f>
        <v/>
      </c>
      <c r="X14" s="517">
        <f>L14</f>
        <v/>
      </c>
      <c r="Y14" s="517">
        <f>M14</f>
        <v/>
      </c>
      <c r="Z14" s="573">
        <f>N14</f>
        <v/>
      </c>
      <c r="AA14" s="518">
        <f>V14*1.1+Z14</f>
        <v/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62">
        <f>$C$17</f>
        <v/>
      </c>
      <c r="K15" s="571">
        <f>$C$15/$C$8</f>
        <v/>
      </c>
      <c r="L15" s="572">
        <f>$C$12/$C$8</f>
        <v/>
      </c>
      <c r="M15" s="572">
        <f>$C$13/$C$8</f>
        <v/>
      </c>
      <c r="N15" s="566">
        <f>$C$14/$C$8</f>
        <v/>
      </c>
      <c r="O15" s="566">
        <f>SUM(K15:M15)*1.1+N15</f>
        <v/>
      </c>
      <c r="P15" s="515">
        <f>($C$20/1.1)/$C$8</f>
        <v/>
      </c>
      <c r="Q15" s="516">
        <f>P15-R15-S15</f>
        <v/>
      </c>
      <c r="R15" s="517">
        <f>$C$12/$C$8</f>
        <v/>
      </c>
      <c r="S15" s="517">
        <f>$C$13/$C$8</f>
        <v/>
      </c>
      <c r="T15" s="515">
        <f>$C$14/$C$8</f>
        <v/>
      </c>
      <c r="U15" s="518">
        <f>P15*1.1+T15</f>
        <v/>
      </c>
      <c r="V15" s="515">
        <f>($C$41/1.1)/$C$8</f>
        <v/>
      </c>
      <c r="W15" s="516">
        <f>V15-X15-Y15</f>
        <v/>
      </c>
      <c r="X15" s="517">
        <f>L15</f>
        <v/>
      </c>
      <c r="Y15" s="517">
        <f>M15</f>
        <v/>
      </c>
      <c r="Z15" s="573">
        <f>N15</f>
        <v/>
      </c>
      <c r="AA15" s="518">
        <f>V15*1.1+Z15</f>
        <v/>
      </c>
    </row>
    <row r="16">
      <c r="B16" s="9" t="inlineStr">
        <is>
          <t>총구독료(v-)</t>
        </is>
      </c>
      <c r="C16" s="526" t="n">
        <v>2011200</v>
      </c>
      <c r="D16" s="505">
        <f>C20/1.1+C14</f>
        <v/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62">
        <f>$C$17</f>
        <v/>
      </c>
      <c r="K16" s="571">
        <f>$C$15/$C$8</f>
        <v/>
      </c>
      <c r="L16" s="572">
        <f>$C$12/$C$8</f>
        <v/>
      </c>
      <c r="M16" s="572">
        <f>$C$13/$C$8</f>
        <v/>
      </c>
      <c r="N16" s="566">
        <f>$C$14/$C$8</f>
        <v/>
      </c>
      <c r="O16" s="566">
        <f>SUM(K16:M16)*1.1+N16</f>
        <v/>
      </c>
      <c r="P16" s="515">
        <f>($C$20/1.1)/$C$8</f>
        <v/>
      </c>
      <c r="Q16" s="516">
        <f>P16-R16-S16</f>
        <v/>
      </c>
      <c r="R16" s="517">
        <f>$C$12/$C$8</f>
        <v/>
      </c>
      <c r="S16" s="517">
        <f>$C$13/$C$8</f>
        <v/>
      </c>
      <c r="T16" s="515">
        <f>$C$14/$C$8</f>
        <v/>
      </c>
      <c r="U16" s="518">
        <f>P16*1.1+T16</f>
        <v/>
      </c>
      <c r="V16" s="515">
        <f>($C$41/1.1)/$C$8</f>
        <v/>
      </c>
      <c r="W16" s="516">
        <f>V16-X16-Y16</f>
        <v/>
      </c>
      <c r="X16" s="517">
        <f>L16</f>
        <v/>
      </c>
      <c r="Y16" s="517">
        <f>M16</f>
        <v/>
      </c>
      <c r="Z16" s="573">
        <f>N16</f>
        <v/>
      </c>
      <c r="AA16" s="518">
        <f>V16*1.1+Z16</f>
        <v/>
      </c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62">
        <f>$C$17</f>
        <v/>
      </c>
      <c r="K17" s="571">
        <f>$C$15/$C$8</f>
        <v/>
      </c>
      <c r="L17" s="572">
        <f>$C$12/$C$8</f>
        <v/>
      </c>
      <c r="M17" s="572">
        <f>$C$13/$C$8</f>
        <v/>
      </c>
      <c r="N17" s="566">
        <f>$C$14/$C$8</f>
        <v/>
      </c>
      <c r="O17" s="566">
        <f>SUM(K17:M17)*1.1+N17</f>
        <v/>
      </c>
      <c r="P17" s="515">
        <f>($C$20/1.1)/$C$8</f>
        <v/>
      </c>
      <c r="Q17" s="516">
        <f>P17-R17-S17</f>
        <v/>
      </c>
      <c r="R17" s="517">
        <f>$C$12/$C$8</f>
        <v/>
      </c>
      <c r="S17" s="517">
        <f>$C$13/$C$8</f>
        <v/>
      </c>
      <c r="T17" s="515">
        <f>$C$14/$C$8</f>
        <v/>
      </c>
      <c r="U17" s="518">
        <f>P17*1.1+T17</f>
        <v/>
      </c>
      <c r="V17" s="515">
        <f>($C$41/1.1)/$C$8</f>
        <v/>
      </c>
      <c r="W17" s="516">
        <f>V17-X17-Y17</f>
        <v/>
      </c>
      <c r="X17" s="517">
        <f>L17</f>
        <v/>
      </c>
      <c r="Y17" s="517">
        <f>M17</f>
        <v/>
      </c>
      <c r="Z17" s="573">
        <f>N17</f>
        <v/>
      </c>
      <c r="AA17" s="518">
        <f>V17*1.1+Z17</f>
        <v/>
      </c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62">
        <f>$C$17</f>
        <v/>
      </c>
      <c r="K18" s="571">
        <f>$C$15/$C$8</f>
        <v/>
      </c>
      <c r="L18" s="572">
        <f>$C$12/$C$8</f>
        <v/>
      </c>
      <c r="M18" s="572">
        <f>$C$13/$C$8</f>
        <v/>
      </c>
      <c r="N18" s="566">
        <f>$C$14/$C$8</f>
        <v/>
      </c>
      <c r="O18" s="566">
        <f>SUM(K18:M18)*1.1+N18</f>
        <v/>
      </c>
      <c r="P18" s="515">
        <f>($C$20/1.1)/$C$8</f>
        <v/>
      </c>
      <c r="Q18" s="516">
        <f>P18-R18-S18</f>
        <v/>
      </c>
      <c r="R18" s="517">
        <f>$C$12/$C$8</f>
        <v/>
      </c>
      <c r="S18" s="517">
        <f>$C$13/$C$8</f>
        <v/>
      </c>
      <c r="T18" s="515">
        <f>$C$14/$C$8</f>
        <v/>
      </c>
      <c r="U18" s="518">
        <f>P18*1.1+T18</f>
        <v/>
      </c>
      <c r="V18" s="515">
        <f>($C$41/1.1)/$C$8</f>
        <v/>
      </c>
      <c r="W18" s="516">
        <f>V18-X18-Y18</f>
        <v/>
      </c>
      <c r="X18" s="517">
        <f>L18</f>
        <v/>
      </c>
      <c r="Y18" s="517">
        <f>M18</f>
        <v/>
      </c>
      <c r="Z18" s="573">
        <f>N18</f>
        <v/>
      </c>
      <c r="AA18" s="518">
        <f>V18*1.1+Z18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62">
        <f>$C$17</f>
        <v/>
      </c>
      <c r="K19" s="571">
        <f>$C$15/$C$8</f>
        <v/>
      </c>
      <c r="L19" s="572">
        <f>$C$12/$C$8</f>
        <v/>
      </c>
      <c r="M19" s="572">
        <f>$C$13/$C$8</f>
        <v/>
      </c>
      <c r="N19" s="566">
        <f>$C$14/$C$8</f>
        <v/>
      </c>
      <c r="O19" s="566">
        <f>SUM(K19:M19)*1.1+N19</f>
        <v/>
      </c>
      <c r="P19" s="515">
        <f>($C$20/1.1)/$C$8</f>
        <v/>
      </c>
      <c r="Q19" s="516">
        <f>P19-R19-S19</f>
        <v/>
      </c>
      <c r="R19" s="517">
        <f>$C$12/$C$8</f>
        <v/>
      </c>
      <c r="S19" s="517">
        <f>$C$13/$C$8</f>
        <v/>
      </c>
      <c r="T19" s="515">
        <f>$C$14/$C$8</f>
        <v/>
      </c>
      <c r="U19" s="518">
        <f>P19*1.1+T19</f>
        <v/>
      </c>
      <c r="V19" s="515">
        <f>($C$41/1.1)/$C$8</f>
        <v/>
      </c>
      <c r="W19" s="516">
        <f>V19-X19-Y19</f>
        <v/>
      </c>
      <c r="X19" s="517">
        <f>L19</f>
        <v/>
      </c>
      <c r="Y19" s="517">
        <f>M19</f>
        <v/>
      </c>
      <c r="Z19" s="573">
        <f>N19</f>
        <v/>
      </c>
      <c r="AA19" s="518">
        <f>V19*1.1+Z19</f>
        <v/>
      </c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62">
        <f>$C$17</f>
        <v/>
      </c>
      <c r="K20" s="571">
        <f>$C$15/$C$8</f>
        <v/>
      </c>
      <c r="L20" s="572">
        <f>$C$12/$C$8</f>
        <v/>
      </c>
      <c r="M20" s="572">
        <f>$C$13/$C$8</f>
        <v/>
      </c>
      <c r="N20" s="566">
        <f>$C$14/$C$8</f>
        <v/>
      </c>
      <c r="O20" s="566">
        <f>SUM(K20:M20)*1.1+N20</f>
        <v/>
      </c>
      <c r="P20" s="515">
        <f>($C$20/1.1)/$C$8</f>
        <v/>
      </c>
      <c r="Q20" s="516">
        <f>P20-R20-S20</f>
        <v/>
      </c>
      <c r="R20" s="517">
        <f>$C$12/$C$8</f>
        <v/>
      </c>
      <c r="S20" s="517">
        <f>$C$13/$C$8</f>
        <v/>
      </c>
      <c r="T20" s="515">
        <f>$C$14/$C$8</f>
        <v/>
      </c>
      <c r="U20" s="518">
        <f>P20*1.1+T20</f>
        <v/>
      </c>
      <c r="V20" s="515">
        <f>($C$41/1.1)/$C$8</f>
        <v/>
      </c>
      <c r="W20" s="516">
        <f>V20-X20-Y20</f>
        <v/>
      </c>
      <c r="X20" s="517">
        <f>L20</f>
        <v/>
      </c>
      <c r="Y20" s="517">
        <f>M20</f>
        <v/>
      </c>
      <c r="Z20" s="573">
        <f>N20</f>
        <v/>
      </c>
      <c r="AA20" s="518">
        <f>V20*1.1+Z20</f>
        <v/>
      </c>
    </row>
    <row r="21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62">
        <f>$C$17</f>
        <v/>
      </c>
      <c r="K21" s="571">
        <f>$C$15/$C$8</f>
        <v/>
      </c>
      <c r="L21" s="572">
        <f>$C$12/$C$8</f>
        <v/>
      </c>
      <c r="M21" s="572">
        <f>$C$13/$C$8</f>
        <v/>
      </c>
      <c r="N21" s="566">
        <f>$C$14/$C$8</f>
        <v/>
      </c>
      <c r="O21" s="566">
        <f>SUM(K21:M21)*1.1+N21</f>
        <v/>
      </c>
      <c r="P21" s="515">
        <f>($C$20/1.1)/$C$8</f>
        <v/>
      </c>
      <c r="Q21" s="516">
        <f>P21-R21-S21</f>
        <v/>
      </c>
      <c r="R21" s="517">
        <f>$C$12/$C$8</f>
        <v/>
      </c>
      <c r="S21" s="517">
        <f>$C$13/$C$8</f>
        <v/>
      </c>
      <c r="T21" s="515">
        <f>$C$14/$C$8</f>
        <v/>
      </c>
      <c r="U21" s="518">
        <f>P21*1.1+T21</f>
        <v/>
      </c>
      <c r="V21" s="515">
        <f>($C$41/1.1)/$C$8</f>
        <v/>
      </c>
      <c r="W21" s="516">
        <f>V21-X21-Y21</f>
        <v/>
      </c>
      <c r="X21" s="517">
        <f>L21</f>
        <v/>
      </c>
      <c r="Y21" s="517">
        <f>M21</f>
        <v/>
      </c>
      <c r="Z21" s="573">
        <f>N21</f>
        <v/>
      </c>
      <c r="AA21" s="518">
        <f>V21*1.1+Z21</f>
        <v/>
      </c>
    </row>
    <row r="22">
      <c r="A22" s="492" t="inlineStr">
        <is>
          <t>기적용 버전</t>
        </is>
      </c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62">
        <f>$C$17</f>
        <v/>
      </c>
      <c r="K22" s="571">
        <f>$C$15/$C$8</f>
        <v/>
      </c>
      <c r="L22" s="572">
        <f>$C$12/$C$8</f>
        <v/>
      </c>
      <c r="M22" s="572">
        <f>$C$13/$C$8</f>
        <v/>
      </c>
      <c r="N22" s="566">
        <f>$C$14/$C$8</f>
        <v/>
      </c>
      <c r="O22" s="566">
        <f>SUM(K22:M22)*1.1+N22</f>
        <v/>
      </c>
      <c r="P22" s="515">
        <f>($C$20/1.1)/$C$8</f>
        <v/>
      </c>
      <c r="Q22" s="516">
        <f>P22-R22-S22</f>
        <v/>
      </c>
      <c r="R22" s="517">
        <f>$C$12/$C$8</f>
        <v/>
      </c>
      <c r="S22" s="517">
        <f>$C$13/$C$8</f>
        <v/>
      </c>
      <c r="T22" s="515">
        <f>$C$14/$C$8</f>
        <v/>
      </c>
      <c r="U22" s="518">
        <f>P22*1.1+T22</f>
        <v/>
      </c>
      <c r="V22" s="515">
        <f>($C$41/1.1)/$C$8</f>
        <v/>
      </c>
      <c r="W22" s="516">
        <f>V22-X22-Y22</f>
        <v/>
      </c>
      <c r="X22" s="517">
        <f>L22</f>
        <v/>
      </c>
      <c r="Y22" s="517">
        <f>M22</f>
        <v/>
      </c>
      <c r="Z22" s="573">
        <f>N22</f>
        <v/>
      </c>
      <c r="AA22" s="518">
        <f>V22*1.1+Z22</f>
        <v/>
      </c>
    </row>
    <row r="23">
      <c r="A23" s="628" t="n"/>
      <c r="B23" s="9" t="inlineStr">
        <is>
          <t>(계산용) 선납금(v-) (총구독료 v- 기준)</t>
        </is>
      </c>
      <c r="C23" s="506">
        <f>C16*C22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62">
        <f>$C$17</f>
        <v/>
      </c>
      <c r="K23" s="571">
        <f>$C$15/$C$8</f>
        <v/>
      </c>
      <c r="L23" s="572">
        <f>$C$12/$C$8</f>
        <v/>
      </c>
      <c r="M23" s="572">
        <f>$C$13/$C$8</f>
        <v/>
      </c>
      <c r="N23" s="566">
        <f>$C$14/$C$8</f>
        <v/>
      </c>
      <c r="O23" s="566">
        <f>SUM(K23:M23)*1.1+N23</f>
        <v/>
      </c>
      <c r="P23" s="515">
        <f>($C$20/1.1)/$C$8</f>
        <v/>
      </c>
      <c r="Q23" s="516">
        <f>P23-R23-S23</f>
        <v/>
      </c>
      <c r="R23" s="517">
        <f>$C$12/$C$8</f>
        <v/>
      </c>
      <c r="S23" s="517">
        <f>$C$13/$C$8</f>
        <v/>
      </c>
      <c r="T23" s="515">
        <f>$C$14/$C$8</f>
        <v/>
      </c>
      <c r="U23" s="518">
        <f>P23*1.1+T23</f>
        <v/>
      </c>
      <c r="V23" s="515">
        <f>($C$41/1.1)/$C$8</f>
        <v/>
      </c>
      <c r="W23" s="516">
        <f>V23-X23-Y23</f>
        <v/>
      </c>
      <c r="X23" s="517">
        <f>L23</f>
        <v/>
      </c>
      <c r="Y23" s="517">
        <f>M23</f>
        <v/>
      </c>
      <c r="Z23" s="573">
        <f>N23</f>
        <v/>
      </c>
      <c r="AA23" s="518">
        <f>V23*1.1+Z23</f>
        <v/>
      </c>
    </row>
    <row r="24">
      <c r="A24" s="628" t="n"/>
      <c r="B24" s="9" t="inlineStr">
        <is>
          <t>(계산용) 선납금 반영 총 구독료 (V-)</t>
        </is>
      </c>
      <c r="C24" s="506">
        <f>C16-C23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62">
        <f>$C$17</f>
        <v/>
      </c>
      <c r="K24" s="571">
        <f>$C$15/$C$8</f>
        <v/>
      </c>
      <c r="L24" s="572">
        <f>$C$12/$C$8</f>
        <v/>
      </c>
      <c r="M24" s="572">
        <f>$C$13/$C$8</f>
        <v/>
      </c>
      <c r="N24" s="566">
        <f>$C$14/$C$8</f>
        <v/>
      </c>
      <c r="O24" s="566">
        <f>SUM(K24:M24)*1.1+N24</f>
        <v/>
      </c>
      <c r="P24" s="515">
        <f>($C$20/1.1)/$C$8</f>
        <v/>
      </c>
      <c r="Q24" s="516">
        <f>P24-R24-S24</f>
        <v/>
      </c>
      <c r="R24" s="517">
        <f>$C$12/$C$8</f>
        <v/>
      </c>
      <c r="S24" s="517">
        <f>$C$13/$C$8</f>
        <v/>
      </c>
      <c r="T24" s="515">
        <f>$C$14/$C$8</f>
        <v/>
      </c>
      <c r="U24" s="518">
        <f>P24*1.1+T24</f>
        <v/>
      </c>
      <c r="V24" s="515">
        <f>($C$41/1.1)/$C$8</f>
        <v/>
      </c>
      <c r="W24" s="516">
        <f>V24-X24-Y24</f>
        <v/>
      </c>
      <c r="X24" s="517">
        <f>L24</f>
        <v/>
      </c>
      <c r="Y24" s="517">
        <f>M24</f>
        <v/>
      </c>
      <c r="Z24" s="573">
        <f>N24</f>
        <v/>
      </c>
      <c r="AA24" s="518">
        <f>V24*1.1+Z24</f>
        <v/>
      </c>
    </row>
    <row r="25">
      <c r="A25" s="628" t="n"/>
      <c r="B25" s="9" t="inlineStr">
        <is>
          <t>(계산용) 선납금 반영 월 구독료(V-)</t>
        </is>
      </c>
      <c r="C25" s="506">
        <f>C24/C8</f>
        <v/>
      </c>
      <c r="F25" s="101" t="inlineStr">
        <is>
          <t>20회차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62">
        <f>$C$17</f>
        <v/>
      </c>
      <c r="K25" s="571">
        <f>$C$15/$C$8</f>
        <v/>
      </c>
      <c r="L25" s="572">
        <f>$C$12/$C$8</f>
        <v/>
      </c>
      <c r="M25" s="572">
        <f>$C$13/$C$8</f>
        <v/>
      </c>
      <c r="N25" s="566">
        <f>$C$14/$C$8</f>
        <v/>
      </c>
      <c r="O25" s="566">
        <f>SUM(K25:M25)*1.1+N25</f>
        <v/>
      </c>
      <c r="P25" s="515">
        <f>($C$20/1.1)/$C$8</f>
        <v/>
      </c>
      <c r="Q25" s="516">
        <f>P25-R25-S25</f>
        <v/>
      </c>
      <c r="R25" s="517">
        <f>$C$12/$C$8</f>
        <v/>
      </c>
      <c r="S25" s="517">
        <f>$C$13/$C$8</f>
        <v/>
      </c>
      <c r="T25" s="515">
        <f>$C$14/$C$8</f>
        <v/>
      </c>
      <c r="U25" s="518">
        <f>P25*1.1+T25</f>
        <v/>
      </c>
      <c r="V25" s="515">
        <f>($C$41/1.1)/$C$8</f>
        <v/>
      </c>
      <c r="W25" s="516">
        <f>V25-X25-Y25</f>
        <v/>
      </c>
      <c r="X25" s="517">
        <f>L25</f>
        <v/>
      </c>
      <c r="Y25" s="517">
        <f>M25</f>
        <v/>
      </c>
      <c r="Z25" s="573">
        <f>N25</f>
        <v/>
      </c>
      <c r="AA25" s="518">
        <f>V25*1.1+Z25</f>
        <v/>
      </c>
    </row>
    <row r="26">
      <c r="A26" s="628" t="n"/>
      <c r="B26" s="9" t="inlineStr">
        <is>
          <t>(최종) 선납금 반영 월 구독료 (V-)</t>
        </is>
      </c>
      <c r="C26" s="506">
        <f>ROUNDDOWN(C25,-2)</f>
        <v/>
      </c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62">
        <f>$C$17</f>
        <v/>
      </c>
      <c r="K26" s="571">
        <f>$C$15/$C$8</f>
        <v/>
      </c>
      <c r="L26" s="572">
        <f>$C$12/$C$8</f>
        <v/>
      </c>
      <c r="M26" s="572">
        <f>$C$13/$C$8</f>
        <v/>
      </c>
      <c r="N26" s="566">
        <f>$C$14/$C$8</f>
        <v/>
      </c>
      <c r="O26" s="566">
        <f>SUM(K26:M26)*1.1+N26</f>
        <v/>
      </c>
      <c r="P26" s="515">
        <f>($C$20/1.1)/$C$8</f>
        <v/>
      </c>
      <c r="Q26" s="516">
        <f>P26-R26-S26</f>
        <v/>
      </c>
      <c r="R26" s="517">
        <f>$C$12/$C$8</f>
        <v/>
      </c>
      <c r="S26" s="517">
        <f>$C$13/$C$8</f>
        <v/>
      </c>
      <c r="T26" s="515">
        <f>$C$14/$C$8</f>
        <v/>
      </c>
      <c r="U26" s="518">
        <f>P26*1.1+T26</f>
        <v/>
      </c>
      <c r="V26" s="515">
        <f>($C$41/1.1)/$C$8</f>
        <v/>
      </c>
      <c r="W26" s="516">
        <f>V26-X26-Y26</f>
        <v/>
      </c>
      <c r="X26" s="517">
        <f>L26</f>
        <v/>
      </c>
      <c r="Y26" s="517">
        <f>M26</f>
        <v/>
      </c>
      <c r="Z26" s="573">
        <f>N26</f>
        <v/>
      </c>
      <c r="AA26" s="518">
        <f>V26*1.1+Z26</f>
        <v/>
      </c>
    </row>
    <row r="27">
      <c r="A27" s="628" t="n"/>
      <c r="B27" s="9" t="inlineStr">
        <is>
          <t>(최종) 선납금 반영 총 구독료 (V-)</t>
        </is>
      </c>
      <c r="C27" s="506">
        <f>C26*C8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62">
        <f>$C$17</f>
        <v/>
      </c>
      <c r="K27" s="571">
        <f>$C$15/$C$8</f>
        <v/>
      </c>
      <c r="L27" s="572">
        <f>$C$12/$C$8</f>
        <v/>
      </c>
      <c r="M27" s="572">
        <f>$C$13/$C$8</f>
        <v/>
      </c>
      <c r="N27" s="566">
        <f>$C$14/$C$8</f>
        <v/>
      </c>
      <c r="O27" s="566">
        <f>SUM(K27:M27)*1.1+N27</f>
        <v/>
      </c>
      <c r="P27" s="515">
        <f>($C$20/1.1)/$C$8</f>
        <v/>
      </c>
      <c r="Q27" s="516">
        <f>P27-R27-S27</f>
        <v/>
      </c>
      <c r="R27" s="517">
        <f>$C$12/$C$8</f>
        <v/>
      </c>
      <c r="S27" s="517">
        <f>$C$13/$C$8</f>
        <v/>
      </c>
      <c r="T27" s="515">
        <f>$C$14/$C$8</f>
        <v/>
      </c>
      <c r="U27" s="518">
        <f>P27*1.1+T27</f>
        <v/>
      </c>
      <c r="V27" s="515">
        <f>($C$41/1.1)/$C$8</f>
        <v/>
      </c>
      <c r="W27" s="516">
        <f>V27-X27-Y27</f>
        <v/>
      </c>
      <c r="X27" s="517">
        <f>L27</f>
        <v/>
      </c>
      <c r="Y27" s="517">
        <f>M27</f>
        <v/>
      </c>
      <c r="Z27" s="573">
        <f>N27</f>
        <v/>
      </c>
      <c r="AA27" s="518">
        <f>V27*1.1+Z27</f>
        <v/>
      </c>
    </row>
    <row r="28">
      <c r="A28" s="628" t="n"/>
      <c r="B28" s="63" t="inlineStr">
        <is>
          <t>(최종) 선납금 (V-)</t>
        </is>
      </c>
      <c r="C28" s="649">
        <f>C16-C27</f>
        <v/>
      </c>
      <c r="D28" s="505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62">
        <f>$C$17</f>
        <v/>
      </c>
      <c r="K28" s="571">
        <f>$C$15/$C$8</f>
        <v/>
      </c>
      <c r="L28" s="572">
        <f>$C$12/$C$8</f>
        <v/>
      </c>
      <c r="M28" s="572">
        <f>$C$13/$C$8</f>
        <v/>
      </c>
      <c r="N28" s="566">
        <f>$C$14/$C$8</f>
        <v/>
      </c>
      <c r="O28" s="566">
        <f>SUM(K28:M28)*1.1+N28</f>
        <v/>
      </c>
      <c r="P28" s="515">
        <f>($C$20/1.1)/$C$8</f>
        <v/>
      </c>
      <c r="Q28" s="516">
        <f>P28-R28-S28</f>
        <v/>
      </c>
      <c r="R28" s="517">
        <f>$C$12/$C$8</f>
        <v/>
      </c>
      <c r="S28" s="517">
        <f>$C$13/$C$8</f>
        <v/>
      </c>
      <c r="T28" s="515">
        <f>$C$14/$C$8</f>
        <v/>
      </c>
      <c r="U28" s="518">
        <f>P28*1.1+T28</f>
        <v/>
      </c>
      <c r="V28" s="515">
        <f>($C$41/1.1)/$C$8</f>
        <v/>
      </c>
      <c r="W28" s="516">
        <f>V28-X28-Y28</f>
        <v/>
      </c>
      <c r="X28" s="517">
        <f>L28</f>
        <v/>
      </c>
      <c r="Y28" s="517">
        <f>M28</f>
        <v/>
      </c>
      <c r="Z28" s="573">
        <f>N28</f>
        <v/>
      </c>
      <c r="AA28" s="518">
        <f>V28*1.1+Z28</f>
        <v/>
      </c>
    </row>
    <row r="29">
      <c r="B29" s="170" t="inlineStr">
        <is>
          <t>(계산용) 선납 할인금 (V-) (총구독료 v+기준)</t>
        </is>
      </c>
      <c r="C29" s="650">
        <f>C18*4%/1.1</f>
        <v/>
      </c>
      <c r="D29" s="500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62">
        <f>$C$17</f>
        <v/>
      </c>
      <c r="K29" s="571">
        <f>$C$15/$C$8</f>
        <v/>
      </c>
      <c r="L29" s="572">
        <f>$C$12/$C$8</f>
        <v/>
      </c>
      <c r="M29" s="572">
        <f>$C$13/$C$8</f>
        <v/>
      </c>
      <c r="N29" s="566">
        <f>$C$14/$C$8</f>
        <v/>
      </c>
      <c r="O29" s="566">
        <f>SUM(K29:M29)*1.1+N29</f>
        <v/>
      </c>
      <c r="P29" s="515">
        <f>($C$20/1.1)/$C$8</f>
        <v/>
      </c>
      <c r="Q29" s="516">
        <f>P29-R29-S29</f>
        <v/>
      </c>
      <c r="R29" s="517">
        <f>$C$12/$C$8</f>
        <v/>
      </c>
      <c r="S29" s="517">
        <f>$C$13/$C$8</f>
        <v/>
      </c>
      <c r="T29" s="515">
        <f>$C$14/$C$8</f>
        <v/>
      </c>
      <c r="U29" s="518">
        <f>P29*1.1+T29</f>
        <v/>
      </c>
      <c r="V29" s="515">
        <f>($C$41/1.1)/$C$8</f>
        <v/>
      </c>
      <c r="W29" s="516">
        <f>V29-X29-Y29</f>
        <v/>
      </c>
      <c r="X29" s="517">
        <f>L29</f>
        <v/>
      </c>
      <c r="Y29" s="517">
        <f>M29</f>
        <v/>
      </c>
      <c r="Z29" s="573">
        <f>N29</f>
        <v/>
      </c>
      <c r="AA29" s="518">
        <f>V29*1.1+Z29</f>
        <v/>
      </c>
    </row>
    <row r="30">
      <c r="B30" s="9" t="inlineStr">
        <is>
          <t>(계산용) 선납 할인금 월할 (V-)</t>
        </is>
      </c>
      <c r="C30" s="506">
        <f>C29/C8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62">
        <f>$C$17</f>
        <v/>
      </c>
      <c r="K30" s="571">
        <f>$C$15/$C$8</f>
        <v/>
      </c>
      <c r="L30" s="572">
        <f>$C$12/$C$8</f>
        <v/>
      </c>
      <c r="M30" s="572">
        <f>$C$13/$C$8</f>
        <v/>
      </c>
      <c r="N30" s="566">
        <f>$C$14/$C$8</f>
        <v/>
      </c>
      <c r="O30" s="566">
        <f>SUM(K30:M30)*1.1+N30</f>
        <v/>
      </c>
      <c r="P30" s="515">
        <f>($C$20/1.1)/$C$8</f>
        <v/>
      </c>
      <c r="Q30" s="516">
        <f>P30-R30-S30</f>
        <v/>
      </c>
      <c r="R30" s="517">
        <f>$C$12/$C$8</f>
        <v/>
      </c>
      <c r="S30" s="517">
        <f>$C$13/$C$8</f>
        <v/>
      </c>
      <c r="T30" s="515">
        <f>$C$14/$C$8</f>
        <v/>
      </c>
      <c r="U30" s="518">
        <f>P30*1.1+T30</f>
        <v/>
      </c>
      <c r="V30" s="515">
        <f>($C$41/1.1)/$C$8</f>
        <v/>
      </c>
      <c r="W30" s="516">
        <f>V30-X30-Y30</f>
        <v/>
      </c>
      <c r="X30" s="517">
        <f>L30</f>
        <v/>
      </c>
      <c r="Y30" s="517">
        <f>M30</f>
        <v/>
      </c>
      <c r="Z30" s="573">
        <f>N30</f>
        <v/>
      </c>
      <c r="AA30" s="518">
        <f>V30*1.1+Z30</f>
        <v/>
      </c>
    </row>
    <row r="31">
      <c r="B31" s="9" t="inlineStr">
        <is>
          <t>(계산용) 선납 할인금 월할 보정 (V-)</t>
        </is>
      </c>
      <c r="C31" s="506">
        <f>ROUNDUP(C30,-2)</f>
        <v/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62">
        <f>$C$17</f>
        <v/>
      </c>
      <c r="K31" s="571">
        <f>$C$15/$C$8</f>
        <v/>
      </c>
      <c r="L31" s="572">
        <f>$C$12/$C$8</f>
        <v/>
      </c>
      <c r="M31" s="572">
        <f>$C$13/$C$8</f>
        <v/>
      </c>
      <c r="N31" s="566">
        <f>$C$14/$C$8</f>
        <v/>
      </c>
      <c r="O31" s="566">
        <f>SUM(K31:M31)*1.1+N31</f>
        <v/>
      </c>
      <c r="P31" s="515">
        <f>($C$20/1.1)/$C$8</f>
        <v/>
      </c>
      <c r="Q31" s="516">
        <f>P31-R31-S31</f>
        <v/>
      </c>
      <c r="R31" s="517">
        <f>$C$12/$C$8</f>
        <v/>
      </c>
      <c r="S31" s="517">
        <f>$C$13/$C$8</f>
        <v/>
      </c>
      <c r="T31" s="515">
        <f>$C$14/$C$8</f>
        <v/>
      </c>
      <c r="U31" s="518">
        <f>P31*1.1+T31</f>
        <v/>
      </c>
      <c r="V31" s="515">
        <f>($C$41/1.1)/$C$8</f>
        <v/>
      </c>
      <c r="W31" s="516">
        <f>V31-X31-Y31</f>
        <v/>
      </c>
      <c r="X31" s="517">
        <f>L31</f>
        <v/>
      </c>
      <c r="Y31" s="517">
        <f>M31</f>
        <v/>
      </c>
      <c r="Z31" s="573">
        <f>N31</f>
        <v/>
      </c>
      <c r="AA31" s="518">
        <f>V31*1.1+Z31</f>
        <v/>
      </c>
    </row>
    <row r="32">
      <c r="B32" s="63" t="inlineStr">
        <is>
          <t>(최종) 선납 할인금 (V-)</t>
        </is>
      </c>
      <c r="C32" s="649">
        <f>C31*C8</f>
        <v/>
      </c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62">
        <f>$C$17</f>
        <v/>
      </c>
      <c r="K32" s="571">
        <f>$C$15/$C$8</f>
        <v/>
      </c>
      <c r="L32" s="572">
        <f>$C$12/$C$8</f>
        <v/>
      </c>
      <c r="M32" s="572">
        <f>$C$13/$C$8</f>
        <v/>
      </c>
      <c r="N32" s="566">
        <f>$C$14/$C$8</f>
        <v/>
      </c>
      <c r="O32" s="566">
        <f>SUM(K32:M32)*1.1+N32</f>
        <v/>
      </c>
      <c r="P32" s="515">
        <f>($C$20/1.1)/$C$8</f>
        <v/>
      </c>
      <c r="Q32" s="516">
        <f>P32-R32-S32</f>
        <v/>
      </c>
      <c r="R32" s="517">
        <f>$C$12/$C$8</f>
        <v/>
      </c>
      <c r="S32" s="517">
        <f>$C$13/$C$8</f>
        <v/>
      </c>
      <c r="T32" s="515">
        <f>$C$14/$C$8</f>
        <v/>
      </c>
      <c r="U32" s="518">
        <f>P32*1.1+T32</f>
        <v/>
      </c>
      <c r="V32" s="515">
        <f>($C$41/1.1)/$C$8</f>
        <v/>
      </c>
      <c r="W32" s="516">
        <f>V32-X32-Y32</f>
        <v/>
      </c>
      <c r="X32" s="517">
        <f>L32</f>
        <v/>
      </c>
      <c r="Y32" s="517">
        <f>M32</f>
        <v/>
      </c>
      <c r="Z32" s="573">
        <f>N32</f>
        <v/>
      </c>
      <c r="AA32" s="518">
        <f>V32*1.1+Z32</f>
        <v/>
      </c>
    </row>
    <row r="33">
      <c r="B33" s="9" t="inlineStr">
        <is>
          <t>(최종) 선납 할인금 (V+)</t>
        </is>
      </c>
      <c r="C33" s="506">
        <f>C32*1.1</f>
        <v/>
      </c>
      <c r="D33" s="505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62">
        <f>$C$17</f>
        <v/>
      </c>
      <c r="K33" s="571">
        <f>$C$15/$C$8</f>
        <v/>
      </c>
      <c r="L33" s="572">
        <f>$C$12/$C$8</f>
        <v/>
      </c>
      <c r="M33" s="572">
        <f>$C$13/$C$8</f>
        <v/>
      </c>
      <c r="N33" s="566">
        <f>$C$14/$C$8</f>
        <v/>
      </c>
      <c r="O33" s="566">
        <f>SUM(K33:M33)*1.1+N33</f>
        <v/>
      </c>
      <c r="P33" s="515">
        <f>($C$20/1.1)/$C$8</f>
        <v/>
      </c>
      <c r="Q33" s="516">
        <f>P33-R33-S33</f>
        <v/>
      </c>
      <c r="R33" s="517">
        <f>$C$12/$C$8</f>
        <v/>
      </c>
      <c r="S33" s="517">
        <f>$C$13/$C$8</f>
        <v/>
      </c>
      <c r="T33" s="515">
        <f>$C$14/$C$8</f>
        <v/>
      </c>
      <c r="U33" s="518">
        <f>P33*1.1+T33</f>
        <v/>
      </c>
      <c r="V33" s="515">
        <f>($C$41/1.1)/$C$8</f>
        <v/>
      </c>
      <c r="W33" s="516">
        <f>V33-X33-Y33</f>
        <v/>
      </c>
      <c r="X33" s="517">
        <f>L33</f>
        <v/>
      </c>
      <c r="Y33" s="517">
        <f>M33</f>
        <v/>
      </c>
      <c r="Z33" s="573">
        <f>N33</f>
        <v/>
      </c>
      <c r="AA33" s="518">
        <f>V33*1.1+Z33</f>
        <v/>
      </c>
    </row>
    <row r="34">
      <c r="B34" s="182" t="inlineStr">
        <is>
          <t>(최종) 선납금+선납 할인 반영 월 구독료 (V-)</t>
        </is>
      </c>
      <c r="C34" s="651">
        <f>((C15-C28-C32)+C13+C14)/48</f>
        <v/>
      </c>
      <c r="D34" s="539" t="n"/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62">
        <f>$C$17</f>
        <v/>
      </c>
      <c r="K34" s="571">
        <f>$C$15/$C$8</f>
        <v/>
      </c>
      <c r="L34" s="572">
        <f>$C$12/$C$8</f>
        <v/>
      </c>
      <c r="M34" s="572">
        <f>$C$13/$C$8</f>
        <v/>
      </c>
      <c r="N34" s="566">
        <f>$C$14/$C$8</f>
        <v/>
      </c>
      <c r="O34" s="566">
        <f>SUM(K34:M34)*1.1+N34</f>
        <v/>
      </c>
      <c r="P34" s="515">
        <f>($C$20/1.1)/$C$8</f>
        <v/>
      </c>
      <c r="Q34" s="516">
        <f>P34-R34-S34</f>
        <v/>
      </c>
      <c r="R34" s="517">
        <f>$C$12/$C$8</f>
        <v/>
      </c>
      <c r="S34" s="517">
        <f>$C$13/$C$8</f>
        <v/>
      </c>
      <c r="T34" s="515">
        <f>$C$14/$C$8</f>
        <v/>
      </c>
      <c r="U34" s="518">
        <f>P34*1.1+T34</f>
        <v/>
      </c>
      <c r="V34" s="515">
        <f>($C$41/1.1)/$C$8</f>
        <v/>
      </c>
      <c r="W34" s="516">
        <f>V34-X34-Y34</f>
        <v/>
      </c>
      <c r="X34" s="517">
        <f>L34</f>
        <v/>
      </c>
      <c r="Y34" s="517">
        <f>M34</f>
        <v/>
      </c>
      <c r="Z34" s="573">
        <f>N34</f>
        <v/>
      </c>
      <c r="AA34" s="518">
        <f>V34*1.1+Z34</f>
        <v/>
      </c>
    </row>
    <row r="35">
      <c r="B35" s="182" t="inlineStr">
        <is>
          <t>(최종) 선납금+선납 할인 반영 총 구독료 (V-)</t>
        </is>
      </c>
      <c r="C35" s="651">
        <f>C34*C8</f>
        <v/>
      </c>
      <c r="D35" s="539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62">
        <f>$C$17</f>
        <v/>
      </c>
      <c r="K35" s="571">
        <f>$C$15/$C$8</f>
        <v/>
      </c>
      <c r="L35" s="572">
        <f>$C$12/$C$8</f>
        <v/>
      </c>
      <c r="M35" s="572">
        <f>$C$13/$C$8</f>
        <v/>
      </c>
      <c r="N35" s="566">
        <f>$C$14/$C$8</f>
        <v/>
      </c>
      <c r="O35" s="566">
        <f>SUM(K35:M35)*1.1+N35</f>
        <v/>
      </c>
      <c r="P35" s="515">
        <f>($C$20/1.1)/$C$8</f>
        <v/>
      </c>
      <c r="Q35" s="516">
        <f>P35-R35-S35</f>
        <v/>
      </c>
      <c r="R35" s="517">
        <f>$C$12/$C$8</f>
        <v/>
      </c>
      <c r="S35" s="517">
        <f>$C$13/$C$8</f>
        <v/>
      </c>
      <c r="T35" s="515">
        <f>$C$14/$C$8</f>
        <v/>
      </c>
      <c r="U35" s="518">
        <f>P35*1.1+T35</f>
        <v/>
      </c>
      <c r="V35" s="515">
        <f>($C$41/1.1)/$C$8</f>
        <v/>
      </c>
      <c r="W35" s="516">
        <f>V35-X35-Y35</f>
        <v/>
      </c>
      <c r="X35" s="517">
        <f>L35</f>
        <v/>
      </c>
      <c r="Y35" s="517">
        <f>M35</f>
        <v/>
      </c>
      <c r="Z35" s="573">
        <f>N35</f>
        <v/>
      </c>
      <c r="AA35" s="518">
        <f>V35*1.1+Z35</f>
        <v/>
      </c>
    </row>
    <row r="36">
      <c r="B36" s="182" t="inlineStr">
        <is>
          <t>(최종) 선납금+선납 할인 반영 월 구독료 (V+)</t>
        </is>
      </c>
      <c r="C36" s="651">
        <f>((C15-C28-C32)*1.1+C13*1.1+C14)/48</f>
        <v/>
      </c>
      <c r="D36" s="517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62">
        <f>$C$17</f>
        <v/>
      </c>
      <c r="K36" s="571">
        <f>$C$15/$C$8</f>
        <v/>
      </c>
      <c r="L36" s="572">
        <f>$C$12/$C$8</f>
        <v/>
      </c>
      <c r="M36" s="572">
        <f>$C$13/$C$8</f>
        <v/>
      </c>
      <c r="N36" s="566">
        <f>$C$14/$C$8</f>
        <v/>
      </c>
      <c r="O36" s="566">
        <f>SUM(K36:M36)*1.1+N36</f>
        <v/>
      </c>
      <c r="P36" s="515">
        <f>($C$20/1.1)/$C$8</f>
        <v/>
      </c>
      <c r="Q36" s="516">
        <f>P36-R36-S36</f>
        <v/>
      </c>
      <c r="R36" s="517">
        <f>$C$12/$C$8</f>
        <v/>
      </c>
      <c r="S36" s="517">
        <f>$C$13/$C$8</f>
        <v/>
      </c>
      <c r="T36" s="515">
        <f>$C$14/$C$8</f>
        <v/>
      </c>
      <c r="U36" s="518">
        <f>P36*1.1+T36</f>
        <v/>
      </c>
      <c r="V36" s="515">
        <f>($C$41/1.1)/$C$8</f>
        <v/>
      </c>
      <c r="W36" s="516">
        <f>V36-X36-Y36</f>
        <v/>
      </c>
      <c r="X36" s="517">
        <f>L36</f>
        <v/>
      </c>
      <c r="Y36" s="517">
        <f>M36</f>
        <v/>
      </c>
      <c r="Z36" s="573">
        <f>N36</f>
        <v/>
      </c>
      <c r="AA36" s="518">
        <f>V36*1.1+Z36</f>
        <v/>
      </c>
    </row>
    <row r="37">
      <c r="B37" s="182" t="inlineStr">
        <is>
          <t>(최종) 선납금+선납 할인 반영 총 구독료 (V+)</t>
        </is>
      </c>
      <c r="C37" s="651">
        <f>C36*C8</f>
        <v/>
      </c>
      <c r="D37" s="505">
        <f>(C15-C28-C32+C13)*1.1+C14</f>
        <v/>
      </c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62">
        <f>$C$17</f>
        <v/>
      </c>
      <c r="K37" s="571">
        <f>$C$15/$C$8</f>
        <v/>
      </c>
      <c r="L37" s="572">
        <f>$C$12/$C$8</f>
        <v/>
      </c>
      <c r="M37" s="572">
        <f>$C$13/$C$8</f>
        <v/>
      </c>
      <c r="N37" s="566">
        <f>$C$14/$C$8</f>
        <v/>
      </c>
      <c r="O37" s="566">
        <f>SUM(K37:M37)*1.1+N37</f>
        <v/>
      </c>
      <c r="P37" s="515">
        <f>($C$20/1.1)/$C$8</f>
        <v/>
      </c>
      <c r="Q37" s="516">
        <f>P37-R37-S37</f>
        <v/>
      </c>
      <c r="R37" s="517">
        <f>$C$12/$C$8</f>
        <v/>
      </c>
      <c r="S37" s="517">
        <f>$C$13/$C$8</f>
        <v/>
      </c>
      <c r="T37" s="515">
        <f>$C$14/$C$8</f>
        <v/>
      </c>
      <c r="U37" s="518">
        <f>P37*1.1+T37</f>
        <v/>
      </c>
      <c r="V37" s="515">
        <f>($C$41/1.1)/$C$8</f>
        <v/>
      </c>
      <c r="W37" s="516">
        <f>V37-X37-Y37</f>
        <v/>
      </c>
      <c r="X37" s="517">
        <f>L37</f>
        <v/>
      </c>
      <c r="Y37" s="517">
        <f>M37</f>
        <v/>
      </c>
      <c r="Z37" s="573">
        <f>N37</f>
        <v/>
      </c>
      <c r="AA37" s="518">
        <f>V37*1.1+Z37</f>
        <v/>
      </c>
    </row>
    <row r="38">
      <c r="C38" s="505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62">
        <f>$C$17</f>
        <v/>
      </c>
      <c r="K38" s="571">
        <f>$C$15/$C$8</f>
        <v/>
      </c>
      <c r="L38" s="572">
        <f>$C$12/$C$8</f>
        <v/>
      </c>
      <c r="M38" s="572">
        <f>$C$13/$C$8</f>
        <v/>
      </c>
      <c r="N38" s="566">
        <f>$C$14/$C$8</f>
        <v/>
      </c>
      <c r="O38" s="566">
        <f>SUM(K38:M38)*1.1+N38</f>
        <v/>
      </c>
      <c r="P38" s="515">
        <f>($C$20/1.1)/$C$8</f>
        <v/>
      </c>
      <c r="Q38" s="516">
        <f>P38-R38-S38</f>
        <v/>
      </c>
      <c r="R38" s="517">
        <f>$C$12/$C$8</f>
        <v/>
      </c>
      <c r="S38" s="517">
        <f>$C$13/$C$8</f>
        <v/>
      </c>
      <c r="T38" s="515">
        <f>$C$14/$C$8</f>
        <v/>
      </c>
      <c r="U38" s="518">
        <f>P38*1.1+T38</f>
        <v/>
      </c>
      <c r="V38" s="515">
        <f>($C$41/1.1)/$C$8</f>
        <v/>
      </c>
      <c r="W38" s="516">
        <f>V38-X38-Y38</f>
        <v/>
      </c>
      <c r="X38" s="517">
        <f>L38</f>
        <v/>
      </c>
      <c r="Y38" s="517">
        <f>M38</f>
        <v/>
      </c>
      <c r="Z38" s="573">
        <f>N38</f>
        <v/>
      </c>
      <c r="AA38" s="518">
        <f>V38*1.1+Z38</f>
        <v/>
      </c>
    </row>
    <row r="39">
      <c r="B39" s="9" t="inlineStr">
        <is>
          <t>선납금+선납 할인 반영 순수 구독료 (V-)</t>
        </is>
      </c>
      <c r="C39" s="506">
        <f>C35-C12-C13-C14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62">
        <f>$C$17</f>
        <v/>
      </c>
      <c r="K39" s="571">
        <f>$C$15/$C$8</f>
        <v/>
      </c>
      <c r="L39" s="572">
        <f>$C$12/$C$8</f>
        <v/>
      </c>
      <c r="M39" s="572">
        <f>$C$13/$C$8</f>
        <v/>
      </c>
      <c r="N39" s="566">
        <f>$C$14/$C$8</f>
        <v/>
      </c>
      <c r="O39" s="566">
        <f>SUM(K39:M39)*1.1+N39</f>
        <v/>
      </c>
      <c r="P39" s="515">
        <f>($C$20/1.1)/$C$8</f>
        <v/>
      </c>
      <c r="Q39" s="516">
        <f>P39-R39-S39</f>
        <v/>
      </c>
      <c r="R39" s="517">
        <f>$C$12/$C$8</f>
        <v/>
      </c>
      <c r="S39" s="517">
        <f>$C$13/$C$8</f>
        <v/>
      </c>
      <c r="T39" s="515">
        <f>$C$14/$C$8</f>
        <v/>
      </c>
      <c r="U39" s="518">
        <f>P39*1.1+T39</f>
        <v/>
      </c>
      <c r="V39" s="515">
        <f>($C$41/1.1)/$C$8</f>
        <v/>
      </c>
      <c r="W39" s="516">
        <f>V39-X39-Y39</f>
        <v/>
      </c>
      <c r="X39" s="517">
        <f>L39</f>
        <v/>
      </c>
      <c r="Y39" s="517">
        <f>M39</f>
        <v/>
      </c>
      <c r="Z39" s="573">
        <f>N39</f>
        <v/>
      </c>
      <c r="AA39" s="518">
        <f>V39*1.1+Z39</f>
        <v/>
      </c>
    </row>
    <row r="40">
      <c r="B40" s="9" t="inlineStr">
        <is>
          <t>선납금+선납 할인 반영 순수 구독료 월할 (V-)</t>
        </is>
      </c>
      <c r="C40" s="506">
        <f>C39/C8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62">
        <f>$C$17</f>
        <v/>
      </c>
      <c r="K40" s="571">
        <f>$C$15/$C$8</f>
        <v/>
      </c>
      <c r="L40" s="572">
        <f>$C$12/$C$8</f>
        <v/>
      </c>
      <c r="M40" s="572">
        <f>$C$13/$C$8</f>
        <v/>
      </c>
      <c r="N40" s="566">
        <f>$C$14/$C$8</f>
        <v/>
      </c>
      <c r="O40" s="566">
        <f>SUM(K40:M40)*1.1+N40</f>
        <v/>
      </c>
      <c r="P40" s="515">
        <f>($C$20/1.1)/$C$8</f>
        <v/>
      </c>
      <c r="Q40" s="516">
        <f>P40-R40-S40</f>
        <v/>
      </c>
      <c r="R40" s="517">
        <f>$C$12/$C$8</f>
        <v/>
      </c>
      <c r="S40" s="517">
        <f>$C$13/$C$8</f>
        <v/>
      </c>
      <c r="T40" s="515">
        <f>$C$14/$C$8</f>
        <v/>
      </c>
      <c r="U40" s="518">
        <f>P40*1.1+T40</f>
        <v/>
      </c>
      <c r="V40" s="515">
        <f>($C$41/1.1)/$C$8</f>
        <v/>
      </c>
      <c r="W40" s="516">
        <f>V40-X40-Y40</f>
        <v/>
      </c>
      <c r="X40" s="517">
        <f>L40</f>
        <v/>
      </c>
      <c r="Y40" s="517">
        <f>M40</f>
        <v/>
      </c>
      <c r="Z40" s="573">
        <f>N40</f>
        <v/>
      </c>
      <c r="AA40" s="518">
        <f>V40*1.1+Z40</f>
        <v/>
      </c>
    </row>
    <row r="41">
      <c r="B41" s="250" t="inlineStr">
        <is>
          <t>선납금+선납 할인 반영 파손제외 구독료 (v+)</t>
        </is>
      </c>
      <c r="C41" s="527">
        <f>C37-C14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62">
        <f>$C$17</f>
        <v/>
      </c>
      <c r="K41" s="571">
        <f>$C$15/$C$8</f>
        <v/>
      </c>
      <c r="L41" s="572">
        <f>$C$12/$C$8</f>
        <v/>
      </c>
      <c r="M41" s="572">
        <f>$C$13/$C$8</f>
        <v/>
      </c>
      <c r="N41" s="566">
        <f>$C$14/$C$8</f>
        <v/>
      </c>
      <c r="O41" s="566">
        <f>SUM(K41:M41)*1.1+N41</f>
        <v/>
      </c>
      <c r="P41" s="515">
        <f>($C$20/1.1)/$C$8</f>
        <v/>
      </c>
      <c r="Q41" s="516">
        <f>P41-R41-S41</f>
        <v/>
      </c>
      <c r="R41" s="517">
        <f>$C$12/$C$8</f>
        <v/>
      </c>
      <c r="S41" s="517">
        <f>$C$13/$C$8</f>
        <v/>
      </c>
      <c r="T41" s="515">
        <f>$C$14/$C$8</f>
        <v/>
      </c>
      <c r="U41" s="518">
        <f>P41*1.1+T41</f>
        <v/>
      </c>
      <c r="V41" s="515">
        <f>($C$41/1.1)/$C$8</f>
        <v/>
      </c>
      <c r="W41" s="516">
        <f>V41-X41-Y41</f>
        <v/>
      </c>
      <c r="X41" s="517">
        <f>L41</f>
        <v/>
      </c>
      <c r="Y41" s="517">
        <f>M41</f>
        <v/>
      </c>
      <c r="Z41" s="573">
        <f>N41</f>
        <v/>
      </c>
      <c r="AA41" s="518">
        <f>V41*1.1+Z41</f>
        <v/>
      </c>
    </row>
    <row r="42">
      <c r="C42" s="505" t="n"/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62">
        <f>$C$17</f>
        <v/>
      </c>
      <c r="K42" s="571">
        <f>$C$15/$C$8</f>
        <v/>
      </c>
      <c r="L42" s="572">
        <f>$C$12/$C$8</f>
        <v/>
      </c>
      <c r="M42" s="572">
        <f>$C$13/$C$8</f>
        <v/>
      </c>
      <c r="N42" s="566">
        <f>$C$14/$C$8</f>
        <v/>
      </c>
      <c r="O42" s="566">
        <f>SUM(K42:M42)*1.1+N42</f>
        <v/>
      </c>
      <c r="P42" s="515">
        <f>($C$20/1.1)/$C$8</f>
        <v/>
      </c>
      <c r="Q42" s="516">
        <f>P42-R42-S42</f>
        <v/>
      </c>
      <c r="R42" s="517">
        <f>$C$12/$C$8</f>
        <v/>
      </c>
      <c r="S42" s="517">
        <f>$C$13/$C$8</f>
        <v/>
      </c>
      <c r="T42" s="515">
        <f>$C$14/$C$8</f>
        <v/>
      </c>
      <c r="U42" s="518">
        <f>P42*1.1+T42</f>
        <v/>
      </c>
      <c r="V42" s="515">
        <f>($C$41/1.1)/$C$8</f>
        <v/>
      </c>
      <c r="W42" s="516">
        <f>V42-X42-Y42</f>
        <v/>
      </c>
      <c r="X42" s="517">
        <f>L42</f>
        <v/>
      </c>
      <c r="Y42" s="517">
        <f>M42</f>
        <v/>
      </c>
      <c r="Z42" s="573">
        <f>N42</f>
        <v/>
      </c>
      <c r="AA42" s="518">
        <f>V42*1.1+Z42</f>
        <v/>
      </c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62">
        <f>$C$17</f>
        <v/>
      </c>
      <c r="K43" s="571">
        <f>$C$15/$C$8</f>
        <v/>
      </c>
      <c r="L43" s="572">
        <f>$C$12/$C$8</f>
        <v/>
      </c>
      <c r="M43" s="572">
        <f>$C$13/$C$8</f>
        <v/>
      </c>
      <c r="N43" s="566">
        <f>$C$14/$C$8</f>
        <v/>
      </c>
      <c r="O43" s="566">
        <f>SUM(K43:M43)*1.1+N43</f>
        <v/>
      </c>
      <c r="P43" s="515">
        <f>($C$20/1.1)/$C$8</f>
        <v/>
      </c>
      <c r="Q43" s="516">
        <f>P43-R43-S43</f>
        <v/>
      </c>
      <c r="R43" s="517">
        <f>$C$12/$C$8</f>
        <v/>
      </c>
      <c r="S43" s="517">
        <f>$C$13/$C$8</f>
        <v/>
      </c>
      <c r="T43" s="515">
        <f>$C$14/$C$8</f>
        <v/>
      </c>
      <c r="U43" s="518">
        <f>P43*1.1+T43</f>
        <v/>
      </c>
      <c r="V43" s="515">
        <f>($C$41/1.1)/$C$8</f>
        <v/>
      </c>
      <c r="W43" s="516">
        <f>V43-X43-Y43</f>
        <v/>
      </c>
      <c r="X43" s="517">
        <f>L43</f>
        <v/>
      </c>
      <c r="Y43" s="517">
        <f>M43</f>
        <v/>
      </c>
      <c r="Z43" s="573">
        <f>N43</f>
        <v/>
      </c>
      <c r="AA43" s="518">
        <f>V43*1.1+Z43</f>
        <v/>
      </c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62">
        <f>$C$17</f>
        <v/>
      </c>
      <c r="K44" s="571">
        <f>$C$15/$C$8</f>
        <v/>
      </c>
      <c r="L44" s="572">
        <f>$C$12/$C$8</f>
        <v/>
      </c>
      <c r="M44" s="572">
        <f>$C$13/$C$8</f>
        <v/>
      </c>
      <c r="N44" s="566">
        <f>$C$14/$C$8</f>
        <v/>
      </c>
      <c r="O44" s="566">
        <f>SUM(K44:M44)*1.1+N44</f>
        <v/>
      </c>
      <c r="P44" s="515">
        <f>($C$20/1.1)/$C$8</f>
        <v/>
      </c>
      <c r="Q44" s="516">
        <f>P44-R44-S44</f>
        <v/>
      </c>
      <c r="R44" s="517">
        <f>$C$12/$C$8</f>
        <v/>
      </c>
      <c r="S44" s="517">
        <f>$C$13/$C$8</f>
        <v/>
      </c>
      <c r="T44" s="515">
        <f>$C$14/$C$8</f>
        <v/>
      </c>
      <c r="U44" s="518">
        <f>P44*1.1+T44</f>
        <v/>
      </c>
      <c r="V44" s="515">
        <f>($C$41/1.1)/$C$8</f>
        <v/>
      </c>
      <c r="W44" s="516">
        <f>V44-X44-Y44</f>
        <v/>
      </c>
      <c r="X44" s="517">
        <f>L44</f>
        <v/>
      </c>
      <c r="Y44" s="517">
        <f>M44</f>
        <v/>
      </c>
      <c r="Z44" s="573">
        <f>N44</f>
        <v/>
      </c>
      <c r="AA44" s="518">
        <f>V44*1.1+Z44</f>
        <v/>
      </c>
    </row>
    <row r="45">
      <c r="C45" s="505" t="n"/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62">
        <f>$C$17</f>
        <v/>
      </c>
      <c r="K45" s="571">
        <f>$C$15/$C$8</f>
        <v/>
      </c>
      <c r="L45" s="572">
        <f>$C$12/$C$8</f>
        <v/>
      </c>
      <c r="M45" s="572">
        <f>$C$13/$C$8</f>
        <v/>
      </c>
      <c r="N45" s="566">
        <f>$C$14/$C$8</f>
        <v/>
      </c>
      <c r="O45" s="566">
        <f>SUM(K45:M45)*1.1+N45</f>
        <v/>
      </c>
      <c r="P45" s="515">
        <f>($C$20/1.1)/$C$8</f>
        <v/>
      </c>
      <c r="Q45" s="516">
        <f>P45-R45-S45</f>
        <v/>
      </c>
      <c r="R45" s="517">
        <f>$C$12/$C$8</f>
        <v/>
      </c>
      <c r="S45" s="517">
        <f>$C$13/$C$8</f>
        <v/>
      </c>
      <c r="T45" s="515">
        <f>$C$14/$C$8</f>
        <v/>
      </c>
      <c r="U45" s="518">
        <f>P45*1.1+T45</f>
        <v/>
      </c>
      <c r="V45" s="515">
        <f>($C$41/1.1)/$C$8</f>
        <v/>
      </c>
      <c r="W45" s="516">
        <f>V45-X45-Y45</f>
        <v/>
      </c>
      <c r="X45" s="517">
        <f>L45</f>
        <v/>
      </c>
      <c r="Y45" s="517">
        <f>M45</f>
        <v/>
      </c>
      <c r="Z45" s="573">
        <f>N45</f>
        <v/>
      </c>
      <c r="AA45" s="518">
        <f>V45*1.1+Z45</f>
        <v/>
      </c>
    </row>
    <row r="46">
      <c r="C46" s="505" t="n"/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62">
        <f>$C$17</f>
        <v/>
      </c>
      <c r="K46" s="571">
        <f>$C$15/$C$8</f>
        <v/>
      </c>
      <c r="L46" s="572">
        <f>$C$12/$C$8</f>
        <v/>
      </c>
      <c r="M46" s="572">
        <f>$C$13/$C$8</f>
        <v/>
      </c>
      <c r="N46" s="566">
        <f>$C$14/$C$8</f>
        <v/>
      </c>
      <c r="O46" s="566">
        <f>SUM(K46:M46)*1.1+N46</f>
        <v/>
      </c>
      <c r="P46" s="515">
        <f>($C$20/1.1)/$C$8</f>
        <v/>
      </c>
      <c r="Q46" s="516">
        <f>P46-R46-S46</f>
        <v/>
      </c>
      <c r="R46" s="517">
        <f>$C$12/$C$8</f>
        <v/>
      </c>
      <c r="S46" s="517">
        <f>$C$13/$C$8</f>
        <v/>
      </c>
      <c r="T46" s="515">
        <f>$C$14/$C$8</f>
        <v/>
      </c>
      <c r="U46" s="518">
        <f>P46*1.1+T46</f>
        <v/>
      </c>
      <c r="V46" s="515">
        <f>($C$41/1.1)/$C$8</f>
        <v/>
      </c>
      <c r="W46" s="516">
        <f>V46-X46-Y46</f>
        <v/>
      </c>
      <c r="X46" s="517">
        <f>L46</f>
        <v/>
      </c>
      <c r="Y46" s="517">
        <f>M46</f>
        <v/>
      </c>
      <c r="Z46" s="573">
        <f>N46</f>
        <v/>
      </c>
      <c r="AA46" s="518">
        <f>V46*1.1+Z46</f>
        <v/>
      </c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62">
        <f>$C$17</f>
        <v/>
      </c>
      <c r="K47" s="571">
        <f>$C$15/$C$8</f>
        <v/>
      </c>
      <c r="L47" s="572">
        <f>$C$12/$C$8</f>
        <v/>
      </c>
      <c r="M47" s="572">
        <f>$C$13/$C$8</f>
        <v/>
      </c>
      <c r="N47" s="566">
        <f>$C$14/$C$8</f>
        <v/>
      </c>
      <c r="O47" s="566">
        <f>SUM(K47:M47)*1.1+N47</f>
        <v/>
      </c>
      <c r="P47" s="515">
        <f>($C$20/1.1)/$C$8</f>
        <v/>
      </c>
      <c r="Q47" s="516">
        <f>P47-R47-S47</f>
        <v/>
      </c>
      <c r="R47" s="517">
        <f>$C$12/$C$8</f>
        <v/>
      </c>
      <c r="S47" s="517">
        <f>$C$13/$C$8</f>
        <v/>
      </c>
      <c r="T47" s="515">
        <f>$C$14/$C$8</f>
        <v/>
      </c>
      <c r="U47" s="518">
        <f>P47*1.1+T47</f>
        <v/>
      </c>
      <c r="V47" s="515">
        <f>($C$41/1.1)/$C$8</f>
        <v/>
      </c>
      <c r="W47" s="516">
        <f>V47-X47-Y47</f>
        <v/>
      </c>
      <c r="X47" s="517">
        <f>L47</f>
        <v/>
      </c>
      <c r="Y47" s="517">
        <f>M47</f>
        <v/>
      </c>
      <c r="Z47" s="573">
        <f>N47</f>
        <v/>
      </c>
      <c r="AA47" s="518">
        <f>V47*1.1+Z47</f>
        <v/>
      </c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62">
        <f>$C$17</f>
        <v/>
      </c>
      <c r="K48" s="571">
        <f>$C$15/$C$8</f>
        <v/>
      </c>
      <c r="L48" s="572">
        <f>$C$12/$C$8</f>
        <v/>
      </c>
      <c r="M48" s="572">
        <f>$C$13/$C$8</f>
        <v/>
      </c>
      <c r="N48" s="566">
        <f>$C$14/$C$8</f>
        <v/>
      </c>
      <c r="O48" s="566">
        <f>SUM(K48:M48)*1.1+N48</f>
        <v/>
      </c>
      <c r="P48" s="515">
        <f>($C$20/1.1)/$C$8</f>
        <v/>
      </c>
      <c r="Q48" s="516">
        <f>P48-R48-S48</f>
        <v/>
      </c>
      <c r="R48" s="517">
        <f>$C$12/$C$8</f>
        <v/>
      </c>
      <c r="S48" s="517">
        <f>$C$13/$C$8</f>
        <v/>
      </c>
      <c r="T48" s="515">
        <f>$C$14/$C$8</f>
        <v/>
      </c>
      <c r="U48" s="518">
        <f>P48*1.1+T48</f>
        <v/>
      </c>
      <c r="V48" s="515">
        <f>($C$41/1.1)/$C$8</f>
        <v/>
      </c>
      <c r="W48" s="516">
        <f>V48-X48-Y48</f>
        <v/>
      </c>
      <c r="X48" s="517">
        <f>L48</f>
        <v/>
      </c>
      <c r="Y48" s="517">
        <f>M48</f>
        <v/>
      </c>
      <c r="Z48" s="573">
        <f>N48</f>
        <v/>
      </c>
      <c r="AA48" s="518">
        <f>V48*1.1+Z48</f>
        <v/>
      </c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62">
        <f>$C$17</f>
        <v/>
      </c>
      <c r="K49" s="571">
        <f>$C$15/$C$8</f>
        <v/>
      </c>
      <c r="L49" s="572">
        <f>$C$12/$C$8</f>
        <v/>
      </c>
      <c r="M49" s="572">
        <f>$C$13/$C$8</f>
        <v/>
      </c>
      <c r="N49" s="566">
        <f>$C$14/$C$8</f>
        <v/>
      </c>
      <c r="O49" s="566">
        <f>SUM(K49:M49)*1.1+N49</f>
        <v/>
      </c>
      <c r="P49" s="515">
        <f>($C$20/1.1)/$C$8</f>
        <v/>
      </c>
      <c r="Q49" s="516">
        <f>P49-R49-S49</f>
        <v/>
      </c>
      <c r="R49" s="517">
        <f>$C$12/$C$8</f>
        <v/>
      </c>
      <c r="S49" s="517">
        <f>$C$13/$C$8</f>
        <v/>
      </c>
      <c r="T49" s="515">
        <f>$C$14/$C$8</f>
        <v/>
      </c>
      <c r="U49" s="518">
        <f>P49*1.1+T49</f>
        <v/>
      </c>
      <c r="V49" s="515">
        <f>($C$41/1.1)/$C$8</f>
        <v/>
      </c>
      <c r="W49" s="516">
        <f>V49-X49-Y49</f>
        <v/>
      </c>
      <c r="X49" s="517">
        <f>L49</f>
        <v/>
      </c>
      <c r="Y49" s="517">
        <f>M49</f>
        <v/>
      </c>
      <c r="Z49" s="573">
        <f>N49</f>
        <v/>
      </c>
      <c r="AA49" s="518">
        <f>V49*1.1+Z49</f>
        <v/>
      </c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62">
        <f>$C$17</f>
        <v/>
      </c>
      <c r="K50" s="571">
        <f>$C$15/$C$8</f>
        <v/>
      </c>
      <c r="L50" s="572">
        <f>$C$12/$C$8</f>
        <v/>
      </c>
      <c r="M50" s="572">
        <f>$C$13/$C$8</f>
        <v/>
      </c>
      <c r="N50" s="566">
        <f>$C$14/$C$8</f>
        <v/>
      </c>
      <c r="O50" s="566">
        <f>SUM(K50:M50)*1.1+N50</f>
        <v/>
      </c>
      <c r="P50" s="515">
        <f>($C$20/1.1)/$C$8</f>
        <v/>
      </c>
      <c r="Q50" s="516">
        <f>P50-R50-S50</f>
        <v/>
      </c>
      <c r="R50" s="517">
        <f>$C$12/$C$8</f>
        <v/>
      </c>
      <c r="S50" s="517">
        <f>$C$13/$C$8</f>
        <v/>
      </c>
      <c r="T50" s="515">
        <f>$C$14/$C$8</f>
        <v/>
      </c>
      <c r="U50" s="518">
        <f>P50*1.1+T50</f>
        <v/>
      </c>
      <c r="V50" s="515">
        <f>($C$41/1.1)/$C$8</f>
        <v/>
      </c>
      <c r="W50" s="516">
        <f>V50-X50-Y50</f>
        <v/>
      </c>
      <c r="X50" s="517">
        <f>L50</f>
        <v/>
      </c>
      <c r="Y50" s="517">
        <f>M50</f>
        <v/>
      </c>
      <c r="Z50" s="573">
        <f>N50</f>
        <v/>
      </c>
      <c r="AA50" s="518">
        <f>V50*1.1+Z50</f>
        <v/>
      </c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62">
        <f>$C$17</f>
        <v/>
      </c>
      <c r="K51" s="571">
        <f>$C$15/$C$8</f>
        <v/>
      </c>
      <c r="L51" s="572">
        <f>$C$12/$C$8</f>
        <v/>
      </c>
      <c r="M51" s="572">
        <f>$C$13/$C$8</f>
        <v/>
      </c>
      <c r="N51" s="566">
        <f>$C$14/$C$8</f>
        <v/>
      </c>
      <c r="O51" s="566">
        <f>SUM(K51:M51)*1.1+N51</f>
        <v/>
      </c>
      <c r="P51" s="515">
        <f>($C$20/1.1)/$C$8</f>
        <v/>
      </c>
      <c r="Q51" s="516">
        <f>P51-R51-S51</f>
        <v/>
      </c>
      <c r="R51" s="517">
        <f>$C$12/$C$8</f>
        <v/>
      </c>
      <c r="S51" s="517">
        <f>$C$13/$C$8</f>
        <v/>
      </c>
      <c r="T51" s="515">
        <f>$C$14/$C$8</f>
        <v/>
      </c>
      <c r="U51" s="518">
        <f>P51*1.1+T51</f>
        <v/>
      </c>
      <c r="V51" s="515">
        <f>($C$41/1.1)/$C$8</f>
        <v/>
      </c>
      <c r="W51" s="516">
        <f>V51-X51-Y51</f>
        <v/>
      </c>
      <c r="X51" s="517">
        <f>L51</f>
        <v/>
      </c>
      <c r="Y51" s="517">
        <f>M51</f>
        <v/>
      </c>
      <c r="Z51" s="573">
        <f>N51</f>
        <v/>
      </c>
      <c r="AA51" s="518">
        <f>V51*1.1+Z51</f>
        <v/>
      </c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62">
        <f>$C$17</f>
        <v/>
      </c>
      <c r="K52" s="571">
        <f>$C$15/$C$8</f>
        <v/>
      </c>
      <c r="L52" s="572">
        <f>$C$12/$C$8</f>
        <v/>
      </c>
      <c r="M52" s="572">
        <f>$C$13/$C$8</f>
        <v/>
      </c>
      <c r="N52" s="566">
        <f>$C$14/$C$8</f>
        <v/>
      </c>
      <c r="O52" s="566">
        <f>SUM(K52:M52)*1.1+N52</f>
        <v/>
      </c>
      <c r="P52" s="515">
        <f>($C$20/1.1)/$C$8</f>
        <v/>
      </c>
      <c r="Q52" s="516">
        <f>P52-R52-S52</f>
        <v/>
      </c>
      <c r="R52" s="517">
        <f>$C$12/$C$8</f>
        <v/>
      </c>
      <c r="S52" s="517">
        <f>$C$13/$C$8</f>
        <v/>
      </c>
      <c r="T52" s="515">
        <f>$C$14/$C$8</f>
        <v/>
      </c>
      <c r="U52" s="518">
        <f>P52*1.1+T52</f>
        <v/>
      </c>
      <c r="V52" s="515">
        <f>($C$41/1.1)/$C$8</f>
        <v/>
      </c>
      <c r="W52" s="516">
        <f>V52-X52-Y52</f>
        <v/>
      </c>
      <c r="X52" s="517">
        <f>L52</f>
        <v/>
      </c>
      <c r="Y52" s="517">
        <f>M52</f>
        <v/>
      </c>
      <c r="Z52" s="573">
        <f>N52</f>
        <v/>
      </c>
      <c r="AA52" s="518">
        <f>V52*1.1+Z52</f>
        <v/>
      </c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62">
        <f>$C$17</f>
        <v/>
      </c>
      <c r="K53" s="571">
        <f>$C$15/$C$8</f>
        <v/>
      </c>
      <c r="L53" s="572">
        <f>$C$12/$C$8</f>
        <v/>
      </c>
      <c r="M53" s="572">
        <f>$C$13/$C$8</f>
        <v/>
      </c>
      <c r="N53" s="566">
        <f>$C$14/$C$8</f>
        <v/>
      </c>
      <c r="O53" s="566">
        <f>SUM(K53:M53)*1.1+N53</f>
        <v/>
      </c>
      <c r="P53" s="515">
        <f>($C$20/1.1)/$C$8</f>
        <v/>
      </c>
      <c r="Q53" s="516">
        <f>P53-R53-S53</f>
        <v/>
      </c>
      <c r="R53" s="517">
        <f>$C$12/$C$8</f>
        <v/>
      </c>
      <c r="S53" s="517">
        <f>$C$13/$C$8</f>
        <v/>
      </c>
      <c r="T53" s="515">
        <f>$C$14/$C$8</f>
        <v/>
      </c>
      <c r="U53" s="518">
        <f>P53*1.1+T53</f>
        <v/>
      </c>
      <c r="V53" s="515">
        <f>($C$41/1.1)/$C$8</f>
        <v/>
      </c>
      <c r="W53" s="516">
        <f>V53-X53-Y53</f>
        <v/>
      </c>
      <c r="X53" s="517">
        <f>L53</f>
        <v/>
      </c>
      <c r="Y53" s="517">
        <f>M53</f>
        <v/>
      </c>
      <c r="Z53" s="573">
        <f>N53</f>
        <v/>
      </c>
      <c r="AA53" s="518">
        <f>V53*1.1+Z53</f>
        <v/>
      </c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62">
        <f>$C$17-J6</f>
        <v/>
      </c>
      <c r="K54" s="571">
        <f>$C$15/$C$8-K6</f>
        <v/>
      </c>
      <c r="L54" s="572">
        <f>$C$12/$C$8</f>
        <v/>
      </c>
      <c r="M54" s="572">
        <f>$C$13/$C$8-M6</f>
        <v/>
      </c>
      <c r="N54" s="566">
        <f>$C$14/$C$8-N6</f>
        <v/>
      </c>
      <c r="O54" s="566">
        <f>SUM(K54:M54)*1.1+N54</f>
        <v/>
      </c>
      <c r="P54" s="515">
        <f>($C$20/1.1)/$C$8-P6</f>
        <v/>
      </c>
      <c r="Q54" s="516">
        <f>P54-R54-S54</f>
        <v/>
      </c>
      <c r="R54" s="517">
        <f>$C$12/$C$8</f>
        <v/>
      </c>
      <c r="S54" s="517">
        <f>$C$13/$C$8-S6</f>
        <v/>
      </c>
      <c r="T54" s="515">
        <f>$C$14/$C$8-T6</f>
        <v/>
      </c>
      <c r="U54" s="518">
        <f>P54*1.1+T54</f>
        <v/>
      </c>
      <c r="V54" s="515">
        <f>($C$41/1.1)/$C$8-V6</f>
        <v/>
      </c>
      <c r="W54" s="516">
        <f>V54-X54-Y54</f>
        <v/>
      </c>
      <c r="X54" s="517">
        <f>L54</f>
        <v/>
      </c>
      <c r="Y54" s="517">
        <f>M54</f>
        <v/>
      </c>
      <c r="Z54" s="573">
        <f>N54</f>
        <v/>
      </c>
      <c r="AA54" s="518">
        <f>V54*1.1+Z54</f>
        <v/>
      </c>
    </row>
    <row r="55">
      <c r="F55" s="101" t="n"/>
      <c r="G55" s="102" t="n"/>
      <c r="H55" s="102" t="n"/>
      <c r="I55" s="103" t="n"/>
      <c r="J55" s="562" t="n"/>
      <c r="K55" s="571" t="n"/>
      <c r="L55" s="572" t="n"/>
      <c r="M55" s="572" t="n"/>
      <c r="N55" s="566" t="n"/>
      <c r="O55" s="566" t="n"/>
      <c r="P55" s="515" t="n"/>
      <c r="Q55" s="516" t="n"/>
      <c r="R55" s="517" t="n"/>
      <c r="S55" s="517" t="n"/>
      <c r="T55" s="515" t="n"/>
      <c r="U55" s="518" t="n"/>
      <c r="V55" s="515" t="n"/>
      <c r="W55" s="516" t="n"/>
      <c r="X55" s="500" t="n"/>
      <c r="Y55" s="500" t="n"/>
      <c r="Z55" s="573" t="n"/>
      <c r="AA55" s="518" t="n"/>
    </row>
    <row r="56">
      <c r="F56" s="101" t="n"/>
      <c r="G56" s="102" t="n"/>
      <c r="H56" s="102" t="n"/>
      <c r="I56" s="103" t="n"/>
      <c r="J56" s="562" t="n"/>
      <c r="K56" s="571" t="n"/>
      <c r="L56" s="572" t="n"/>
      <c r="M56" s="572" t="n"/>
      <c r="N56" s="566" t="n"/>
      <c r="O56" s="566" t="n"/>
      <c r="P56" s="515" t="n"/>
      <c r="Q56" s="516" t="n"/>
      <c r="R56" s="517" t="n"/>
      <c r="S56" s="517" t="n"/>
      <c r="T56" s="515" t="n"/>
      <c r="U56" s="518" t="n"/>
      <c r="V56" s="515" t="n"/>
      <c r="W56" s="516" t="n"/>
      <c r="X56" s="500" t="n"/>
      <c r="Y56" s="500" t="n"/>
      <c r="Z56" s="573" t="n"/>
      <c r="AA56" s="518" t="n"/>
    </row>
    <row r="57">
      <c r="F57" s="101" t="n"/>
      <c r="G57" s="102" t="n"/>
      <c r="H57" s="102" t="n"/>
      <c r="I57" s="103" t="n"/>
      <c r="J57" s="562" t="n"/>
      <c r="K57" s="571" t="n"/>
      <c r="L57" s="572" t="n"/>
      <c r="M57" s="572" t="n"/>
      <c r="N57" s="566" t="n"/>
      <c r="O57" s="566" t="n"/>
      <c r="P57" s="515" t="n"/>
      <c r="Q57" s="516" t="n"/>
      <c r="R57" s="517" t="n"/>
      <c r="S57" s="517" t="n"/>
      <c r="T57" s="515" t="n"/>
      <c r="U57" s="518" t="n"/>
      <c r="V57" s="515" t="n"/>
      <c r="W57" s="516" t="n"/>
      <c r="X57" s="500" t="n"/>
      <c r="Y57" s="500" t="n"/>
      <c r="Z57" s="573" t="n"/>
      <c r="AA57" s="518" t="n"/>
    </row>
    <row r="58">
      <c r="F58" s="101" t="n"/>
      <c r="G58" s="102" t="n"/>
      <c r="H58" s="102" t="n"/>
      <c r="I58" s="103" t="n"/>
      <c r="J58" s="562" t="n"/>
      <c r="K58" s="571" t="n"/>
      <c r="L58" s="572" t="n"/>
      <c r="M58" s="572" t="n"/>
      <c r="N58" s="566" t="n"/>
      <c r="O58" s="566" t="n"/>
      <c r="P58" s="515" t="n"/>
      <c r="Q58" s="516" t="n"/>
      <c r="R58" s="517" t="n"/>
      <c r="S58" s="517" t="n"/>
      <c r="T58" s="515" t="n"/>
      <c r="U58" s="518" t="n"/>
      <c r="V58" s="515" t="n"/>
      <c r="W58" s="516" t="n"/>
      <c r="X58" s="500" t="n"/>
      <c r="Y58" s="500" t="n"/>
      <c r="Z58" s="573" t="n"/>
      <c r="AA58" s="518" t="n"/>
    </row>
    <row r="59">
      <c r="F59" s="101" t="n"/>
      <c r="G59" s="102" t="n"/>
      <c r="H59" s="102" t="n"/>
      <c r="I59" s="103" t="n"/>
      <c r="J59" s="562" t="n"/>
      <c r="K59" s="571" t="n"/>
      <c r="L59" s="572" t="n"/>
      <c r="M59" s="572" t="n"/>
      <c r="N59" s="566" t="n"/>
      <c r="O59" s="566" t="n"/>
      <c r="P59" s="515" t="n"/>
      <c r="Q59" s="516" t="n"/>
      <c r="R59" s="517" t="n"/>
      <c r="S59" s="517" t="n"/>
      <c r="T59" s="515" t="n"/>
      <c r="U59" s="518" t="n"/>
      <c r="V59" s="515" t="n"/>
      <c r="W59" s="516" t="n"/>
      <c r="X59" s="500" t="n"/>
      <c r="Y59" s="500" t="n"/>
      <c r="Z59" s="573" t="n"/>
      <c r="AA59" s="518" t="n"/>
    </row>
    <row r="60">
      <c r="F60" s="101" t="n"/>
      <c r="G60" s="102" t="n"/>
      <c r="H60" s="102" t="n"/>
      <c r="I60" s="103" t="n"/>
      <c r="J60" s="562" t="n"/>
      <c r="K60" s="571" t="n"/>
      <c r="L60" s="572" t="n"/>
      <c r="M60" s="572" t="n"/>
      <c r="N60" s="566" t="n"/>
      <c r="O60" s="566" t="n"/>
      <c r="P60" s="515" t="n"/>
      <c r="Q60" s="516" t="n"/>
      <c r="R60" s="517" t="n"/>
      <c r="S60" s="517" t="n"/>
      <c r="T60" s="515" t="n"/>
      <c r="U60" s="518" t="n"/>
      <c r="V60" s="515" t="n"/>
      <c r="W60" s="516" t="n"/>
      <c r="X60" s="500" t="n"/>
      <c r="Y60" s="500" t="n"/>
      <c r="Z60" s="573" t="n"/>
      <c r="AA60" s="518" t="n"/>
    </row>
    <row r="61">
      <c r="F61" s="101" t="n"/>
      <c r="G61" s="102" t="n"/>
      <c r="H61" s="102" t="n"/>
      <c r="I61" s="103" t="n"/>
      <c r="J61" s="562" t="n"/>
      <c r="K61" s="571" t="n"/>
      <c r="L61" s="572" t="n"/>
      <c r="M61" s="572" t="n"/>
      <c r="N61" s="566" t="n"/>
      <c r="O61" s="566" t="n"/>
      <c r="P61" s="515" t="n"/>
      <c r="Q61" s="516" t="n"/>
      <c r="R61" s="517" t="n"/>
      <c r="S61" s="517" t="n"/>
      <c r="T61" s="515" t="n"/>
      <c r="U61" s="518" t="n"/>
      <c r="V61" s="515" t="n"/>
      <c r="W61" s="516" t="n"/>
      <c r="X61" s="500" t="n"/>
      <c r="Y61" s="500" t="n"/>
      <c r="Z61" s="573" t="n"/>
      <c r="AA61" s="518" t="n"/>
    </row>
    <row r="62">
      <c r="F62" s="101" t="n"/>
      <c r="G62" s="102" t="n"/>
      <c r="H62" s="102" t="n"/>
      <c r="I62" s="103" t="n"/>
      <c r="J62" s="562" t="n"/>
      <c r="K62" s="571" t="n"/>
      <c r="L62" s="572" t="n"/>
      <c r="M62" s="572" t="n"/>
      <c r="N62" s="566" t="n"/>
      <c r="O62" s="566" t="n"/>
      <c r="P62" s="515" t="n"/>
      <c r="Q62" s="516" t="n"/>
      <c r="R62" s="517" t="n"/>
      <c r="S62" s="517" t="n"/>
      <c r="T62" s="515" t="n"/>
      <c r="U62" s="518" t="n"/>
      <c r="V62" s="515" t="n"/>
      <c r="W62" s="516" t="n"/>
      <c r="X62" s="500" t="n"/>
      <c r="Y62" s="500" t="n"/>
      <c r="Z62" s="573" t="n"/>
      <c r="AA62" s="518" t="n"/>
    </row>
    <row r="63">
      <c r="F63" s="101" t="n"/>
      <c r="G63" s="102" t="n"/>
      <c r="H63" s="102" t="n"/>
      <c r="I63" s="103" t="n"/>
      <c r="J63" s="562" t="n"/>
      <c r="K63" s="571" t="n"/>
      <c r="L63" s="572" t="n"/>
      <c r="M63" s="572" t="n"/>
      <c r="N63" s="566" t="n"/>
      <c r="O63" s="566" t="n"/>
      <c r="P63" s="515" t="n"/>
      <c r="Q63" s="516" t="n"/>
      <c r="R63" s="517" t="n"/>
      <c r="S63" s="517" t="n"/>
      <c r="T63" s="515" t="n"/>
      <c r="U63" s="518" t="n"/>
      <c r="V63" s="515" t="n"/>
      <c r="W63" s="516" t="n"/>
      <c r="X63" s="500" t="n"/>
      <c r="Y63" s="500" t="n"/>
      <c r="Z63" s="573" t="n"/>
      <c r="AA63" s="518" t="n"/>
    </row>
    <row r="64">
      <c r="F64" s="101" t="n"/>
      <c r="G64" s="102" t="n"/>
      <c r="H64" s="102" t="n"/>
      <c r="I64" s="103" t="n"/>
      <c r="J64" s="562" t="n"/>
      <c r="K64" s="571" t="n"/>
      <c r="L64" s="572" t="n"/>
      <c r="M64" s="572" t="n"/>
      <c r="N64" s="566" t="n"/>
      <c r="O64" s="566" t="n"/>
      <c r="P64" s="515" t="n"/>
      <c r="Q64" s="516" t="n"/>
      <c r="R64" s="517" t="n"/>
      <c r="S64" s="517" t="n"/>
      <c r="T64" s="515" t="n"/>
      <c r="U64" s="518" t="n"/>
      <c r="V64" s="515" t="n"/>
      <c r="W64" s="516" t="n"/>
      <c r="X64" s="500" t="n"/>
      <c r="Y64" s="500" t="n"/>
      <c r="Z64" s="573" t="n"/>
      <c r="AA64" s="518" t="n"/>
    </row>
    <row r="65">
      <c r="F65" s="101" t="n"/>
      <c r="G65" s="102" t="n"/>
      <c r="H65" s="102" t="n"/>
      <c r="I65" s="103" t="n"/>
      <c r="J65" s="562" t="n"/>
      <c r="K65" s="571" t="n"/>
      <c r="L65" s="572" t="n"/>
      <c r="M65" s="572" t="n"/>
      <c r="N65" s="566" t="n"/>
      <c r="O65" s="566" t="n"/>
      <c r="P65" s="515" t="n"/>
      <c r="Q65" s="516" t="n"/>
      <c r="R65" s="517" t="n"/>
      <c r="S65" s="517" t="n"/>
      <c r="T65" s="515" t="n"/>
      <c r="U65" s="518" t="n"/>
      <c r="V65" s="515" t="n"/>
      <c r="W65" s="516" t="n"/>
      <c r="X65" s="500" t="n"/>
      <c r="Y65" s="500" t="n"/>
      <c r="Z65" s="573" t="n"/>
      <c r="AA65" s="518" t="n"/>
    </row>
    <row r="66">
      <c r="F66" s="101" t="n"/>
      <c r="G66" s="102" t="n"/>
      <c r="H66" s="102" t="n"/>
      <c r="I66" s="103" t="n"/>
      <c r="J66" s="562" t="n"/>
      <c r="K66" s="571" t="n"/>
      <c r="L66" s="572" t="n"/>
      <c r="M66" s="572" t="n"/>
      <c r="N66" s="566" t="n"/>
      <c r="O66" s="566" t="n"/>
      <c r="P66" s="515" t="n"/>
      <c r="Q66" s="516" t="n"/>
      <c r="R66" s="517" t="n"/>
      <c r="S66" s="517" t="n"/>
      <c r="T66" s="515" t="n"/>
      <c r="U66" s="518" t="n"/>
      <c r="V66" s="515" t="n"/>
      <c r="W66" s="516" t="n"/>
      <c r="X66" s="500" t="n"/>
      <c r="Y66" s="500" t="n"/>
      <c r="Z66" s="573" t="n"/>
      <c r="AA66" s="518" t="n"/>
    </row>
    <row r="67">
      <c r="F67" s="101" t="n"/>
      <c r="G67" s="102" t="n"/>
      <c r="H67" s="102" t="n"/>
      <c r="I67" s="103" t="n"/>
      <c r="J67" s="562" t="n"/>
      <c r="K67" s="571" t="n"/>
      <c r="L67" s="572" t="n"/>
      <c r="M67" s="572" t="n"/>
      <c r="N67" s="566" t="n"/>
      <c r="O67" s="566" t="n"/>
      <c r="P67" s="515" t="n"/>
      <c r="Q67" s="516" t="n"/>
      <c r="R67" s="517" t="n"/>
      <c r="S67" s="517" t="n"/>
      <c r="T67" s="515" t="n"/>
      <c r="U67" s="518" t="n"/>
      <c r="V67" s="515" t="n"/>
      <c r="W67" s="516" t="n"/>
      <c r="X67" s="500" t="n"/>
      <c r="Y67" s="500" t="n"/>
      <c r="Z67" s="573" t="n"/>
      <c r="AA67" s="518" t="n"/>
    </row>
    <row r="68">
      <c r="F68" s="101" t="n"/>
      <c r="G68" s="102" t="n"/>
      <c r="H68" s="102" t="n"/>
      <c r="I68" s="103" t="n"/>
      <c r="J68" s="562" t="n"/>
      <c r="K68" s="571" t="n"/>
      <c r="L68" s="572" t="n"/>
      <c r="M68" s="572" t="n"/>
      <c r="N68" s="566" t="n"/>
      <c r="O68" s="566" t="n"/>
      <c r="P68" s="515" t="n"/>
      <c r="Q68" s="516" t="n"/>
      <c r="R68" s="517" t="n"/>
      <c r="S68" s="517" t="n"/>
      <c r="T68" s="515" t="n"/>
      <c r="U68" s="518" t="n"/>
      <c r="V68" s="515" t="n"/>
      <c r="W68" s="516" t="n"/>
      <c r="X68" s="500" t="n"/>
      <c r="Y68" s="500" t="n"/>
      <c r="Z68" s="573" t="n"/>
      <c r="AA68" s="518" t="n"/>
    </row>
    <row r="69">
      <c r="F69" s="101" t="n"/>
      <c r="G69" s="102" t="n"/>
      <c r="H69" s="102" t="n"/>
      <c r="I69" s="103" t="n"/>
      <c r="J69" s="562" t="n"/>
      <c r="K69" s="571" t="n"/>
      <c r="L69" s="572" t="n"/>
      <c r="M69" s="572" t="n"/>
      <c r="N69" s="566" t="n"/>
      <c r="O69" s="566" t="n"/>
      <c r="P69" s="515" t="n"/>
      <c r="Q69" s="516" t="n"/>
      <c r="R69" s="517" t="n"/>
      <c r="S69" s="517" t="n"/>
      <c r="T69" s="515" t="n"/>
      <c r="U69" s="518" t="n"/>
      <c r="V69" s="515" t="n"/>
      <c r="W69" s="516" t="n"/>
      <c r="X69" s="500" t="n"/>
      <c r="Y69" s="500" t="n"/>
      <c r="Z69" s="573" t="n"/>
      <c r="AA69" s="518" t="n"/>
    </row>
    <row r="70">
      <c r="F70" s="101" t="n"/>
      <c r="G70" s="102" t="n"/>
      <c r="H70" s="102" t="n"/>
      <c r="I70" s="103" t="n"/>
      <c r="J70" s="562" t="n"/>
      <c r="K70" s="571" t="n"/>
      <c r="L70" s="572" t="n"/>
      <c r="M70" s="572" t="n"/>
      <c r="N70" s="566" t="n"/>
      <c r="O70" s="566" t="n"/>
      <c r="P70" s="515" t="n"/>
      <c r="Q70" s="516" t="n"/>
      <c r="R70" s="517" t="n"/>
      <c r="S70" s="517" t="n"/>
      <c r="T70" s="515" t="n"/>
      <c r="U70" s="518" t="n"/>
      <c r="V70" s="515" t="n"/>
      <c r="W70" s="516" t="n"/>
      <c r="X70" s="500" t="n"/>
      <c r="Y70" s="500" t="n"/>
      <c r="Z70" s="573" t="n"/>
      <c r="AA70" s="518" t="n"/>
    </row>
    <row r="71">
      <c r="F71" s="101" t="n"/>
      <c r="G71" s="102" t="n"/>
      <c r="H71" s="102" t="n"/>
      <c r="I71" s="103" t="n"/>
      <c r="J71" s="562" t="n"/>
      <c r="K71" s="571" t="n"/>
      <c r="L71" s="572" t="n"/>
      <c r="M71" s="572" t="n"/>
      <c r="N71" s="566" t="n"/>
      <c r="O71" s="566" t="n"/>
      <c r="P71" s="515" t="n"/>
      <c r="Q71" s="516" t="n"/>
      <c r="R71" s="517" t="n"/>
      <c r="S71" s="517" t="n"/>
      <c r="T71" s="515" t="n"/>
      <c r="U71" s="518" t="n"/>
      <c r="V71" s="515" t="n"/>
      <c r="W71" s="516" t="n"/>
      <c r="X71" s="500" t="n"/>
      <c r="Y71" s="500" t="n"/>
      <c r="Z71" s="573" t="n"/>
      <c r="AA71" s="518" t="n"/>
    </row>
    <row r="72">
      <c r="F72" s="101" t="n"/>
      <c r="G72" s="102" t="n"/>
      <c r="H72" s="102" t="n"/>
      <c r="I72" s="103" t="n"/>
      <c r="J72" s="562" t="n"/>
      <c r="K72" s="571" t="n"/>
      <c r="L72" s="572" t="n"/>
      <c r="M72" s="572" t="n"/>
      <c r="N72" s="566" t="n"/>
      <c r="O72" s="566" t="n"/>
      <c r="P72" s="515" t="n"/>
      <c r="Q72" s="516" t="n"/>
      <c r="R72" s="517" t="n"/>
      <c r="S72" s="517" t="n"/>
      <c r="T72" s="515" t="n"/>
      <c r="U72" s="518" t="n"/>
      <c r="V72" s="515" t="n"/>
      <c r="W72" s="516" t="n"/>
      <c r="X72" s="500" t="n"/>
      <c r="Y72" s="500" t="n"/>
      <c r="Z72" s="573" t="n"/>
      <c r="AA72" s="518" t="n"/>
    </row>
    <row r="73">
      <c r="F73" s="101" t="n"/>
      <c r="G73" s="102" t="n"/>
      <c r="H73" s="102" t="n"/>
      <c r="I73" s="103" t="n"/>
      <c r="J73" s="562" t="n"/>
      <c r="K73" s="571" t="n"/>
      <c r="L73" s="572" t="n"/>
      <c r="M73" s="572" t="n"/>
      <c r="N73" s="566" t="n"/>
      <c r="O73" s="566" t="n"/>
      <c r="P73" s="515" t="n"/>
      <c r="Q73" s="516" t="n"/>
      <c r="R73" s="517" t="n"/>
      <c r="S73" s="517" t="n"/>
      <c r="T73" s="515" t="n"/>
      <c r="U73" s="518" t="n"/>
      <c r="V73" s="515" t="n"/>
      <c r="W73" s="516" t="n"/>
      <c r="X73" s="500" t="n"/>
      <c r="Y73" s="500" t="n"/>
      <c r="Z73" s="573" t="n"/>
      <c r="AA73" s="518" t="n"/>
    </row>
    <row r="74">
      <c r="F74" s="101" t="n"/>
      <c r="G74" s="102" t="n"/>
      <c r="H74" s="102" t="n"/>
      <c r="I74" s="103" t="n"/>
      <c r="J74" s="562" t="n"/>
      <c r="K74" s="571" t="n"/>
      <c r="L74" s="572" t="n"/>
      <c r="M74" s="572" t="n"/>
      <c r="N74" s="566" t="n"/>
      <c r="O74" s="566" t="n"/>
      <c r="P74" s="515" t="n"/>
      <c r="Q74" s="516" t="n"/>
      <c r="R74" s="517" t="n"/>
      <c r="S74" s="517" t="n"/>
      <c r="T74" s="515" t="n"/>
      <c r="U74" s="518" t="n"/>
      <c r="V74" s="515" t="n"/>
      <c r="W74" s="516" t="n"/>
      <c r="X74" s="500" t="n"/>
      <c r="Y74" s="500" t="n"/>
      <c r="Z74" s="573" t="n"/>
      <c r="AA74" s="518" t="n"/>
    </row>
    <row r="75">
      <c r="F75" s="101" t="n"/>
      <c r="G75" s="102" t="n"/>
      <c r="H75" s="102" t="n"/>
      <c r="I75" s="103" t="n"/>
      <c r="J75" s="562" t="n"/>
      <c r="K75" s="571" t="n"/>
      <c r="L75" s="572" t="n"/>
      <c r="M75" s="572" t="n"/>
      <c r="N75" s="566" t="n"/>
      <c r="O75" s="566" t="n"/>
      <c r="P75" s="515" t="n"/>
      <c r="Q75" s="516" t="n"/>
      <c r="R75" s="517" t="n"/>
      <c r="S75" s="517" t="n"/>
      <c r="T75" s="515" t="n"/>
      <c r="U75" s="518" t="n"/>
      <c r="V75" s="515" t="n"/>
      <c r="W75" s="516" t="n"/>
      <c r="X75" s="500" t="n"/>
      <c r="Y75" s="500" t="n"/>
      <c r="Z75" s="573" t="n"/>
      <c r="AA75" s="518" t="n"/>
    </row>
    <row r="76">
      <c r="F76" s="101" t="n"/>
      <c r="G76" s="102" t="n"/>
      <c r="H76" s="102" t="n"/>
      <c r="I76" s="103" t="n"/>
      <c r="J76" s="562" t="n"/>
      <c r="K76" s="571" t="n"/>
      <c r="L76" s="572" t="n"/>
      <c r="M76" s="572" t="n"/>
      <c r="N76" s="566" t="n"/>
      <c r="O76" s="566" t="n"/>
      <c r="P76" s="515" t="n"/>
      <c r="Q76" s="516" t="n"/>
      <c r="R76" s="517" t="n"/>
      <c r="S76" s="517" t="n"/>
      <c r="T76" s="515" t="n"/>
      <c r="U76" s="518" t="n"/>
      <c r="V76" s="515" t="n"/>
      <c r="W76" s="516" t="n"/>
      <c r="X76" s="500" t="n"/>
      <c r="Y76" s="500" t="n"/>
      <c r="Z76" s="573" t="n"/>
      <c r="AA76" s="518" t="n"/>
    </row>
    <row r="77">
      <c r="F77" s="101" t="n"/>
      <c r="G77" s="102" t="n"/>
      <c r="H77" s="102" t="n"/>
      <c r="I77" s="103" t="n"/>
      <c r="J77" s="562" t="n"/>
      <c r="K77" s="571" t="n"/>
      <c r="L77" s="572" t="n"/>
      <c r="M77" s="572" t="n"/>
      <c r="N77" s="566" t="n"/>
      <c r="O77" s="566" t="n"/>
      <c r="P77" s="515" t="n"/>
      <c r="Q77" s="516" t="n"/>
      <c r="R77" s="517" t="n"/>
      <c r="S77" s="517" t="n"/>
      <c r="T77" s="515" t="n"/>
      <c r="U77" s="518" t="n"/>
      <c r="V77" s="515" t="n"/>
      <c r="W77" s="516" t="n"/>
      <c r="X77" s="500" t="n"/>
      <c r="Y77" s="500" t="n"/>
      <c r="Z77" s="573" t="n"/>
      <c r="AA77" s="518" t="n"/>
    </row>
    <row r="78">
      <c r="F78" s="35" t="n"/>
      <c r="G78" s="36" t="n"/>
      <c r="H78" s="36" t="n"/>
      <c r="I78" s="37" t="n"/>
      <c r="J78" s="584" t="n"/>
      <c r="K78" s="585" t="n"/>
      <c r="L78" s="586" t="n"/>
      <c r="M78" s="586" t="n"/>
      <c r="N78" s="587" t="n"/>
      <c r="O78" s="587" t="n"/>
      <c r="P78" s="546" t="n"/>
      <c r="Q78" s="547" t="n"/>
      <c r="R78" s="548" t="n"/>
      <c r="S78" s="548" t="n"/>
      <c r="T78" s="546" t="n"/>
      <c r="U78" s="549" t="n"/>
      <c r="V78" s="581" t="n"/>
      <c r="W78" s="588" t="n"/>
      <c r="X78" s="589" t="n"/>
      <c r="Y78" s="589" t="n"/>
      <c r="Z78" s="590" t="n"/>
      <c r="AA78" s="549" t="n"/>
    </row>
    <row r="79">
      <c r="W79" s="500" t="n"/>
    </row>
  </sheetData>
  <mergeCells count="1">
    <mergeCell ref="A22:A28"/>
  </mergeCells>
  <pageMargins left="0.7" right="0.7" top="0.75" bottom="0.75" header="0.3" footer="0.3"/>
  <pageSetup orientation="portrait" paperSize="9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2:AB77"/>
  <sheetViews>
    <sheetView showGridLines="0" zoomScale="60" zoomScaleNormal="60" workbookViewId="0">
      <selection activeCell="U1" sqref="B1:U1048576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3" bestFit="1" customWidth="1" style="497" min="10" max="10"/>
    <col width="22.875" bestFit="1" customWidth="1" style="497" min="11" max="11"/>
    <col width="11.1875" bestFit="1" customWidth="1" style="497" min="12" max="12"/>
    <col width="7.375" bestFit="1" customWidth="1" style="497" min="13" max="13"/>
    <col width="13.5" bestFit="1" customWidth="1" style="497" min="14" max="14"/>
    <col width="11.875" bestFit="1" customWidth="1" style="497" min="15" max="16"/>
    <col width="14" bestFit="1" customWidth="1" style="497" min="17" max="17"/>
    <col outlineLevel="1" width="14" customWidth="1" style="497" min="18" max="21"/>
    <col width="11.375" bestFit="1" customWidth="1" style="497" min="22" max="22"/>
    <col width="10.625" bestFit="1" customWidth="1" style="497" min="24" max="24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N2" s="206" t="inlineStr">
        <is>
          <t>* 위약금은 비과세로 총구독료(v+)기준으로 계산</t>
        </is>
      </c>
    </row>
    <row r="3">
      <c r="I3" s="8" t="n"/>
      <c r="J3" s="501" t="inlineStr">
        <is>
          <t>기본 (v-)</t>
        </is>
      </c>
      <c r="K3" s="75" t="inlineStr">
        <is>
          <t>선납+선납할인 시 (v-)</t>
        </is>
      </c>
      <c r="L3" s="75" t="inlineStr">
        <is>
          <t>중도해지 시 (v-)</t>
        </is>
      </c>
      <c r="M3" s="70" t="n"/>
      <c r="N3" s="70" t="n"/>
      <c r="O3" s="70" t="n"/>
      <c r="P3" s="70" t="n"/>
      <c r="Q3" s="71" t="n"/>
      <c r="R3" s="75" t="inlineStr">
        <is>
          <t>중도해지 시 (v+)</t>
        </is>
      </c>
      <c r="S3" s="70" t="n"/>
      <c r="T3" s="70" t="n"/>
      <c r="U3" s="71" t="n"/>
      <c r="W3" s="206" t="n"/>
      <c r="X3" s="206" t="n"/>
      <c r="Y3" s="206" t="n"/>
      <c r="Z3" s="206" t="n"/>
      <c r="AA3" s="500" t="n"/>
      <c r="AB3" s="206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9" t="inlineStr">
        <is>
          <t>구독료청구</t>
        </is>
      </c>
      <c r="L4" s="26" t="inlineStr">
        <is>
          <t>제품판정일</t>
        </is>
      </c>
      <c r="M4" s="9" t="inlineStr">
        <is>
          <t>경과일</t>
        </is>
      </c>
      <c r="N4" s="26" t="inlineStr">
        <is>
          <t>위약금</t>
        </is>
      </c>
      <c r="O4" s="15" t="inlineStr">
        <is>
          <t>사용분 청구</t>
        </is>
      </c>
      <c r="P4" s="15" t="inlineStr">
        <is>
          <t>할인금 회수</t>
        </is>
      </c>
      <c r="Q4" s="27" t="inlineStr">
        <is>
          <t>선납잔액 환불</t>
        </is>
      </c>
      <c r="R4" s="26" t="inlineStr">
        <is>
          <t>위약금</t>
        </is>
      </c>
      <c r="S4" s="15" t="inlineStr">
        <is>
          <t>사용분 청구</t>
        </is>
      </c>
      <c r="T4" s="15" t="inlineStr">
        <is>
          <t>할인금 회수</t>
        </is>
      </c>
      <c r="U4" s="27" t="inlineStr">
        <is>
          <t>선납잔액 환불</t>
        </is>
      </c>
      <c r="W4" s="206" t="n"/>
      <c r="X4" s="348" t="n"/>
      <c r="Y4" s="348" t="n"/>
      <c r="Z4" s="348" t="n"/>
      <c r="AA4" s="206" t="n"/>
      <c r="AB4" s="206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ROUNDDOWN(($C$9/$C$7)*(H5-G5+1)/DAY(H5),-2)</f>
        <v/>
      </c>
      <c r="K5" s="515">
        <f>ROUNDDOWN(($C$16/$C$7)*(H5-G5+1)/DAY(H5),-2)</f>
        <v/>
      </c>
      <c r="L5" s="55" t="n"/>
      <c r="M5" s="54">
        <f>H5-G5+1</f>
        <v/>
      </c>
      <c r="N5" s="55" t="n"/>
      <c r="O5" s="626" t="n"/>
      <c r="P5" s="627" t="n"/>
      <c r="Q5" s="91" t="n"/>
      <c r="R5" s="55" t="n"/>
      <c r="S5" s="626" t="n"/>
      <c r="T5" s="627" t="n"/>
      <c r="U5" s="91" t="n"/>
      <c r="W5" s="206" t="n"/>
      <c r="X5" s="206" t="n"/>
      <c r="Y5" s="495" t="n"/>
      <c r="Z5" s="495" t="n"/>
      <c r="AA5" s="495" t="n"/>
      <c r="AB5" s="206" t="n"/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$C$10</f>
        <v/>
      </c>
      <c r="K6" s="515">
        <f>$C$15</f>
        <v/>
      </c>
      <c r="L6" s="92" t="n"/>
      <c r="M6" s="196">
        <f>H6-G6+1</f>
        <v/>
      </c>
      <c r="N6" s="92" t="n"/>
      <c r="O6" s="206" t="n"/>
      <c r="P6" s="206" t="n"/>
      <c r="Q6" s="94" t="n"/>
      <c r="R6" s="92" t="n"/>
      <c r="S6" s="206" t="n"/>
      <c r="T6" s="206" t="n"/>
      <c r="U6" s="94" t="n"/>
      <c r="W6" s="206" t="n"/>
      <c r="X6" s="500" t="n"/>
      <c r="Y6" s="500" t="n"/>
      <c r="Z6" s="206" t="n"/>
      <c r="AA6" s="206" t="n"/>
      <c r="AB6" s="206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$C$10</f>
        <v/>
      </c>
      <c r="K7" s="515">
        <f>$C$15</f>
        <v/>
      </c>
      <c r="L7" s="92" t="n"/>
      <c r="M7" s="196">
        <f>H7-G7+1</f>
        <v/>
      </c>
      <c r="N7" s="92" t="n"/>
      <c r="O7" s="206" t="n"/>
      <c r="P7" s="206" t="n"/>
      <c r="Q7" s="94" t="n"/>
      <c r="R7" s="92" t="n"/>
      <c r="S7" s="206" t="n"/>
      <c r="T7" s="206" t="n"/>
      <c r="U7" s="94" t="n"/>
      <c r="W7" s="206" t="n"/>
      <c r="X7" s="505" t="n"/>
      <c r="Y7" s="505" t="n"/>
      <c r="Z7" s="505" t="n"/>
      <c r="AA7" s="505" t="n"/>
      <c r="AB7" s="206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$C$10</f>
        <v/>
      </c>
      <c r="K8" s="515">
        <f>$C$15</f>
        <v/>
      </c>
      <c r="L8" s="92" t="n"/>
      <c r="M8" s="196">
        <f>H8-G8+1</f>
        <v/>
      </c>
      <c r="N8" s="92" t="n"/>
      <c r="O8" s="206" t="n"/>
      <c r="P8" s="206" t="n"/>
      <c r="Q8" s="94" t="n"/>
      <c r="R8" s="92" t="n"/>
      <c r="S8" s="206" t="n"/>
      <c r="T8" s="206" t="n"/>
      <c r="U8" s="94" t="n"/>
    </row>
    <row r="9">
      <c r="B9" s="9" t="inlineStr">
        <is>
          <t>총구독료(v-)</t>
        </is>
      </c>
      <c r="C9" s="526" t="n">
        <v>11757600</v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$C$10</f>
        <v/>
      </c>
      <c r="K9" s="515">
        <f>$C$15</f>
        <v/>
      </c>
      <c r="L9" s="92" t="n"/>
      <c r="M9" s="196">
        <f>H9-G9+1</f>
        <v/>
      </c>
      <c r="N9" s="92" t="n"/>
      <c r="O9" s="206" t="n"/>
      <c r="P9" s="206" t="n"/>
      <c r="Q9" s="94" t="n"/>
      <c r="R9" s="92" t="n"/>
      <c r="S9" s="206" t="n"/>
      <c r="T9" s="206" t="n"/>
      <c r="U9" s="94" t="n"/>
    </row>
    <row r="10">
      <c r="B10" s="9" t="inlineStr">
        <is>
          <t>월구독료(v-)</t>
        </is>
      </c>
      <c r="C10" s="526" t="n">
        <v>163300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$C$10</f>
        <v/>
      </c>
      <c r="K10" s="515">
        <f>$C$15</f>
        <v/>
      </c>
      <c r="L10" s="92" t="n"/>
      <c r="M10" s="196">
        <f>H10-G10+1</f>
        <v/>
      </c>
      <c r="N10" s="92" t="n"/>
      <c r="O10" s="206" t="n"/>
      <c r="P10" s="206" t="n"/>
      <c r="Q10" s="94" t="n"/>
      <c r="R10" s="92" t="n"/>
      <c r="S10" s="206" t="n"/>
      <c r="T10" s="206" t="n"/>
      <c r="U10" s="94" t="n"/>
    </row>
    <row r="11"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$C$10</f>
        <v/>
      </c>
      <c r="K11" s="515">
        <f>$C$15</f>
        <v/>
      </c>
      <c r="L11" s="92" t="n"/>
      <c r="M11" s="196">
        <f>H11-G11+1</f>
        <v/>
      </c>
      <c r="N11" s="92" t="n"/>
      <c r="O11" s="206" t="n"/>
      <c r="P11" s="206" t="n"/>
      <c r="Q11" s="94" t="n"/>
      <c r="R11" s="92" t="n"/>
      <c r="S11" s="206" t="n"/>
      <c r="T11" s="206" t="n"/>
      <c r="U11" s="94" t="n"/>
    </row>
    <row r="12"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$C$10</f>
        <v/>
      </c>
      <c r="K12" s="515">
        <f>$C$15</f>
        <v/>
      </c>
      <c r="L12" s="92" t="n"/>
      <c r="M12" s="196">
        <f>H12-G12+1</f>
        <v/>
      </c>
      <c r="N12" s="92" t="n"/>
      <c r="O12" s="206" t="n"/>
      <c r="P12" s="206" t="n"/>
      <c r="Q12" s="94" t="n"/>
      <c r="R12" s="92" t="n"/>
      <c r="S12" s="206" t="n"/>
      <c r="T12" s="206" t="n"/>
      <c r="U12" s="94" t="n"/>
    </row>
    <row r="13">
      <c r="A13" s="176" t="n"/>
      <c r="B13" s="63" t="inlineStr">
        <is>
          <t>(최종) 선납금 (V-)</t>
        </is>
      </c>
      <c r="C13" s="506" t="n">
        <v>3528000</v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$C$10</f>
        <v/>
      </c>
      <c r="K13" s="515">
        <f>$C$15</f>
        <v/>
      </c>
      <c r="L13" s="92" t="n"/>
      <c r="M13" s="196">
        <f>H13-G13+1</f>
        <v/>
      </c>
      <c r="N13" s="92" t="n"/>
      <c r="O13" s="206" t="n"/>
      <c r="P13" s="206" t="n"/>
      <c r="Q13" s="94" t="n"/>
      <c r="R13" s="92" t="n"/>
      <c r="S13" s="206" t="n"/>
      <c r="T13" s="206" t="n"/>
      <c r="U13" s="94" t="n"/>
    </row>
    <row r="14">
      <c r="B14" s="63" t="inlineStr">
        <is>
          <t>(최종) 선납 할인금 (V-)</t>
        </is>
      </c>
      <c r="C14" s="506" t="n">
        <v>590400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$C$10</f>
        <v/>
      </c>
      <c r="K14" s="515">
        <f>$C$15</f>
        <v/>
      </c>
      <c r="L14" s="92" t="n"/>
      <c r="M14" s="196">
        <f>H14-G14+1</f>
        <v/>
      </c>
      <c r="N14" s="92" t="n"/>
      <c r="O14" s="206" t="n"/>
      <c r="P14" s="206" t="n"/>
      <c r="Q14" s="94" t="n"/>
      <c r="R14" s="92" t="n"/>
      <c r="S14" s="206" t="n"/>
      <c r="T14" s="206" t="n"/>
      <c r="U14" s="94" t="n"/>
    </row>
    <row r="15">
      <c r="B15" s="9" t="inlineStr">
        <is>
          <t>(최종) 선납금+선납 할인 반영 월 구독료 (V-)</t>
        </is>
      </c>
      <c r="C15" s="506">
        <f>(C9-C13-C14)/C7</f>
        <v/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$C$10</f>
        <v/>
      </c>
      <c r="K15" s="515">
        <f>$C$15</f>
        <v/>
      </c>
      <c r="L15" s="92" t="n"/>
      <c r="M15" s="196">
        <f>H15-G15+1</f>
        <v/>
      </c>
      <c r="N15" s="92" t="n"/>
      <c r="O15" s="206" t="n"/>
      <c r="P15" s="206" t="n"/>
      <c r="Q15" s="94" t="n"/>
      <c r="R15" s="92" t="n"/>
      <c r="S15" s="206" t="n"/>
      <c r="T15" s="206" t="n"/>
      <c r="U15" s="94" t="n"/>
      <c r="X15" s="500" t="n"/>
    </row>
    <row r="16">
      <c r="B16" s="9" t="inlineStr">
        <is>
          <t>(최종) 선납금+선납 할인 반영 총 구독료 (V-)</t>
        </is>
      </c>
      <c r="C16" s="506">
        <f>C15*C7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$C$10</f>
        <v/>
      </c>
      <c r="K16" s="515">
        <f>$C$15</f>
        <v/>
      </c>
      <c r="L16" s="92" t="n"/>
      <c r="M16" s="196">
        <f>H16-G16+1</f>
        <v/>
      </c>
      <c r="N16" s="92" t="n"/>
      <c r="O16" s="206" t="n"/>
      <c r="P16" s="206" t="n"/>
      <c r="Q16" s="94" t="n"/>
      <c r="R16" s="92" t="n"/>
      <c r="S16" s="206" t="n"/>
      <c r="T16" s="206" t="n"/>
      <c r="U16" s="94" t="n"/>
      <c r="X16" s="500" t="n"/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$C$10</f>
        <v/>
      </c>
      <c r="K17" s="515">
        <f>$C$15</f>
        <v/>
      </c>
      <c r="L17" s="92" t="n"/>
      <c r="M17" s="196">
        <f>H17-G17+1</f>
        <v/>
      </c>
      <c r="N17" s="92" t="n"/>
      <c r="O17" s="206" t="n"/>
      <c r="P17" s="206" t="n"/>
      <c r="Q17" s="94" t="n"/>
      <c r="R17" s="92" t="n"/>
      <c r="S17" s="206" t="n"/>
      <c r="T17" s="206" t="n"/>
      <c r="U17" s="94" t="n"/>
    </row>
    <row r="18">
      <c r="B18" s="495" t="n"/>
      <c r="C18" s="517" t="n"/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$C$10</f>
        <v/>
      </c>
      <c r="K18" s="515">
        <f>$C$15</f>
        <v/>
      </c>
      <c r="L18" s="92" t="n"/>
      <c r="M18" s="196">
        <f>H18-G18+1</f>
        <v/>
      </c>
      <c r="N18" s="92" t="n"/>
      <c r="O18" s="206" t="n"/>
      <c r="P18" s="206" t="n"/>
      <c r="Q18" s="94" t="n"/>
      <c r="R18" s="92" t="n"/>
      <c r="S18" s="206" t="n"/>
      <c r="T18" s="206" t="n"/>
      <c r="U18" s="94" t="n"/>
    </row>
    <row r="19">
      <c r="B19" s="495" t="n"/>
      <c r="C19" s="517" t="n"/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$C$10</f>
        <v/>
      </c>
      <c r="K19" s="515">
        <f>$C$15</f>
        <v/>
      </c>
      <c r="L19" s="92" t="n"/>
      <c r="M19" s="196">
        <f>H19-G19+1</f>
        <v/>
      </c>
      <c r="N19" s="92" t="n"/>
      <c r="O19" s="206" t="n"/>
      <c r="P19" s="206" t="n"/>
      <c r="Q19" s="94" t="n"/>
      <c r="R19" s="92" t="n"/>
      <c r="S19" s="206" t="n"/>
      <c r="T19" s="206" t="n"/>
      <c r="U19" s="94" t="n"/>
    </row>
    <row r="20"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$C$10</f>
        <v/>
      </c>
      <c r="K20" s="515">
        <f>$C$15</f>
        <v/>
      </c>
      <c r="L20" s="92" t="n"/>
      <c r="M20" s="196">
        <f>H20-G20+1</f>
        <v/>
      </c>
      <c r="N20" s="92" t="n"/>
      <c r="O20" s="206" t="n"/>
      <c r="P20" s="206" t="n"/>
      <c r="Q20" s="94" t="n"/>
      <c r="R20" s="92" t="n"/>
      <c r="S20" s="206" t="n"/>
      <c r="T20" s="206" t="n"/>
      <c r="U20" s="94" t="n"/>
    </row>
    <row r="21"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$C$10</f>
        <v/>
      </c>
      <c r="K21" s="515">
        <f>$C$15</f>
        <v/>
      </c>
      <c r="L21" s="92" t="n"/>
      <c r="M21" s="196">
        <f>H21-G21+1</f>
        <v/>
      </c>
      <c r="N21" s="92" t="n"/>
      <c r="O21" s="206" t="n"/>
      <c r="P21" s="206" t="n"/>
      <c r="Q21" s="94" t="n"/>
      <c r="R21" s="92" t="n"/>
      <c r="S21" s="206" t="n"/>
      <c r="T21" s="206" t="n"/>
      <c r="U21" s="94" t="n"/>
    </row>
    <row r="22"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$C$10</f>
        <v/>
      </c>
      <c r="K22" s="515">
        <f>$C$15</f>
        <v/>
      </c>
      <c r="L22" s="92" t="n"/>
      <c r="M22" s="196">
        <f>H22-G22+1</f>
        <v/>
      </c>
      <c r="N22" s="629" t="n"/>
      <c r="O22" s="206" t="n"/>
      <c r="P22" s="206" t="n"/>
      <c r="Q22" s="94" t="n"/>
      <c r="R22" s="92" t="n"/>
      <c r="S22" s="206" t="n"/>
      <c r="T22" s="206" t="n"/>
      <c r="U22" s="94" t="n"/>
      <c r="V22" s="517" t="n"/>
    </row>
    <row r="23"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$C$10</f>
        <v/>
      </c>
      <c r="K23" s="515">
        <f>$C$15</f>
        <v/>
      </c>
      <c r="L23" s="92" t="n"/>
      <c r="M23" s="196">
        <f>H23-G23+1</f>
        <v/>
      </c>
      <c r="N23" s="206" t="inlineStr">
        <is>
          <t>* 위약금은 비과세로 총구독료(v+)기준으로 계산</t>
        </is>
      </c>
      <c r="O23" s="206" t="n"/>
      <c r="P23" s="206" t="n"/>
      <c r="Q23" s="94" t="n"/>
      <c r="R23" s="92" t="n"/>
      <c r="S23" s="206" t="n"/>
      <c r="T23" s="206" t="n"/>
      <c r="U23" s="94" t="n"/>
    </row>
    <row r="24"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$C$10</f>
        <v/>
      </c>
      <c r="K24" s="630">
        <f>$C$15</f>
        <v/>
      </c>
      <c r="L24" s="99" t="n">
        <v>46494</v>
      </c>
      <c r="M24" s="415">
        <f>L24-G24</f>
        <v/>
      </c>
      <c r="N24" s="636">
        <f>ROUNDDOWN(((C9*1.1)*(C8-SUM(M5:M24))/C8)*20%,-1)</f>
        <v/>
      </c>
      <c r="O24" s="632">
        <f>ROUNDDOWN(K24*M24/DAY(H24),-2)</f>
        <v/>
      </c>
      <c r="P24" s="632">
        <f>ROUNDDOWN(C14*SUM(M5:M24)/C8,-2)</f>
        <v/>
      </c>
      <c r="Q24" s="638">
        <f>-ROUNDUP((C13*(C8-SUM(M5:M24))/C8),-2)</f>
        <v/>
      </c>
      <c r="R24" s="636">
        <f>N24</f>
        <v/>
      </c>
      <c r="S24" s="632">
        <f>O24*1.1</f>
        <v/>
      </c>
      <c r="T24" s="632">
        <f>P24*1.1</f>
        <v/>
      </c>
      <c r="U24" s="638">
        <f>Q24*1.1</f>
        <v/>
      </c>
      <c r="V24" s="206" t="inlineStr">
        <is>
          <t>* 위약금, 할인회수, 선납잔액 환불 기준: 일수비율</t>
        </is>
      </c>
    </row>
    <row r="25"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$C$10</f>
        <v/>
      </c>
      <c r="K25" s="515">
        <f>$C$15</f>
        <v/>
      </c>
      <c r="L25" s="92" t="n"/>
      <c r="M25" s="196" t="inlineStr">
        <is>
          <t>* 사용일 기준: 제품판정일 전날까지 사용</t>
        </is>
      </c>
      <c r="N25" s="92" t="n"/>
      <c r="O25" s="539" t="n"/>
      <c r="P25" s="206" t="n"/>
      <c r="Q25" s="94" t="n"/>
      <c r="R25" s="92" t="inlineStr">
        <is>
          <t>* 비과세</t>
        </is>
      </c>
      <c r="S25" s="539" t="n"/>
      <c r="T25" s="206" t="n"/>
      <c r="U25" s="94" t="n"/>
    </row>
    <row r="26"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$C$10</f>
        <v/>
      </c>
      <c r="K26" s="515">
        <f>$C$15</f>
        <v/>
      </c>
      <c r="L26" s="92" t="n"/>
      <c r="M26" s="196" t="n"/>
      <c r="N26" s="92" t="n"/>
      <c r="O26" s="206" t="n"/>
      <c r="P26" s="206" t="n"/>
      <c r="Q26" s="94" t="n"/>
      <c r="R26" s="92" t="n"/>
      <c r="S26" s="206" t="n"/>
      <c r="T26" s="206" t="n"/>
      <c r="U26" s="94" t="n"/>
    </row>
    <row r="27"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$C$10</f>
        <v/>
      </c>
      <c r="K27" s="515">
        <f>$C$15</f>
        <v/>
      </c>
      <c r="L27" s="92" t="n"/>
      <c r="M27" s="196" t="n"/>
      <c r="N27" s="92" t="n"/>
      <c r="O27" s="206" t="n"/>
      <c r="P27" s="206" t="n"/>
      <c r="Q27" s="94" t="n"/>
      <c r="R27" s="92" t="n"/>
      <c r="S27" s="206" t="n"/>
      <c r="T27" s="206" t="n"/>
      <c r="U27" s="94" t="n"/>
    </row>
    <row r="28"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$C$10</f>
        <v/>
      </c>
      <c r="K28" s="515">
        <f>$C$15</f>
        <v/>
      </c>
      <c r="L28" s="92" t="n"/>
      <c r="M28" s="196" t="n"/>
      <c r="N28" s="92" t="n"/>
      <c r="O28" s="206" t="n"/>
      <c r="P28" s="206" t="n"/>
      <c r="Q28" s="94" t="n"/>
      <c r="R28" s="92" t="n"/>
      <c r="S28" s="206" t="n"/>
      <c r="T28" s="206" t="n"/>
      <c r="U28" s="94" t="n"/>
    </row>
    <row r="29"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$C$10</f>
        <v/>
      </c>
      <c r="K29" s="515">
        <f>$C$15</f>
        <v/>
      </c>
      <c r="L29" s="92" t="n"/>
      <c r="M29" s="196" t="n"/>
      <c r="N29" s="92" t="n"/>
      <c r="O29" s="206" t="n"/>
      <c r="P29" s="206" t="n"/>
      <c r="Q29" s="94" t="n"/>
      <c r="R29" s="92" t="n"/>
      <c r="S29" s="206" t="n"/>
      <c r="T29" s="206" t="n"/>
      <c r="U29" s="94" t="n"/>
    </row>
    <row r="30"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$C$10</f>
        <v/>
      </c>
      <c r="K30" s="515">
        <f>$C$15</f>
        <v/>
      </c>
      <c r="L30" s="92" t="n"/>
      <c r="M30" s="196" t="n"/>
      <c r="N30" s="92" t="n"/>
      <c r="O30" s="206" t="n"/>
      <c r="P30" s="206" t="n"/>
      <c r="Q30" s="94" t="n"/>
      <c r="R30" s="92" t="n"/>
      <c r="S30" s="206" t="n"/>
      <c r="T30" s="206" t="n"/>
      <c r="U30" s="94" t="n"/>
    </row>
    <row r="31"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$C$10</f>
        <v/>
      </c>
      <c r="K31" s="515">
        <f>$C$15</f>
        <v/>
      </c>
      <c r="L31" s="92" t="n"/>
      <c r="M31" s="196" t="n"/>
      <c r="N31" s="92" t="n"/>
      <c r="O31" s="206" t="n"/>
      <c r="P31" s="206" t="n"/>
      <c r="Q31" s="94" t="n"/>
      <c r="R31" s="92" t="n"/>
      <c r="S31" s="206" t="n"/>
      <c r="T31" s="206" t="n"/>
      <c r="U31" s="94" t="n"/>
    </row>
    <row r="32"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$C$10</f>
        <v/>
      </c>
      <c r="K32" s="515">
        <f>$C$15</f>
        <v/>
      </c>
      <c r="L32" s="92" t="n"/>
      <c r="M32" s="196" t="n"/>
      <c r="N32" s="92" t="n"/>
      <c r="O32" s="206" t="n"/>
      <c r="P32" s="206" t="n"/>
      <c r="Q32" s="94" t="n"/>
      <c r="R32" s="92" t="n"/>
      <c r="S32" s="206" t="n"/>
      <c r="T32" s="206" t="n"/>
      <c r="U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$C$10</f>
        <v/>
      </c>
      <c r="K33" s="515">
        <f>$C$15</f>
        <v/>
      </c>
      <c r="L33" s="92" t="n"/>
      <c r="M33" s="196" t="n"/>
      <c r="N33" s="92" t="n"/>
      <c r="O33" s="206" t="n"/>
      <c r="P33" s="206" t="n"/>
      <c r="Q33" s="94" t="n"/>
      <c r="R33" s="92" t="n"/>
      <c r="S33" s="206" t="n"/>
      <c r="T33" s="206" t="n"/>
      <c r="U33" s="94" t="n"/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$C$10</f>
        <v/>
      </c>
      <c r="K34" s="515">
        <f>$C$15</f>
        <v/>
      </c>
      <c r="L34" s="92" t="n"/>
      <c r="M34" s="196" t="n"/>
      <c r="N34" s="92" t="n"/>
      <c r="O34" s="206" t="n"/>
      <c r="P34" s="206" t="n"/>
      <c r="Q34" s="94" t="n"/>
      <c r="R34" s="92" t="n"/>
      <c r="S34" s="206" t="n"/>
      <c r="T34" s="206" t="n"/>
      <c r="U34" s="94" t="n"/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$C$10</f>
        <v/>
      </c>
      <c r="K35" s="515">
        <f>$C$15</f>
        <v/>
      </c>
      <c r="L35" s="92" t="n"/>
      <c r="M35" s="196" t="n"/>
      <c r="N35" s="92" t="n"/>
      <c r="O35" s="206" t="n"/>
      <c r="P35" s="206" t="n"/>
      <c r="Q35" s="94" t="n"/>
      <c r="R35" s="92" t="n"/>
      <c r="S35" s="206" t="n"/>
      <c r="T35" s="206" t="n"/>
      <c r="U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$C$10</f>
        <v/>
      </c>
      <c r="K36" s="515">
        <f>$C$15</f>
        <v/>
      </c>
      <c r="L36" s="92" t="n"/>
      <c r="M36" s="196" t="n"/>
      <c r="N36" s="92" t="n"/>
      <c r="O36" s="206" t="n"/>
      <c r="P36" s="206" t="n"/>
      <c r="Q36" s="94" t="n"/>
      <c r="R36" s="92" t="n"/>
      <c r="S36" s="206" t="n"/>
      <c r="T36" s="206" t="n"/>
      <c r="U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$C$10</f>
        <v/>
      </c>
      <c r="K37" s="515">
        <f>$C$15</f>
        <v/>
      </c>
      <c r="L37" s="92" t="n"/>
      <c r="M37" s="196" t="n"/>
      <c r="N37" s="92" t="n"/>
      <c r="O37" s="206" t="n"/>
      <c r="P37" s="206" t="n"/>
      <c r="Q37" s="94" t="n"/>
      <c r="R37" s="92" t="n"/>
      <c r="S37" s="206" t="n"/>
      <c r="T37" s="206" t="n"/>
      <c r="U37" s="94" t="n"/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$C$10</f>
        <v/>
      </c>
      <c r="K38" s="515">
        <f>$C$15</f>
        <v/>
      </c>
      <c r="L38" s="92" t="n"/>
      <c r="M38" s="196" t="n"/>
      <c r="N38" s="92" t="n"/>
      <c r="O38" s="206" t="n"/>
      <c r="P38" s="206" t="n"/>
      <c r="Q38" s="94" t="n"/>
      <c r="R38" s="92" t="n"/>
      <c r="S38" s="206" t="n"/>
      <c r="T38" s="206" t="n"/>
      <c r="U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$C$10</f>
        <v/>
      </c>
      <c r="K39" s="515">
        <f>$C$15</f>
        <v/>
      </c>
      <c r="L39" s="92" t="n"/>
      <c r="M39" s="196" t="n"/>
      <c r="N39" s="92" t="n"/>
      <c r="O39" s="206" t="n"/>
      <c r="P39" s="206" t="n"/>
      <c r="Q39" s="94" t="n"/>
      <c r="R39" s="92" t="n"/>
      <c r="S39" s="206" t="n"/>
      <c r="T39" s="206" t="n"/>
      <c r="U39" s="94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$C$10</f>
        <v/>
      </c>
      <c r="K40" s="515">
        <f>$C$15</f>
        <v/>
      </c>
      <c r="L40" s="92" t="n"/>
      <c r="M40" s="196" t="n"/>
      <c r="N40" s="92" t="n"/>
      <c r="O40" s="206" t="n"/>
      <c r="P40" s="206" t="n"/>
      <c r="Q40" s="94" t="n"/>
      <c r="R40" s="92" t="n"/>
      <c r="S40" s="206" t="n"/>
      <c r="T40" s="206" t="n"/>
      <c r="U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$C$10</f>
        <v/>
      </c>
      <c r="K41" s="515">
        <f>$C$15</f>
        <v/>
      </c>
      <c r="L41" s="92" t="n"/>
      <c r="M41" s="196" t="n"/>
      <c r="N41" s="92" t="n"/>
      <c r="O41" s="206" t="n"/>
      <c r="P41" s="206" t="n"/>
      <c r="Q41" s="94" t="n"/>
      <c r="R41" s="92" t="n"/>
      <c r="S41" s="206" t="n"/>
      <c r="T41" s="206" t="n"/>
      <c r="U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$C$10</f>
        <v/>
      </c>
      <c r="K42" s="515">
        <f>$C$15</f>
        <v/>
      </c>
      <c r="L42" s="92" t="n"/>
      <c r="M42" s="196" t="n"/>
      <c r="N42" s="92" t="n"/>
      <c r="O42" s="206" t="n"/>
      <c r="P42" s="206" t="n"/>
      <c r="Q42" s="94" t="n"/>
      <c r="R42" s="92" t="n"/>
      <c r="S42" s="206" t="n"/>
      <c r="T42" s="206" t="n"/>
      <c r="U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$C$10</f>
        <v/>
      </c>
      <c r="K43" s="515">
        <f>$C$15</f>
        <v/>
      </c>
      <c r="L43" s="92" t="n"/>
      <c r="M43" s="196" t="n"/>
      <c r="N43" s="92" t="n"/>
      <c r="O43" s="206" t="n"/>
      <c r="P43" s="206" t="n"/>
      <c r="Q43" s="94" t="n"/>
      <c r="R43" s="92" t="n"/>
      <c r="S43" s="206" t="n"/>
      <c r="T43" s="206" t="n"/>
      <c r="U43" s="94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$C$10</f>
        <v/>
      </c>
      <c r="K44" s="515">
        <f>$C$15</f>
        <v/>
      </c>
      <c r="L44" s="92" t="n"/>
      <c r="M44" s="196" t="n"/>
      <c r="N44" s="92" t="n"/>
      <c r="O44" s="206" t="n"/>
      <c r="P44" s="206" t="n"/>
      <c r="Q44" s="94" t="n"/>
      <c r="R44" s="92" t="n"/>
      <c r="S44" s="206" t="n"/>
      <c r="T44" s="206" t="n"/>
      <c r="U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$C$10</f>
        <v/>
      </c>
      <c r="K45" s="515">
        <f>$C$15</f>
        <v/>
      </c>
      <c r="L45" s="92" t="n"/>
      <c r="M45" s="196" t="n"/>
      <c r="N45" s="92" t="n"/>
      <c r="O45" s="206" t="n"/>
      <c r="P45" s="206" t="n"/>
      <c r="Q45" s="94" t="n"/>
      <c r="R45" s="92" t="n"/>
      <c r="S45" s="206" t="n"/>
      <c r="T45" s="206" t="n"/>
      <c r="U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$C$10</f>
        <v/>
      </c>
      <c r="K46" s="515">
        <f>$C$15</f>
        <v/>
      </c>
      <c r="L46" s="92" t="n"/>
      <c r="M46" s="196" t="n"/>
      <c r="N46" s="92" t="n"/>
      <c r="O46" s="206" t="n"/>
      <c r="P46" s="206" t="n"/>
      <c r="Q46" s="94" t="n"/>
      <c r="R46" s="92" t="n"/>
      <c r="S46" s="206" t="n"/>
      <c r="T46" s="206" t="n"/>
      <c r="U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$C$10</f>
        <v/>
      </c>
      <c r="K47" s="515">
        <f>$C$15</f>
        <v/>
      </c>
      <c r="L47" s="92" t="n"/>
      <c r="M47" s="196" t="n"/>
      <c r="N47" s="92" t="n"/>
      <c r="O47" s="206" t="n"/>
      <c r="P47" s="206" t="n"/>
      <c r="Q47" s="94" t="n"/>
      <c r="R47" s="92" t="n"/>
      <c r="S47" s="206" t="n"/>
      <c r="T47" s="206" t="n"/>
      <c r="U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$C$10</f>
        <v/>
      </c>
      <c r="K48" s="515">
        <f>$C$15</f>
        <v/>
      </c>
      <c r="L48" s="92" t="n"/>
      <c r="M48" s="196" t="n"/>
      <c r="N48" s="92" t="n"/>
      <c r="O48" s="206" t="n"/>
      <c r="P48" s="206" t="n"/>
      <c r="Q48" s="94" t="n"/>
      <c r="R48" s="92" t="n"/>
      <c r="S48" s="206" t="n"/>
      <c r="T48" s="206" t="n"/>
      <c r="U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$C$10</f>
        <v/>
      </c>
      <c r="K49" s="515">
        <f>$C$15</f>
        <v/>
      </c>
      <c r="L49" s="92" t="n"/>
      <c r="M49" s="196" t="n"/>
      <c r="N49" s="92" t="n"/>
      <c r="O49" s="206" t="n"/>
      <c r="P49" s="206" t="n"/>
      <c r="Q49" s="94" t="n"/>
      <c r="R49" s="92" t="n"/>
      <c r="S49" s="206" t="n"/>
      <c r="T49" s="206" t="n"/>
      <c r="U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$C$10</f>
        <v/>
      </c>
      <c r="K50" s="515">
        <f>$C$15</f>
        <v/>
      </c>
      <c r="L50" s="92" t="n"/>
      <c r="M50" s="196" t="n"/>
      <c r="N50" s="92" t="n"/>
      <c r="O50" s="206" t="n"/>
      <c r="P50" s="206" t="n"/>
      <c r="Q50" s="94" t="n"/>
      <c r="R50" s="92" t="n"/>
      <c r="S50" s="206" t="n"/>
      <c r="T50" s="206" t="n"/>
      <c r="U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$C$10</f>
        <v/>
      </c>
      <c r="K51" s="515">
        <f>$C$15</f>
        <v/>
      </c>
      <c r="L51" s="92" t="n"/>
      <c r="M51" s="196" t="n"/>
      <c r="N51" s="92" t="n"/>
      <c r="O51" s="206" t="n"/>
      <c r="P51" s="206" t="n"/>
      <c r="Q51" s="94" t="n"/>
      <c r="R51" s="92" t="n"/>
      <c r="S51" s="206" t="n"/>
      <c r="T51" s="206" t="n"/>
      <c r="U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$C$10</f>
        <v/>
      </c>
      <c r="K52" s="515">
        <f>$C$15</f>
        <v/>
      </c>
      <c r="L52" s="92" t="n"/>
      <c r="M52" s="196" t="n"/>
      <c r="N52" s="92" t="n"/>
      <c r="O52" s="206" t="n"/>
      <c r="P52" s="206" t="n"/>
      <c r="Q52" s="94" t="n"/>
      <c r="R52" s="92" t="n"/>
      <c r="S52" s="206" t="n"/>
      <c r="T52" s="206" t="n"/>
      <c r="U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$C$10</f>
        <v/>
      </c>
      <c r="K53" s="515">
        <f>$C$15</f>
        <v/>
      </c>
      <c r="L53" s="92" t="n"/>
      <c r="M53" s="196" t="n"/>
      <c r="N53" s="92" t="n"/>
      <c r="O53" s="206" t="n"/>
      <c r="P53" s="206" t="n"/>
      <c r="Q53" s="94" t="n"/>
      <c r="R53" s="92" t="n"/>
      <c r="S53" s="206" t="n"/>
      <c r="T53" s="206" t="n"/>
      <c r="U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$C$10</f>
        <v/>
      </c>
      <c r="K54" s="515">
        <f>$C$15</f>
        <v/>
      </c>
      <c r="L54" s="92" t="n"/>
      <c r="M54" s="196" t="n"/>
      <c r="N54" s="92" t="n"/>
      <c r="O54" s="206" t="n"/>
      <c r="P54" s="206" t="n"/>
      <c r="Q54" s="94" t="n"/>
      <c r="R54" s="92" t="n"/>
      <c r="S54" s="206" t="n"/>
      <c r="T54" s="206" t="n"/>
      <c r="U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$C$10</f>
        <v/>
      </c>
      <c r="K55" s="515">
        <f>$C$15</f>
        <v/>
      </c>
      <c r="L55" s="92" t="n"/>
      <c r="M55" s="196" t="n"/>
      <c r="N55" s="92" t="n"/>
      <c r="O55" s="206" t="n"/>
      <c r="P55" s="206" t="n"/>
      <c r="Q55" s="94" t="n"/>
      <c r="R55" s="92" t="n"/>
      <c r="S55" s="206" t="n"/>
      <c r="T55" s="206" t="n"/>
      <c r="U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$C$10</f>
        <v/>
      </c>
      <c r="K56" s="515">
        <f>$C$15</f>
        <v/>
      </c>
      <c r="L56" s="92" t="n"/>
      <c r="M56" s="196" t="n"/>
      <c r="N56" s="92" t="n"/>
      <c r="O56" s="206" t="n"/>
      <c r="P56" s="206" t="n"/>
      <c r="Q56" s="94" t="n"/>
      <c r="R56" s="92" t="n"/>
      <c r="S56" s="206" t="n"/>
      <c r="T56" s="206" t="n"/>
      <c r="U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$C$10</f>
        <v/>
      </c>
      <c r="K57" s="515">
        <f>$C$15</f>
        <v/>
      </c>
      <c r="L57" s="92" t="n"/>
      <c r="M57" s="196" t="n"/>
      <c r="N57" s="92" t="n"/>
      <c r="O57" s="206" t="n"/>
      <c r="P57" s="206" t="n"/>
      <c r="Q57" s="94" t="n"/>
      <c r="R57" s="92" t="n"/>
      <c r="S57" s="206" t="n"/>
      <c r="T57" s="206" t="n"/>
      <c r="U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$C$10</f>
        <v/>
      </c>
      <c r="K58" s="515">
        <f>$C$15</f>
        <v/>
      </c>
      <c r="L58" s="92" t="n"/>
      <c r="M58" s="196" t="n"/>
      <c r="N58" s="92" t="n"/>
      <c r="O58" s="206" t="n"/>
      <c r="P58" s="206" t="n"/>
      <c r="Q58" s="94" t="n"/>
      <c r="R58" s="92" t="n"/>
      <c r="S58" s="206" t="n"/>
      <c r="T58" s="206" t="n"/>
      <c r="U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$C$10</f>
        <v/>
      </c>
      <c r="K59" s="515">
        <f>$C$15</f>
        <v/>
      </c>
      <c r="L59" s="92" t="n"/>
      <c r="M59" s="196" t="n"/>
      <c r="N59" s="92" t="n"/>
      <c r="O59" s="206" t="n"/>
      <c r="P59" s="206" t="n"/>
      <c r="Q59" s="94" t="n"/>
      <c r="R59" s="92" t="n"/>
      <c r="S59" s="206" t="n"/>
      <c r="T59" s="206" t="n"/>
      <c r="U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$C$10</f>
        <v/>
      </c>
      <c r="K60" s="515">
        <f>$C$15</f>
        <v/>
      </c>
      <c r="L60" s="92" t="n"/>
      <c r="M60" s="196" t="n"/>
      <c r="N60" s="92" t="n"/>
      <c r="O60" s="206" t="n"/>
      <c r="P60" s="206" t="n"/>
      <c r="Q60" s="94" t="n"/>
      <c r="R60" s="92" t="n"/>
      <c r="S60" s="206" t="n"/>
      <c r="T60" s="206" t="n"/>
      <c r="U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$C$10</f>
        <v/>
      </c>
      <c r="K61" s="515">
        <f>$C$15</f>
        <v/>
      </c>
      <c r="L61" s="92" t="n"/>
      <c r="M61" s="196" t="n"/>
      <c r="N61" s="92" t="n"/>
      <c r="O61" s="206" t="n"/>
      <c r="P61" s="206" t="n"/>
      <c r="Q61" s="94" t="n"/>
      <c r="R61" s="92" t="n"/>
      <c r="S61" s="206" t="n"/>
      <c r="T61" s="206" t="n"/>
      <c r="U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$C$10</f>
        <v/>
      </c>
      <c r="K62" s="515">
        <f>$C$15</f>
        <v/>
      </c>
      <c r="L62" s="92" t="n"/>
      <c r="M62" s="196" t="n"/>
      <c r="N62" s="92" t="n"/>
      <c r="O62" s="206" t="n"/>
      <c r="P62" s="206" t="n"/>
      <c r="Q62" s="94" t="n"/>
      <c r="R62" s="92" t="n"/>
      <c r="S62" s="206" t="n"/>
      <c r="T62" s="206" t="n"/>
      <c r="U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$C$10</f>
        <v/>
      </c>
      <c r="K63" s="515">
        <f>$C$15</f>
        <v/>
      </c>
      <c r="L63" s="92" t="n"/>
      <c r="M63" s="196" t="n"/>
      <c r="N63" s="92" t="n"/>
      <c r="O63" s="206" t="n"/>
      <c r="P63" s="206" t="n"/>
      <c r="Q63" s="94" t="n"/>
      <c r="R63" s="92" t="n"/>
      <c r="S63" s="206" t="n"/>
      <c r="T63" s="206" t="n"/>
      <c r="U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$C$10</f>
        <v/>
      </c>
      <c r="K64" s="515">
        <f>$C$15</f>
        <v/>
      </c>
      <c r="L64" s="92" t="n"/>
      <c r="M64" s="196" t="n"/>
      <c r="N64" s="92" t="n"/>
      <c r="O64" s="206" t="n"/>
      <c r="P64" s="206" t="n"/>
      <c r="Q64" s="94" t="n"/>
      <c r="R64" s="92" t="n"/>
      <c r="S64" s="206" t="n"/>
      <c r="T64" s="206" t="n"/>
      <c r="U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$C$10</f>
        <v/>
      </c>
      <c r="K65" s="515">
        <f>$C$15</f>
        <v/>
      </c>
      <c r="L65" s="92" t="n"/>
      <c r="M65" s="196" t="n"/>
      <c r="N65" s="92" t="n"/>
      <c r="O65" s="206" t="n"/>
      <c r="P65" s="206" t="n"/>
      <c r="Q65" s="94" t="n"/>
      <c r="R65" s="92" t="n"/>
      <c r="S65" s="206" t="n"/>
      <c r="T65" s="206" t="n"/>
      <c r="U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$C$10</f>
        <v/>
      </c>
      <c r="K66" s="515">
        <f>$C$15</f>
        <v/>
      </c>
      <c r="L66" s="92" t="n"/>
      <c r="M66" s="196" t="n"/>
      <c r="N66" s="92" t="n"/>
      <c r="O66" s="206" t="n"/>
      <c r="P66" s="206" t="n"/>
      <c r="Q66" s="94" t="n"/>
      <c r="R66" s="92" t="n"/>
      <c r="S66" s="206" t="n"/>
      <c r="T66" s="206" t="n"/>
      <c r="U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$C$10</f>
        <v/>
      </c>
      <c r="K67" s="515">
        <f>$C$15</f>
        <v/>
      </c>
      <c r="L67" s="92" t="n"/>
      <c r="M67" s="196" t="n"/>
      <c r="N67" s="92" t="n"/>
      <c r="O67" s="206" t="n"/>
      <c r="P67" s="206" t="n"/>
      <c r="Q67" s="94" t="n"/>
      <c r="R67" s="92" t="n"/>
      <c r="S67" s="206" t="n"/>
      <c r="T67" s="206" t="n"/>
      <c r="U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$C$10</f>
        <v/>
      </c>
      <c r="K68" s="515">
        <f>$C$15</f>
        <v/>
      </c>
      <c r="L68" s="92" t="n"/>
      <c r="M68" s="196" t="n"/>
      <c r="N68" s="92" t="n"/>
      <c r="O68" s="206" t="n"/>
      <c r="P68" s="206" t="n"/>
      <c r="Q68" s="94" t="n"/>
      <c r="R68" s="92" t="n"/>
      <c r="S68" s="206" t="n"/>
      <c r="T68" s="206" t="n"/>
      <c r="U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$C$10</f>
        <v/>
      </c>
      <c r="K69" s="515">
        <f>$C$15</f>
        <v/>
      </c>
      <c r="L69" s="92" t="n"/>
      <c r="M69" s="196" t="n"/>
      <c r="N69" s="92" t="n"/>
      <c r="O69" s="206" t="n"/>
      <c r="P69" s="206" t="n"/>
      <c r="Q69" s="94" t="n"/>
      <c r="R69" s="92" t="n"/>
      <c r="S69" s="206" t="n"/>
      <c r="T69" s="206" t="n"/>
      <c r="U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$C$10</f>
        <v/>
      </c>
      <c r="K70" s="515">
        <f>$C$15</f>
        <v/>
      </c>
      <c r="L70" s="92" t="n"/>
      <c r="M70" s="196" t="n"/>
      <c r="N70" s="92" t="n"/>
      <c r="O70" s="206" t="n"/>
      <c r="P70" s="206" t="n"/>
      <c r="Q70" s="94" t="n"/>
      <c r="R70" s="92" t="n"/>
      <c r="S70" s="206" t="n"/>
      <c r="T70" s="206" t="n"/>
      <c r="U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$C$10</f>
        <v/>
      </c>
      <c r="K71" s="515">
        <f>$C$15</f>
        <v/>
      </c>
      <c r="L71" s="92" t="n"/>
      <c r="M71" s="196" t="n"/>
      <c r="N71" s="92" t="n"/>
      <c r="O71" s="206" t="n"/>
      <c r="P71" s="206" t="n"/>
      <c r="Q71" s="94" t="n"/>
      <c r="R71" s="92" t="n"/>
      <c r="S71" s="206" t="n"/>
      <c r="T71" s="206" t="n"/>
      <c r="U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$C$10</f>
        <v/>
      </c>
      <c r="K72" s="515">
        <f>$C$15</f>
        <v/>
      </c>
      <c r="L72" s="92" t="n"/>
      <c r="M72" s="196" t="n"/>
      <c r="N72" s="92" t="n"/>
      <c r="O72" s="206" t="n"/>
      <c r="P72" s="206" t="n"/>
      <c r="Q72" s="94" t="n"/>
      <c r="R72" s="92" t="n"/>
      <c r="S72" s="206" t="n"/>
      <c r="T72" s="206" t="n"/>
      <c r="U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$C$10</f>
        <v/>
      </c>
      <c r="K73" s="515">
        <f>$C$15</f>
        <v/>
      </c>
      <c r="L73" s="92" t="n"/>
      <c r="M73" s="196" t="n"/>
      <c r="N73" s="92" t="n"/>
      <c r="O73" s="206" t="n"/>
      <c r="P73" s="206" t="n"/>
      <c r="Q73" s="94" t="n"/>
      <c r="R73" s="92" t="n"/>
      <c r="S73" s="206" t="n"/>
      <c r="T73" s="206" t="n"/>
      <c r="U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$C$10</f>
        <v/>
      </c>
      <c r="K74" s="515">
        <f>$C$15</f>
        <v/>
      </c>
      <c r="L74" s="92" t="n"/>
      <c r="M74" s="196" t="n"/>
      <c r="N74" s="92" t="n"/>
      <c r="O74" s="206" t="n"/>
      <c r="P74" s="206" t="n"/>
      <c r="Q74" s="94" t="n"/>
      <c r="R74" s="92" t="n"/>
      <c r="S74" s="206" t="n"/>
      <c r="T74" s="206" t="n"/>
      <c r="U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$C$10</f>
        <v/>
      </c>
      <c r="K75" s="515">
        <f>$C$15</f>
        <v/>
      </c>
      <c r="L75" s="92" t="n"/>
      <c r="M75" s="196" t="n"/>
      <c r="N75" s="92" t="n"/>
      <c r="O75" s="206" t="n"/>
      <c r="P75" s="206" t="n"/>
      <c r="Q75" s="94" t="n"/>
      <c r="R75" s="92" t="n"/>
      <c r="S75" s="206" t="n"/>
      <c r="T75" s="206" t="n"/>
      <c r="U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$C$10</f>
        <v/>
      </c>
      <c r="K76" s="515">
        <f>$C$15</f>
        <v/>
      </c>
      <c r="L76" s="92" t="n"/>
      <c r="M76" s="196" t="n"/>
      <c r="N76" s="92" t="n"/>
      <c r="O76" s="206" t="n"/>
      <c r="P76" s="206" t="n"/>
      <c r="Q76" s="94" t="n"/>
      <c r="R76" s="92" t="n"/>
      <c r="S76" s="206" t="n"/>
      <c r="T76" s="206" t="n"/>
      <c r="U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$C$10-J5</f>
        <v/>
      </c>
      <c r="K77" s="581">
        <f>$C$15-K5</f>
        <v/>
      </c>
      <c r="L77" s="59" t="n"/>
      <c r="M77" s="12" t="n"/>
      <c r="N77" s="59" t="n"/>
      <c r="O77" s="95" t="n"/>
      <c r="P77" s="95" t="n"/>
      <c r="Q77" s="97" t="n"/>
      <c r="R77" s="59" t="n"/>
      <c r="S77" s="95" t="n"/>
      <c r="T77" s="95" t="n"/>
      <c r="U77" s="97" t="n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2:AD77"/>
  <sheetViews>
    <sheetView showGridLines="0" zoomScale="70" zoomScaleNormal="70" workbookViewId="0">
      <selection activeCell="W40" sqref="W40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3" bestFit="1" customWidth="1" style="497" min="10" max="10"/>
    <col width="21.5" bestFit="1" customWidth="1" style="497" min="11" max="11"/>
    <col width="18.6875" bestFit="1" customWidth="1" style="497" min="12" max="12"/>
    <col width="9.375" customWidth="1" style="497" min="13" max="13"/>
    <col width="11.6875" bestFit="1" customWidth="1" style="497" min="14" max="14"/>
    <col width="13.6875" customWidth="1" style="497" min="15" max="17"/>
    <col width="12.1875" bestFit="1" customWidth="1" style="497" min="18" max="18"/>
    <col width="7.375" bestFit="1" customWidth="1" style="497" min="19" max="19"/>
    <col width="13.5" bestFit="1" customWidth="1" style="497" min="20" max="20"/>
    <col width="11.875" bestFit="1" customWidth="1" style="497" min="21" max="22"/>
    <col width="11.875" customWidth="1" style="497" min="23" max="23"/>
    <col width="14" bestFit="1" customWidth="1" style="497" min="24" max="24"/>
    <col width="10.1875" bestFit="1" customWidth="1" style="497" min="27" max="27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 t="n"/>
      <c r="M2" s="500" t="n"/>
      <c r="N2" s="500" t="n"/>
      <c r="O2" s="500" t="n"/>
      <c r="P2" s="500" t="n"/>
      <c r="Q2" s="500" t="n"/>
      <c r="T2" s="206" t="inlineStr">
        <is>
          <t>* 위약금은 비과세로 V+기준으로 계산</t>
        </is>
      </c>
    </row>
    <row r="3">
      <c r="I3" s="8" t="n"/>
      <c r="J3" s="501" t="inlineStr">
        <is>
          <t>기본 (v-)</t>
        </is>
      </c>
      <c r="K3" s="75" t="inlineStr">
        <is>
          <t>선납+선납할인 시 (v-)</t>
        </is>
      </c>
      <c r="L3" s="75" t="inlineStr">
        <is>
          <t>연체 누적 시 (V-)</t>
        </is>
      </c>
      <c r="M3" s="75" t="n"/>
      <c r="N3" s="76" t="n"/>
      <c r="O3" s="75" t="n"/>
      <c r="P3" s="76" t="n"/>
      <c r="Q3" s="137" t="n"/>
      <c r="R3" s="75" t="inlineStr">
        <is>
          <t>연체3개월 초과 강제해지 (v-)</t>
        </is>
      </c>
      <c r="S3" s="70" t="n"/>
      <c r="T3" s="70" t="n"/>
      <c r="U3" s="70" t="n"/>
      <c r="V3" s="70" t="n"/>
      <c r="W3" s="70" t="n"/>
      <c r="X3" s="71" t="n"/>
      <c r="AD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9" t="inlineStr">
        <is>
          <t>구독료청구</t>
        </is>
      </c>
      <c r="L4" s="9" t="inlineStr">
        <is>
          <t>구독료(연체료)청구</t>
        </is>
      </c>
      <c r="M4" s="9" t="inlineStr">
        <is>
          <t>납부여부</t>
        </is>
      </c>
      <c r="N4" s="63" t="inlineStr">
        <is>
          <t>누적 연체이자</t>
        </is>
      </c>
      <c r="O4" s="154" t="inlineStr">
        <is>
          <t>연체 1회</t>
        </is>
      </c>
      <c r="P4" s="136" t="inlineStr">
        <is>
          <t>연체 2회</t>
        </is>
      </c>
      <c r="Q4" s="155" t="inlineStr">
        <is>
          <t>연체 3회</t>
        </is>
      </c>
      <c r="R4" s="9" t="inlineStr">
        <is>
          <t>계약중지</t>
        </is>
      </c>
      <c r="S4" s="9" t="inlineStr">
        <is>
          <t>경과일</t>
        </is>
      </c>
      <c r="T4" s="26" t="inlineStr">
        <is>
          <t>위약금</t>
        </is>
      </c>
      <c r="U4" s="15" t="inlineStr">
        <is>
          <t>사용분 청구</t>
        </is>
      </c>
      <c r="V4" s="15" t="inlineStr">
        <is>
          <t>할인금 회수</t>
        </is>
      </c>
      <c r="W4" s="136" t="inlineStr">
        <is>
          <t>연체이자</t>
        </is>
      </c>
      <c r="X4" s="27" t="inlineStr">
        <is>
          <t>선납잔액 환불</t>
        </is>
      </c>
      <c r="AA4" s="495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ROUNDDOWN(($C$9/$C$7)*(H5-G5+1)/DAY(H5),-2)</f>
        <v/>
      </c>
      <c r="K5" s="515">
        <f>ROUNDDOWN(($C$16/$C$7)*(H5-G5+1)/DAY(H5),-2)</f>
        <v/>
      </c>
      <c r="L5" s="515">
        <f>K5</f>
        <v/>
      </c>
      <c r="M5" s="573" t="n"/>
      <c r="N5" s="573" t="n"/>
      <c r="O5" s="516" t="n"/>
      <c r="P5" s="500" t="n"/>
      <c r="Q5" s="519" t="n"/>
      <c r="R5" s="54" t="n"/>
      <c r="S5" s="280">
        <f>H5-G5+1</f>
        <v/>
      </c>
      <c r="T5" s="55" t="n"/>
      <c r="U5" s="626" t="n"/>
      <c r="V5" s="627" t="n"/>
      <c r="W5" s="627" t="n"/>
      <c r="X5" s="91" t="n"/>
      <c r="AA5" s="495" t="n"/>
      <c r="AB5" s="495" t="n"/>
      <c r="AC5" s="495" t="n"/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$C$10</f>
        <v/>
      </c>
      <c r="K6" s="515">
        <f>$C$15</f>
        <v/>
      </c>
      <c r="L6" s="515">
        <f>K6</f>
        <v/>
      </c>
      <c r="M6" s="573" t="n"/>
      <c r="N6" s="573" t="n"/>
      <c r="O6" s="516" t="n"/>
      <c r="P6" s="500" t="n"/>
      <c r="Q6" s="519" t="n"/>
      <c r="R6" s="196" t="n"/>
      <c r="S6" s="281">
        <f>H6-G6+1</f>
        <v/>
      </c>
      <c r="T6" s="92" t="n"/>
      <c r="U6" s="206" t="n"/>
      <c r="V6" s="206" t="n"/>
      <c r="W6" s="206" t="n"/>
      <c r="X6" s="94" t="n"/>
      <c r="AA6" s="500" t="n"/>
      <c r="AB6" s="206" t="n"/>
      <c r="AC6" s="206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$C$10</f>
        <v/>
      </c>
      <c r="K7" s="515">
        <f>$C$15</f>
        <v/>
      </c>
      <c r="L7" s="515">
        <f>K7</f>
        <v/>
      </c>
      <c r="M7" s="573" t="n"/>
      <c r="N7" s="573" t="n"/>
      <c r="O7" s="516" t="n"/>
      <c r="P7" s="500" t="n"/>
      <c r="Q7" s="519" t="n"/>
      <c r="R7" s="196" t="n"/>
      <c r="S7" s="281">
        <f>H7-G7+1</f>
        <v/>
      </c>
      <c r="T7" s="92" t="n"/>
      <c r="U7" s="206" t="n"/>
      <c r="V7" s="206" t="n"/>
      <c r="W7" s="206" t="n"/>
      <c r="X7" s="94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$C$10</f>
        <v/>
      </c>
      <c r="K8" s="515">
        <f>$C$15</f>
        <v/>
      </c>
      <c r="L8" s="515">
        <f>K8</f>
        <v/>
      </c>
      <c r="M8" s="573" t="n"/>
      <c r="N8" s="573" t="n"/>
      <c r="O8" s="516" t="n"/>
      <c r="P8" s="500" t="n"/>
      <c r="Q8" s="519" t="n"/>
      <c r="R8" s="196" t="n"/>
      <c r="S8" s="281">
        <f>H8-G8+1</f>
        <v/>
      </c>
      <c r="T8" s="92" t="n"/>
      <c r="U8" s="206" t="n"/>
      <c r="V8" s="206" t="n"/>
      <c r="W8" s="206" t="n"/>
      <c r="X8" s="94" t="n"/>
    </row>
    <row r="9">
      <c r="B9" s="9" t="inlineStr">
        <is>
          <t>총구독료(v-)</t>
        </is>
      </c>
      <c r="C9" s="526" t="n">
        <v>11757600</v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$C$10</f>
        <v/>
      </c>
      <c r="K9" s="515">
        <f>$C$15</f>
        <v/>
      </c>
      <c r="L9" s="515">
        <f>K9</f>
        <v/>
      </c>
      <c r="M9" s="573" t="n"/>
      <c r="N9" s="573" t="n"/>
      <c r="O9" s="516" t="n"/>
      <c r="P9" s="500" t="n"/>
      <c r="Q9" s="519" t="n"/>
      <c r="R9" s="196" t="n"/>
      <c r="S9" s="281">
        <f>H9-G9+1</f>
        <v/>
      </c>
      <c r="T9" s="92" t="n"/>
      <c r="U9" s="206" t="n"/>
      <c r="V9" s="206" t="n"/>
      <c r="W9" s="206" t="n"/>
      <c r="X9" s="94" t="n"/>
    </row>
    <row r="10">
      <c r="B10" s="9" t="inlineStr">
        <is>
          <t>월구독료(v-)</t>
        </is>
      </c>
      <c r="C10" s="526" t="n">
        <v>163300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$C$10</f>
        <v/>
      </c>
      <c r="K10" s="515">
        <f>$C$15</f>
        <v/>
      </c>
      <c r="L10" s="515">
        <f>K10</f>
        <v/>
      </c>
      <c r="M10" s="573" t="n"/>
      <c r="N10" s="573" t="n"/>
      <c r="O10" s="516" t="n"/>
      <c r="P10" s="500" t="n"/>
      <c r="Q10" s="519" t="n"/>
      <c r="R10" s="196" t="n"/>
      <c r="S10" s="281">
        <f>H10-G10+1</f>
        <v/>
      </c>
      <c r="T10" s="92" t="n"/>
      <c r="U10" s="206" t="n"/>
      <c r="V10" s="206" t="n"/>
      <c r="W10" s="206" t="n"/>
      <c r="X10" s="94" t="n"/>
    </row>
    <row r="11"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$C$10</f>
        <v/>
      </c>
      <c r="K11" s="515">
        <f>$C$15</f>
        <v/>
      </c>
      <c r="L11" s="515">
        <f>K11</f>
        <v/>
      </c>
      <c r="M11" s="573" t="n"/>
      <c r="N11" s="573" t="n"/>
      <c r="O11" s="516" t="n"/>
      <c r="P11" s="500" t="n"/>
      <c r="Q11" s="519" t="n"/>
      <c r="R11" s="196" t="n"/>
      <c r="S11" s="281">
        <f>H11-G11+1</f>
        <v/>
      </c>
      <c r="T11" s="92" t="n"/>
      <c r="U11" s="206" t="n"/>
      <c r="V11" s="206" t="n"/>
      <c r="W11" s="206" t="n"/>
      <c r="X11" s="94" t="n"/>
    </row>
    <row r="12"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$C$10</f>
        <v/>
      </c>
      <c r="K12" s="515">
        <f>$C$15</f>
        <v/>
      </c>
      <c r="L12" s="515">
        <f>K12</f>
        <v/>
      </c>
      <c r="M12" s="573" t="n"/>
      <c r="N12" s="573" t="n"/>
      <c r="O12" s="516" t="n"/>
      <c r="P12" s="500" t="n"/>
      <c r="Q12" s="519" t="n"/>
      <c r="R12" s="196" t="n"/>
      <c r="S12" s="281">
        <f>H12-G12+1</f>
        <v/>
      </c>
      <c r="T12" s="92" t="n"/>
      <c r="U12" s="206" t="n"/>
      <c r="V12" s="206" t="n"/>
      <c r="W12" s="206" t="n"/>
      <c r="X12" s="94" t="n"/>
    </row>
    <row r="13" ht="17.45" customHeight="1" s="497">
      <c r="A13" s="176" t="n"/>
      <c r="B13" s="63" t="inlineStr">
        <is>
          <t>(최종) 선납금 (V-)</t>
        </is>
      </c>
      <c r="C13" s="506" t="n">
        <v>3528000</v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$C$10</f>
        <v/>
      </c>
      <c r="K13" s="515">
        <f>$C$15</f>
        <v/>
      </c>
      <c r="L13" s="515">
        <f>K13</f>
        <v/>
      </c>
      <c r="M13" s="573" t="n"/>
      <c r="N13" s="573" t="n"/>
      <c r="O13" s="516" t="n"/>
      <c r="P13" s="500" t="n"/>
      <c r="Q13" s="519" t="n"/>
      <c r="R13" s="196" t="n"/>
      <c r="S13" s="281">
        <f>H13-G13+1</f>
        <v/>
      </c>
      <c r="T13" s="92" t="n"/>
      <c r="U13" s="206" t="n"/>
      <c r="V13" s="206" t="n"/>
      <c r="W13" s="206" t="n"/>
      <c r="X13" s="94" t="n"/>
    </row>
    <row r="14">
      <c r="B14" s="63" t="inlineStr">
        <is>
          <t>(최종) 선납 할인금 (V-)</t>
        </is>
      </c>
      <c r="C14" s="506" t="n">
        <v>590400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$C$10</f>
        <v/>
      </c>
      <c r="K14" s="515">
        <f>$C$15</f>
        <v/>
      </c>
      <c r="L14" s="515">
        <f>K14</f>
        <v/>
      </c>
      <c r="M14" s="573" t="n"/>
      <c r="N14" s="573" t="n"/>
      <c r="O14" s="516" t="n"/>
      <c r="P14" s="500" t="n"/>
      <c r="Q14" s="519" t="n"/>
      <c r="R14" s="196" t="n"/>
      <c r="S14" s="281">
        <f>H14-G14+1</f>
        <v/>
      </c>
      <c r="T14" s="92" t="n"/>
      <c r="U14" s="206" t="n"/>
      <c r="V14" s="206" t="n"/>
      <c r="W14" s="206" t="n"/>
      <c r="X14" s="94" t="n"/>
    </row>
    <row r="15">
      <c r="B15" s="9" t="inlineStr">
        <is>
          <t>(최종) 선납금+선납 할인 반영 월 구독료 (V-)</t>
        </is>
      </c>
      <c r="C15" s="506">
        <f>(C9-C13-C14)/C7</f>
        <v/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$C$10</f>
        <v/>
      </c>
      <c r="K15" s="515">
        <f>$C$15</f>
        <v/>
      </c>
      <c r="L15" s="515">
        <f>K15</f>
        <v/>
      </c>
      <c r="M15" s="573" t="n"/>
      <c r="N15" s="573" t="n"/>
      <c r="O15" s="516" t="n"/>
      <c r="P15" s="500" t="n"/>
      <c r="Q15" s="519" t="n"/>
      <c r="R15" s="196" t="n"/>
      <c r="S15" s="281">
        <f>H15-G15+1</f>
        <v/>
      </c>
      <c r="T15" s="92" t="n"/>
      <c r="U15" s="206" t="n"/>
      <c r="V15" s="206" t="n"/>
      <c r="W15" s="206" t="n"/>
      <c r="X15" s="94" t="n"/>
    </row>
    <row r="16">
      <c r="B16" s="9" t="inlineStr">
        <is>
          <t>(최종) 선납금+선납 할인 반영 총 구독료 (V-)</t>
        </is>
      </c>
      <c r="C16" s="506">
        <f>C15*C7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$C$10</f>
        <v/>
      </c>
      <c r="K16" s="515">
        <f>$C$15</f>
        <v/>
      </c>
      <c r="L16" s="515">
        <f>K16</f>
        <v/>
      </c>
      <c r="M16" s="573" t="n"/>
      <c r="N16" s="573" t="n"/>
      <c r="O16" s="516" t="n"/>
      <c r="P16" s="500" t="n"/>
      <c r="Q16" s="519" t="n"/>
      <c r="R16" s="196" t="n"/>
      <c r="S16" s="281">
        <f>H16-G16+1</f>
        <v/>
      </c>
      <c r="T16" s="92" t="n"/>
      <c r="U16" s="206" t="n"/>
      <c r="V16" s="206" t="n"/>
      <c r="W16" s="206" t="n"/>
      <c r="X16" s="94" t="n"/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$C$10</f>
        <v/>
      </c>
      <c r="K17" s="515">
        <f>$C$15</f>
        <v/>
      </c>
      <c r="L17" s="515">
        <f>K17</f>
        <v/>
      </c>
      <c r="M17" s="573" t="n"/>
      <c r="N17" s="573" t="n"/>
      <c r="O17" s="516" t="n"/>
      <c r="P17" s="500" t="n"/>
      <c r="Q17" s="519" t="n"/>
      <c r="R17" s="196" t="n"/>
      <c r="S17" s="281">
        <f>H17-G17+1</f>
        <v/>
      </c>
      <c r="T17" s="92" t="n"/>
      <c r="U17" s="206" t="n"/>
      <c r="V17" s="206" t="n"/>
      <c r="W17" s="206" t="n"/>
      <c r="X17" s="94" t="n"/>
    </row>
    <row r="18">
      <c r="B18" s="495" t="n"/>
      <c r="C18" s="517" t="n"/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$C$10</f>
        <v/>
      </c>
      <c r="K18" s="515">
        <f>$C$15</f>
        <v/>
      </c>
      <c r="L18" s="515">
        <f>K18</f>
        <v/>
      </c>
      <c r="M18" s="573" t="n"/>
      <c r="N18" s="573" t="n"/>
      <c r="O18" s="516" t="n"/>
      <c r="P18" s="500" t="n"/>
      <c r="Q18" s="519" t="n"/>
      <c r="R18" s="196" t="n"/>
      <c r="S18" s="281">
        <f>H18-G18+1</f>
        <v/>
      </c>
      <c r="T18" s="92" t="n"/>
      <c r="U18" s="206" t="n"/>
      <c r="V18" s="206" t="n"/>
      <c r="W18" s="206" t="n"/>
      <c r="X18" s="94" t="n"/>
    </row>
    <row r="19">
      <c r="B19" s="495" t="n"/>
      <c r="C19" s="517" t="n"/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$C$10</f>
        <v/>
      </c>
      <c r="K19" s="515">
        <f>$C$15</f>
        <v/>
      </c>
      <c r="L19" s="515">
        <f>K19</f>
        <v/>
      </c>
      <c r="M19" s="573" t="n"/>
      <c r="N19" s="573" t="n"/>
      <c r="O19" s="516" t="inlineStr">
        <is>
          <t>* 연체 발생 이후 익월 청구일부터 가산이자 발생</t>
        </is>
      </c>
      <c r="P19" s="500" t="n"/>
      <c r="Q19" s="519" t="n"/>
      <c r="R19" s="196" t="n"/>
      <c r="S19" s="281">
        <f>H19-G19+1</f>
        <v/>
      </c>
      <c r="T19" s="92" t="n"/>
      <c r="U19" s="206" t="n"/>
      <c r="V19" s="206" t="n"/>
      <c r="W19" s="206" t="n"/>
      <c r="X19" s="94" t="n"/>
    </row>
    <row r="20">
      <c r="F20" s="141" t="inlineStr">
        <is>
          <t>16회차</t>
        </is>
      </c>
      <c r="G20" s="142">
        <f>H19+1</f>
        <v/>
      </c>
      <c r="H20" s="142">
        <f>EOMONTH(G20,0)</f>
        <v/>
      </c>
      <c r="I20" s="143">
        <f>EDATE(I19,1)</f>
        <v/>
      </c>
      <c r="J20" s="720">
        <f>$C$10</f>
        <v/>
      </c>
      <c r="K20" s="720">
        <f>$C$15</f>
        <v/>
      </c>
      <c r="L20" s="720">
        <f>K20</f>
        <v/>
      </c>
      <c r="M20" s="141" t="inlineStr">
        <is>
          <t>연체</t>
        </is>
      </c>
      <c r="N20" s="726" t="n"/>
      <c r="O20" s="721" t="n"/>
      <c r="P20" s="724" t="n"/>
      <c r="Q20" s="725" t="n"/>
      <c r="R20" s="158" t="n"/>
      <c r="S20" s="159">
        <f>H20-G20+1</f>
        <v/>
      </c>
      <c r="T20" s="160" t="n"/>
      <c r="U20" s="724">
        <f>K20</f>
        <v/>
      </c>
      <c r="V20" s="282" t="n"/>
      <c r="W20" s="282" t="n"/>
      <c r="X20" s="161" t="n"/>
    </row>
    <row r="21">
      <c r="F21" s="141" t="inlineStr">
        <is>
          <t>17회차</t>
        </is>
      </c>
      <c r="G21" s="142">
        <f>H20+1</f>
        <v/>
      </c>
      <c r="H21" s="142">
        <f>EOMONTH(G21,0)</f>
        <v/>
      </c>
      <c r="I21" s="143">
        <f>EDATE(I20,1)</f>
        <v/>
      </c>
      <c r="J21" s="720">
        <f>$C$10</f>
        <v/>
      </c>
      <c r="K21" s="720">
        <f>$C$15</f>
        <v/>
      </c>
      <c r="L21" s="727">
        <f>K21+N21</f>
        <v/>
      </c>
      <c r="M21" s="141" t="inlineStr">
        <is>
          <t>연체</t>
        </is>
      </c>
      <c r="N21" s="726">
        <f>SUM(O21:Q21)</f>
        <v/>
      </c>
      <c r="O21" s="728">
        <f>ROUNDDOWN(K20*0.5%,-2)</f>
        <v/>
      </c>
      <c r="P21" s="724" t="n"/>
      <c r="Q21" s="725" t="n"/>
      <c r="R21" s="158" t="n"/>
      <c r="S21" s="159">
        <f>H21-G21+1</f>
        <v/>
      </c>
      <c r="T21" s="160" t="n"/>
      <c r="U21" s="724">
        <f>K21</f>
        <v/>
      </c>
      <c r="V21" s="282" t="n"/>
      <c r="W21" s="729" t="n"/>
      <c r="X21" s="161" t="n"/>
    </row>
    <row r="22">
      <c r="F22" s="141" t="inlineStr">
        <is>
          <t>18회차</t>
        </is>
      </c>
      <c r="G22" s="142">
        <f>H21+1</f>
        <v/>
      </c>
      <c r="H22" s="142">
        <f>EOMONTH(G22,0)</f>
        <v/>
      </c>
      <c r="I22" s="143">
        <f>EDATE(I21,1)</f>
        <v/>
      </c>
      <c r="J22" s="720">
        <f>$C$10</f>
        <v/>
      </c>
      <c r="K22" s="720">
        <f>$C$15</f>
        <v/>
      </c>
      <c r="L22" s="727">
        <f>K22+N22</f>
        <v/>
      </c>
      <c r="M22" s="141" t="inlineStr">
        <is>
          <t>연체</t>
        </is>
      </c>
      <c r="N22" s="726">
        <f>SUM(O22:Q22)</f>
        <v/>
      </c>
      <c r="O22" s="728">
        <f>ROUNDDOWN(K20*0.5%*2,-2)</f>
        <v/>
      </c>
      <c r="P22" s="729">
        <f>ROUNDDOWN(K21*0.5%,-2)</f>
        <v/>
      </c>
      <c r="Q22" s="725" t="n"/>
      <c r="R22" s="158" t="n"/>
      <c r="S22" s="159">
        <f>H22-G22+1</f>
        <v/>
      </c>
      <c r="T22" s="160" t="n"/>
      <c r="U22" s="724">
        <f>K22</f>
        <v/>
      </c>
      <c r="V22" s="282" t="n"/>
      <c r="W22" s="729" t="n"/>
      <c r="X22" s="161" t="n"/>
    </row>
    <row r="23">
      <c r="F23" s="141" t="inlineStr">
        <is>
          <t>19회차</t>
        </is>
      </c>
      <c r="G23" s="142">
        <f>H22+1</f>
        <v/>
      </c>
      <c r="H23" s="142">
        <f>EOMONTH(G23,0)</f>
        <v/>
      </c>
      <c r="I23" s="143">
        <f>EDATE(I22,1)</f>
        <v/>
      </c>
      <c r="J23" s="720">
        <f>$C$10</f>
        <v/>
      </c>
      <c r="K23" s="720">
        <f>$C$15</f>
        <v/>
      </c>
      <c r="L23" s="727">
        <f>K23+N23</f>
        <v/>
      </c>
      <c r="M23" s="141" t="inlineStr">
        <is>
          <t>연체</t>
        </is>
      </c>
      <c r="N23" s="726">
        <f>SUM(O23:Q23)</f>
        <v/>
      </c>
      <c r="O23" s="728">
        <f>ROUNDDOWN(K20*0.5%*3,-2)</f>
        <v/>
      </c>
      <c r="P23" s="729">
        <f>ROUNDDOWN(K21*0.5%*2,-2)</f>
        <v/>
      </c>
      <c r="Q23" s="730">
        <f>ROUNDDOWN(K22*0.5%,-2)</f>
        <v/>
      </c>
      <c r="R23" s="158" t="n"/>
      <c r="S23" s="158">
        <f>H23-G23+1</f>
        <v/>
      </c>
      <c r="T23" s="160" t="n"/>
      <c r="U23" s="282" t="n"/>
      <c r="V23" s="282" t="n"/>
      <c r="W23" s="729">
        <f>N23</f>
        <v/>
      </c>
      <c r="X23" s="161" t="n"/>
    </row>
    <row r="24"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$C$10</f>
        <v/>
      </c>
      <c r="K24" s="515">
        <f>$C$15</f>
        <v/>
      </c>
      <c r="L24" s="646" t="n"/>
      <c r="M24" s="731" t="n"/>
      <c r="N24" s="573" t="n"/>
      <c r="O24" s="516" t="n"/>
      <c r="P24" s="500" t="n"/>
      <c r="Q24" s="519" t="n"/>
      <c r="R24" s="162">
        <f>I23+DAY(2)</f>
        <v/>
      </c>
      <c r="S24" s="163">
        <f>R24-G24</f>
        <v/>
      </c>
      <c r="T24" s="732">
        <f>ROUNDDOWN(((C9*1.1)*(C8-SUM(S5:S22))/C8)*20%,-1)</f>
        <v/>
      </c>
      <c r="U24" s="648">
        <f>SUM(U20:U22)</f>
        <v/>
      </c>
      <c r="V24" s="648">
        <f>ROUNDDOWN(C14*SUM(S5:S22)/C8,-2)</f>
        <v/>
      </c>
      <c r="W24" s="733">
        <f>W23</f>
        <v/>
      </c>
      <c r="X24" s="734">
        <f>-ROUNDUP((C13*(C8-SUM(S5:S22))/C8),-2)</f>
        <v/>
      </c>
      <c r="Y24" s="206" t="inlineStr">
        <is>
          <t>* 위약금, 할인회수, 선납잔액 환불 기준: 일수비율</t>
        </is>
      </c>
    </row>
    <row r="25"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$C$10</f>
        <v/>
      </c>
      <c r="K25" s="515">
        <f>$C$15</f>
        <v/>
      </c>
      <c r="L25" s="515" t="n"/>
      <c r="M25" s="573" t="n"/>
      <c r="N25" s="573" t="n"/>
      <c r="O25" s="516" t="n"/>
      <c r="P25" s="500" t="n"/>
      <c r="Q25" s="519" t="n"/>
      <c r="R25" s="196" t="inlineStr">
        <is>
          <t>* 4회차 정기청구일+2일 '중지'</t>
        </is>
      </c>
      <c r="S25" s="196" t="n"/>
      <c r="T25" s="92" t="n"/>
      <c r="U25" s="206" t="inlineStr">
        <is>
          <t>* 4회차 미납요금+계약해지달 사용분 미청구</t>
        </is>
      </c>
      <c r="V25" s="206" t="n"/>
      <c r="W25" s="206" t="n"/>
      <c r="X25" s="94" t="n"/>
    </row>
    <row r="26"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$C$10</f>
        <v/>
      </c>
      <c r="K26" s="515">
        <f>$C$15</f>
        <v/>
      </c>
      <c r="L26" s="515" t="n"/>
      <c r="M26" s="573" t="n"/>
      <c r="N26" s="573" t="n"/>
      <c r="O26" s="516" t="n"/>
      <c r="P26" s="500" t="n"/>
      <c r="Q26" s="519" t="n"/>
      <c r="R26" s="196" t="n"/>
      <c r="S26" s="196" t="n"/>
      <c r="T26" s="92" t="n"/>
      <c r="U26" s="206" t="n"/>
      <c r="V26" s="206" t="n"/>
      <c r="W26" s="206" t="n"/>
      <c r="X26" s="94" t="n"/>
    </row>
    <row r="27"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$C$10</f>
        <v/>
      </c>
      <c r="K27" s="515">
        <f>$C$15</f>
        <v/>
      </c>
      <c r="L27" s="515" t="n"/>
      <c r="M27" s="573" t="n"/>
      <c r="N27" s="573" t="n"/>
      <c r="O27" s="516" t="n"/>
      <c r="P27" s="500" t="n"/>
      <c r="Q27" s="519" t="n"/>
      <c r="R27" s="196" t="n"/>
      <c r="S27" s="196" t="n"/>
      <c r="T27" s="92" t="n"/>
      <c r="U27" s="206" t="n"/>
      <c r="V27" s="206" t="n"/>
      <c r="W27" s="206" t="n"/>
      <c r="X27" s="94" t="n"/>
    </row>
    <row r="28"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$C$10</f>
        <v/>
      </c>
      <c r="K28" s="515">
        <f>$C$15</f>
        <v/>
      </c>
      <c r="L28" s="515" t="n"/>
      <c r="M28" s="573" t="n"/>
      <c r="N28" s="573" t="n"/>
      <c r="O28" s="516" t="n"/>
      <c r="P28" s="500" t="n"/>
      <c r="Q28" s="519" t="n"/>
      <c r="R28" s="196" t="n"/>
      <c r="S28" s="196" t="n"/>
      <c r="T28" s="92" t="n"/>
      <c r="U28" s="206" t="n"/>
      <c r="V28" s="206" t="n"/>
      <c r="W28" s="206" t="n"/>
      <c r="X28" s="94" t="n"/>
    </row>
    <row r="29"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$C$10</f>
        <v/>
      </c>
      <c r="K29" s="515">
        <f>$C$15</f>
        <v/>
      </c>
      <c r="L29" s="515" t="n"/>
      <c r="M29" s="573" t="n"/>
      <c r="N29" s="573" t="n"/>
      <c r="O29" s="516" t="n"/>
      <c r="P29" s="500" t="n"/>
      <c r="Q29" s="519" t="n"/>
      <c r="R29" s="196" t="n"/>
      <c r="S29" s="196" t="n"/>
      <c r="T29" s="92" t="n"/>
      <c r="U29" s="206" t="n"/>
      <c r="V29" s="206" t="n"/>
      <c r="W29" s="206" t="n"/>
      <c r="X29" s="94" t="n"/>
    </row>
    <row r="30"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$C$10</f>
        <v/>
      </c>
      <c r="K30" s="515">
        <f>$C$15</f>
        <v/>
      </c>
      <c r="L30" s="515" t="n"/>
      <c r="M30" s="573" t="n"/>
      <c r="N30" s="573" t="n"/>
      <c r="O30" s="516" t="n"/>
      <c r="P30" s="500" t="n"/>
      <c r="Q30" s="519" t="n"/>
      <c r="R30" s="196" t="n"/>
      <c r="S30" s="196" t="n"/>
      <c r="T30" s="92" t="n"/>
      <c r="U30" s="206" t="n"/>
      <c r="V30" s="206" t="n"/>
      <c r="W30" s="206" t="n"/>
      <c r="X30" s="94" t="n"/>
    </row>
    <row r="31"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$C$10</f>
        <v/>
      </c>
      <c r="K31" s="515">
        <f>$C$15</f>
        <v/>
      </c>
      <c r="L31" s="515" t="n"/>
      <c r="M31" s="573" t="n"/>
      <c r="N31" s="573" t="n"/>
      <c r="O31" s="516" t="n"/>
      <c r="P31" s="500" t="n"/>
      <c r="Q31" s="519" t="n"/>
      <c r="R31" s="196" t="n"/>
      <c r="S31" s="196" t="n"/>
      <c r="T31" s="92" t="n"/>
      <c r="U31" s="206" t="n"/>
      <c r="V31" s="206" t="n"/>
      <c r="W31" s="206" t="n"/>
      <c r="X31" s="94" t="n"/>
    </row>
    <row r="32"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$C$10</f>
        <v/>
      </c>
      <c r="K32" s="515">
        <f>$C$15</f>
        <v/>
      </c>
      <c r="L32" s="515" t="n"/>
      <c r="M32" s="573" t="n"/>
      <c r="N32" s="573" t="n"/>
      <c r="O32" s="516" t="n"/>
      <c r="P32" s="500" t="n"/>
      <c r="Q32" s="519" t="n"/>
      <c r="R32" s="196" t="n"/>
      <c r="S32" s="196" t="n"/>
      <c r="T32" s="92" t="n"/>
      <c r="U32" s="206" t="n"/>
      <c r="V32" s="206" t="n"/>
      <c r="W32" s="206" t="n"/>
      <c r="X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$C$10</f>
        <v/>
      </c>
      <c r="K33" s="515">
        <f>$C$15</f>
        <v/>
      </c>
      <c r="L33" s="515" t="n"/>
      <c r="M33" s="573" t="n"/>
      <c r="N33" s="573" t="n"/>
      <c r="O33" s="516" t="n"/>
      <c r="P33" s="500" t="n"/>
      <c r="Q33" s="519" t="n"/>
      <c r="R33" s="196" t="n"/>
      <c r="S33" s="196" t="n"/>
      <c r="T33" s="92" t="n"/>
      <c r="U33" s="206" t="n"/>
      <c r="V33" s="206" t="n"/>
      <c r="W33" s="206" t="n"/>
      <c r="X33" s="94" t="n"/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$C$10</f>
        <v/>
      </c>
      <c r="K34" s="515">
        <f>$C$15</f>
        <v/>
      </c>
      <c r="L34" s="515" t="n"/>
      <c r="M34" s="573" t="n"/>
      <c r="N34" s="573" t="n"/>
      <c r="O34" s="516" t="n"/>
      <c r="P34" s="500" t="n"/>
      <c r="Q34" s="519" t="n"/>
      <c r="R34" s="196" t="n"/>
      <c r="S34" s="196" t="n"/>
      <c r="T34" s="92" t="n"/>
      <c r="U34" s="206" t="n"/>
      <c r="V34" s="206" t="n"/>
      <c r="W34" s="206" t="n"/>
      <c r="X34" s="94" t="n"/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$C$10</f>
        <v/>
      </c>
      <c r="K35" s="515">
        <f>$C$15</f>
        <v/>
      </c>
      <c r="L35" s="515" t="n"/>
      <c r="M35" s="573" t="n"/>
      <c r="N35" s="573" t="n"/>
      <c r="O35" s="516" t="n"/>
      <c r="P35" s="500" t="n"/>
      <c r="Q35" s="519" t="n"/>
      <c r="R35" s="196" t="n"/>
      <c r="S35" s="196" t="n"/>
      <c r="T35" s="92" t="n"/>
      <c r="U35" s="206" t="n"/>
      <c r="V35" s="206" t="n"/>
      <c r="W35" s="206" t="n"/>
      <c r="X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$C$10</f>
        <v/>
      </c>
      <c r="K36" s="515">
        <f>$C$15</f>
        <v/>
      </c>
      <c r="L36" s="515" t="n"/>
      <c r="M36" s="573" t="n"/>
      <c r="N36" s="573" t="n"/>
      <c r="O36" s="516" t="n"/>
      <c r="P36" s="500" t="n"/>
      <c r="Q36" s="519" t="n"/>
      <c r="R36" s="196" t="n"/>
      <c r="S36" s="196" t="n"/>
      <c r="T36" s="92" t="n"/>
      <c r="U36" s="206" t="n"/>
      <c r="V36" s="206" t="n"/>
      <c r="W36" s="206" t="n"/>
      <c r="X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$C$10</f>
        <v/>
      </c>
      <c r="K37" s="515">
        <f>$C$15</f>
        <v/>
      </c>
      <c r="L37" s="515" t="n"/>
      <c r="M37" s="573" t="n"/>
      <c r="N37" s="573" t="n"/>
      <c r="O37" s="516" t="n"/>
      <c r="P37" s="500" t="n"/>
      <c r="Q37" s="519" t="n"/>
      <c r="R37" s="196" t="n"/>
      <c r="S37" s="196" t="n"/>
      <c r="T37" s="92" t="n"/>
      <c r="U37" s="206" t="n"/>
      <c r="V37" s="206" t="n"/>
      <c r="W37" s="206" t="n"/>
      <c r="X37" s="94" t="n"/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$C$10</f>
        <v/>
      </c>
      <c r="K38" s="515">
        <f>$C$15</f>
        <v/>
      </c>
      <c r="L38" s="515" t="n"/>
      <c r="M38" s="573" t="n"/>
      <c r="N38" s="573" t="n"/>
      <c r="O38" s="516" t="n"/>
      <c r="P38" s="500" t="n"/>
      <c r="Q38" s="519" t="n"/>
      <c r="R38" s="196" t="n"/>
      <c r="S38" s="196" t="n"/>
      <c r="T38" s="92" t="n"/>
      <c r="U38" s="206" t="n"/>
      <c r="V38" s="206" t="n"/>
      <c r="W38" s="206" t="n"/>
      <c r="X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$C$10</f>
        <v/>
      </c>
      <c r="K39" s="515">
        <f>$C$15</f>
        <v/>
      </c>
      <c r="L39" s="515" t="n"/>
      <c r="M39" s="573" t="n"/>
      <c r="N39" s="573" t="n"/>
      <c r="O39" s="516" t="n"/>
      <c r="P39" s="500" t="n"/>
      <c r="Q39" s="519" t="n"/>
      <c r="R39" s="196" t="n"/>
      <c r="S39" s="196" t="n"/>
      <c r="T39" s="92" t="n"/>
      <c r="U39" s="206" t="n"/>
      <c r="V39" s="206" t="n"/>
      <c r="W39" s="206" t="n"/>
      <c r="X39" s="94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$C$10</f>
        <v/>
      </c>
      <c r="K40" s="515">
        <f>$C$15</f>
        <v/>
      </c>
      <c r="L40" s="515" t="n"/>
      <c r="M40" s="573" t="n"/>
      <c r="N40" s="573" t="n"/>
      <c r="O40" s="516" t="n"/>
      <c r="P40" s="500" t="n"/>
      <c r="Q40" s="519" t="n"/>
      <c r="R40" s="196" t="n"/>
      <c r="S40" s="196" t="n"/>
      <c r="T40" s="92" t="n"/>
      <c r="U40" s="206" t="n"/>
      <c r="V40" s="206" t="n"/>
      <c r="W40" s="206" t="n"/>
      <c r="X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$C$10</f>
        <v/>
      </c>
      <c r="K41" s="515">
        <f>$C$15</f>
        <v/>
      </c>
      <c r="L41" s="515" t="n"/>
      <c r="M41" s="573" t="n"/>
      <c r="N41" s="573" t="n"/>
      <c r="O41" s="516" t="n"/>
      <c r="P41" s="500" t="n"/>
      <c r="Q41" s="519" t="n"/>
      <c r="R41" s="196" t="n"/>
      <c r="S41" s="196" t="n"/>
      <c r="T41" s="92" t="n"/>
      <c r="U41" s="206" t="n"/>
      <c r="V41" s="206" t="n"/>
      <c r="W41" s="206" t="n"/>
      <c r="X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$C$10</f>
        <v/>
      </c>
      <c r="K42" s="515">
        <f>$C$15</f>
        <v/>
      </c>
      <c r="L42" s="515" t="n"/>
      <c r="M42" s="573" t="n"/>
      <c r="N42" s="573" t="n"/>
      <c r="O42" s="516" t="n"/>
      <c r="P42" s="500" t="n"/>
      <c r="Q42" s="519" t="n"/>
      <c r="R42" s="196" t="n"/>
      <c r="S42" s="196" t="n"/>
      <c r="T42" s="92" t="n"/>
      <c r="U42" s="206" t="n"/>
      <c r="V42" s="206" t="n"/>
      <c r="W42" s="206" t="n"/>
      <c r="X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$C$10</f>
        <v/>
      </c>
      <c r="K43" s="515">
        <f>$C$15</f>
        <v/>
      </c>
      <c r="L43" s="515" t="n"/>
      <c r="M43" s="573" t="n"/>
      <c r="N43" s="573" t="n"/>
      <c r="O43" s="516" t="n"/>
      <c r="P43" s="500" t="n"/>
      <c r="Q43" s="519" t="n"/>
      <c r="R43" s="196" t="n"/>
      <c r="S43" s="196" t="n"/>
      <c r="T43" s="92" t="n"/>
      <c r="U43" s="206" t="n"/>
      <c r="V43" s="206" t="n"/>
      <c r="W43" s="206" t="n"/>
      <c r="X43" s="94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$C$10</f>
        <v/>
      </c>
      <c r="K44" s="515">
        <f>$C$15</f>
        <v/>
      </c>
      <c r="L44" s="515" t="n"/>
      <c r="M44" s="573" t="n"/>
      <c r="N44" s="573" t="n"/>
      <c r="O44" s="516" t="n"/>
      <c r="P44" s="500" t="n"/>
      <c r="Q44" s="519" t="n"/>
      <c r="R44" s="196" t="n"/>
      <c r="S44" s="196" t="n"/>
      <c r="T44" s="92" t="n"/>
      <c r="U44" s="206" t="n"/>
      <c r="V44" s="206" t="n"/>
      <c r="W44" s="206" t="n"/>
      <c r="X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$C$10</f>
        <v/>
      </c>
      <c r="K45" s="515">
        <f>$C$15</f>
        <v/>
      </c>
      <c r="L45" s="515" t="n"/>
      <c r="M45" s="573" t="n"/>
      <c r="N45" s="573" t="n"/>
      <c r="O45" s="516" t="n"/>
      <c r="P45" s="500" t="n"/>
      <c r="Q45" s="519" t="n"/>
      <c r="R45" s="196" t="n"/>
      <c r="S45" s="196" t="n"/>
      <c r="T45" s="92" t="n"/>
      <c r="U45" s="206" t="n"/>
      <c r="V45" s="206" t="n"/>
      <c r="W45" s="206" t="n"/>
      <c r="X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$C$10</f>
        <v/>
      </c>
      <c r="K46" s="515">
        <f>$C$15</f>
        <v/>
      </c>
      <c r="L46" s="515" t="n"/>
      <c r="M46" s="573" t="n"/>
      <c r="N46" s="573" t="n"/>
      <c r="O46" s="516" t="n"/>
      <c r="P46" s="500" t="n"/>
      <c r="Q46" s="519" t="n"/>
      <c r="R46" s="196" t="n"/>
      <c r="S46" s="196" t="n"/>
      <c r="T46" s="92" t="n"/>
      <c r="U46" s="206" t="n"/>
      <c r="V46" s="206" t="n"/>
      <c r="W46" s="206" t="n"/>
      <c r="X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$C$10</f>
        <v/>
      </c>
      <c r="K47" s="515">
        <f>$C$15</f>
        <v/>
      </c>
      <c r="L47" s="515" t="n"/>
      <c r="M47" s="573" t="n"/>
      <c r="N47" s="573" t="n"/>
      <c r="O47" s="516" t="n"/>
      <c r="P47" s="500" t="n"/>
      <c r="Q47" s="519" t="n"/>
      <c r="R47" s="196" t="n"/>
      <c r="S47" s="196" t="n"/>
      <c r="T47" s="92" t="n"/>
      <c r="U47" s="206" t="n"/>
      <c r="V47" s="206" t="n"/>
      <c r="W47" s="206" t="n"/>
      <c r="X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$C$10</f>
        <v/>
      </c>
      <c r="K48" s="515">
        <f>$C$15</f>
        <v/>
      </c>
      <c r="L48" s="515" t="n"/>
      <c r="M48" s="573" t="n"/>
      <c r="N48" s="573" t="n"/>
      <c r="O48" s="516" t="n"/>
      <c r="P48" s="500" t="n"/>
      <c r="Q48" s="519" t="n"/>
      <c r="R48" s="196" t="n"/>
      <c r="S48" s="196" t="n"/>
      <c r="T48" s="92" t="n"/>
      <c r="U48" s="206" t="n"/>
      <c r="V48" s="206" t="n"/>
      <c r="W48" s="206" t="n"/>
      <c r="X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$C$10</f>
        <v/>
      </c>
      <c r="K49" s="515">
        <f>$C$15</f>
        <v/>
      </c>
      <c r="L49" s="515" t="n"/>
      <c r="M49" s="573" t="n"/>
      <c r="N49" s="573" t="n"/>
      <c r="O49" s="516" t="n"/>
      <c r="P49" s="500" t="n"/>
      <c r="Q49" s="519" t="n"/>
      <c r="R49" s="196" t="n"/>
      <c r="S49" s="196" t="n"/>
      <c r="T49" s="92" t="n"/>
      <c r="U49" s="206" t="n"/>
      <c r="V49" s="206" t="n"/>
      <c r="W49" s="206" t="n"/>
      <c r="X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$C$10</f>
        <v/>
      </c>
      <c r="K50" s="515">
        <f>$C$15</f>
        <v/>
      </c>
      <c r="L50" s="515" t="n"/>
      <c r="M50" s="573" t="n"/>
      <c r="N50" s="573" t="n"/>
      <c r="O50" s="516" t="n"/>
      <c r="P50" s="500" t="n"/>
      <c r="Q50" s="519" t="n"/>
      <c r="R50" s="196" t="n"/>
      <c r="S50" s="196" t="n"/>
      <c r="T50" s="92" t="n"/>
      <c r="U50" s="206" t="n"/>
      <c r="V50" s="206" t="n"/>
      <c r="W50" s="206" t="n"/>
      <c r="X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$C$10</f>
        <v/>
      </c>
      <c r="K51" s="515">
        <f>$C$15</f>
        <v/>
      </c>
      <c r="L51" s="515" t="n"/>
      <c r="M51" s="573" t="n"/>
      <c r="N51" s="573" t="n"/>
      <c r="O51" s="516" t="n"/>
      <c r="P51" s="500" t="n"/>
      <c r="Q51" s="519" t="n"/>
      <c r="R51" s="196" t="n"/>
      <c r="S51" s="196" t="n"/>
      <c r="T51" s="92" t="n"/>
      <c r="U51" s="206" t="n"/>
      <c r="V51" s="206" t="n"/>
      <c r="W51" s="206" t="n"/>
      <c r="X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$C$10</f>
        <v/>
      </c>
      <c r="K52" s="515">
        <f>$C$15</f>
        <v/>
      </c>
      <c r="L52" s="515" t="n"/>
      <c r="M52" s="573" t="n"/>
      <c r="N52" s="573" t="n"/>
      <c r="O52" s="516" t="n"/>
      <c r="P52" s="500" t="n"/>
      <c r="Q52" s="519" t="n"/>
      <c r="R52" s="196" t="n"/>
      <c r="S52" s="196" t="n"/>
      <c r="T52" s="92" t="n"/>
      <c r="U52" s="206" t="n"/>
      <c r="V52" s="206" t="n"/>
      <c r="W52" s="206" t="n"/>
      <c r="X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$C$10</f>
        <v/>
      </c>
      <c r="K53" s="515">
        <f>$C$15</f>
        <v/>
      </c>
      <c r="L53" s="515" t="n"/>
      <c r="M53" s="573" t="n"/>
      <c r="N53" s="573" t="n"/>
      <c r="O53" s="516" t="n"/>
      <c r="P53" s="500" t="n"/>
      <c r="Q53" s="519" t="n"/>
      <c r="R53" s="196" t="n"/>
      <c r="S53" s="196" t="n"/>
      <c r="T53" s="92" t="n"/>
      <c r="U53" s="206" t="n"/>
      <c r="V53" s="206" t="n"/>
      <c r="W53" s="206" t="n"/>
      <c r="X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$C$10</f>
        <v/>
      </c>
      <c r="K54" s="515">
        <f>$C$15</f>
        <v/>
      </c>
      <c r="L54" s="515" t="n"/>
      <c r="M54" s="573" t="n"/>
      <c r="N54" s="573" t="n"/>
      <c r="O54" s="516" t="n"/>
      <c r="P54" s="500" t="n"/>
      <c r="Q54" s="519" t="n"/>
      <c r="R54" s="196" t="n"/>
      <c r="S54" s="196" t="n"/>
      <c r="T54" s="92" t="n"/>
      <c r="U54" s="206" t="n"/>
      <c r="V54" s="206" t="n"/>
      <c r="W54" s="206" t="n"/>
      <c r="X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$C$10</f>
        <v/>
      </c>
      <c r="K55" s="515">
        <f>$C$15</f>
        <v/>
      </c>
      <c r="L55" s="515" t="n"/>
      <c r="M55" s="573" t="n"/>
      <c r="N55" s="573" t="n"/>
      <c r="O55" s="516" t="n"/>
      <c r="P55" s="500" t="n"/>
      <c r="Q55" s="519" t="n"/>
      <c r="R55" s="196" t="n"/>
      <c r="S55" s="196" t="n"/>
      <c r="T55" s="92" t="n"/>
      <c r="U55" s="206" t="n"/>
      <c r="V55" s="206" t="n"/>
      <c r="W55" s="206" t="n"/>
      <c r="X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$C$10</f>
        <v/>
      </c>
      <c r="K56" s="515">
        <f>$C$15</f>
        <v/>
      </c>
      <c r="L56" s="515" t="n"/>
      <c r="M56" s="573" t="n"/>
      <c r="N56" s="573" t="n"/>
      <c r="O56" s="516" t="n"/>
      <c r="P56" s="500" t="n"/>
      <c r="Q56" s="519" t="n"/>
      <c r="R56" s="196" t="n"/>
      <c r="S56" s="196" t="n"/>
      <c r="T56" s="92" t="n"/>
      <c r="U56" s="206" t="n"/>
      <c r="V56" s="206" t="n"/>
      <c r="W56" s="206" t="n"/>
      <c r="X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$C$10</f>
        <v/>
      </c>
      <c r="K57" s="515">
        <f>$C$15</f>
        <v/>
      </c>
      <c r="L57" s="515" t="n"/>
      <c r="M57" s="573" t="n"/>
      <c r="N57" s="573" t="n"/>
      <c r="O57" s="516" t="n"/>
      <c r="P57" s="500" t="n"/>
      <c r="Q57" s="519" t="n"/>
      <c r="R57" s="196" t="n"/>
      <c r="S57" s="196" t="n"/>
      <c r="T57" s="92" t="n"/>
      <c r="U57" s="206" t="n"/>
      <c r="V57" s="206" t="n"/>
      <c r="W57" s="206" t="n"/>
      <c r="X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$C$10</f>
        <v/>
      </c>
      <c r="K58" s="515">
        <f>$C$15</f>
        <v/>
      </c>
      <c r="L58" s="515" t="n"/>
      <c r="M58" s="573" t="n"/>
      <c r="N58" s="573" t="n"/>
      <c r="O58" s="516" t="n"/>
      <c r="P58" s="500" t="n"/>
      <c r="Q58" s="519" t="n"/>
      <c r="R58" s="196" t="n"/>
      <c r="S58" s="196" t="n"/>
      <c r="T58" s="92" t="n"/>
      <c r="U58" s="206" t="n"/>
      <c r="V58" s="206" t="n"/>
      <c r="W58" s="206" t="n"/>
      <c r="X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$C$10</f>
        <v/>
      </c>
      <c r="K59" s="515">
        <f>$C$15</f>
        <v/>
      </c>
      <c r="L59" s="515" t="n"/>
      <c r="M59" s="573" t="n"/>
      <c r="N59" s="573" t="n"/>
      <c r="O59" s="516" t="n"/>
      <c r="P59" s="500" t="n"/>
      <c r="Q59" s="519" t="n"/>
      <c r="R59" s="196" t="n"/>
      <c r="S59" s="196" t="n"/>
      <c r="T59" s="92" t="n"/>
      <c r="U59" s="206" t="n"/>
      <c r="V59" s="206" t="n"/>
      <c r="W59" s="206" t="n"/>
      <c r="X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$C$10</f>
        <v/>
      </c>
      <c r="K60" s="515">
        <f>$C$15</f>
        <v/>
      </c>
      <c r="L60" s="515" t="n"/>
      <c r="M60" s="573" t="n"/>
      <c r="N60" s="573" t="n"/>
      <c r="O60" s="516" t="n"/>
      <c r="P60" s="500" t="n"/>
      <c r="Q60" s="519" t="n"/>
      <c r="R60" s="196" t="n"/>
      <c r="S60" s="196" t="n"/>
      <c r="T60" s="92" t="n"/>
      <c r="U60" s="206" t="n"/>
      <c r="V60" s="206" t="n"/>
      <c r="W60" s="206" t="n"/>
      <c r="X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$C$10</f>
        <v/>
      </c>
      <c r="K61" s="515">
        <f>$C$15</f>
        <v/>
      </c>
      <c r="L61" s="515" t="n"/>
      <c r="M61" s="573" t="n"/>
      <c r="N61" s="573" t="n"/>
      <c r="O61" s="516" t="n"/>
      <c r="P61" s="500" t="n"/>
      <c r="Q61" s="519" t="n"/>
      <c r="R61" s="196" t="n"/>
      <c r="S61" s="196" t="n"/>
      <c r="T61" s="92" t="n"/>
      <c r="U61" s="206" t="n"/>
      <c r="V61" s="206" t="n"/>
      <c r="W61" s="206" t="n"/>
      <c r="X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$C$10</f>
        <v/>
      </c>
      <c r="K62" s="515">
        <f>$C$15</f>
        <v/>
      </c>
      <c r="L62" s="515" t="n"/>
      <c r="M62" s="573" t="n"/>
      <c r="N62" s="573" t="n"/>
      <c r="O62" s="516" t="n"/>
      <c r="P62" s="500" t="n"/>
      <c r="Q62" s="519" t="n"/>
      <c r="R62" s="196" t="n"/>
      <c r="S62" s="196" t="n"/>
      <c r="T62" s="92" t="n"/>
      <c r="U62" s="206" t="n"/>
      <c r="V62" s="206" t="n"/>
      <c r="W62" s="206" t="n"/>
      <c r="X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$C$10</f>
        <v/>
      </c>
      <c r="K63" s="515">
        <f>$C$15</f>
        <v/>
      </c>
      <c r="L63" s="515" t="n"/>
      <c r="M63" s="573" t="n"/>
      <c r="N63" s="573" t="n"/>
      <c r="O63" s="516" t="n"/>
      <c r="P63" s="500" t="n"/>
      <c r="Q63" s="519" t="n"/>
      <c r="R63" s="196" t="n"/>
      <c r="S63" s="196" t="n"/>
      <c r="T63" s="92" t="n"/>
      <c r="U63" s="206" t="n"/>
      <c r="V63" s="206" t="n"/>
      <c r="W63" s="206" t="n"/>
      <c r="X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$C$10</f>
        <v/>
      </c>
      <c r="K64" s="515">
        <f>$C$15</f>
        <v/>
      </c>
      <c r="L64" s="515" t="n"/>
      <c r="M64" s="573" t="n"/>
      <c r="N64" s="573" t="n"/>
      <c r="O64" s="516" t="n"/>
      <c r="P64" s="500" t="n"/>
      <c r="Q64" s="519" t="n"/>
      <c r="R64" s="196" t="n"/>
      <c r="S64" s="196" t="n"/>
      <c r="T64" s="92" t="n"/>
      <c r="U64" s="206" t="n"/>
      <c r="V64" s="206" t="n"/>
      <c r="W64" s="206" t="n"/>
      <c r="X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$C$10</f>
        <v/>
      </c>
      <c r="K65" s="515">
        <f>$C$15</f>
        <v/>
      </c>
      <c r="L65" s="515" t="n"/>
      <c r="M65" s="573" t="n"/>
      <c r="N65" s="573" t="n"/>
      <c r="O65" s="516" t="n"/>
      <c r="P65" s="500" t="n"/>
      <c r="Q65" s="519" t="n"/>
      <c r="R65" s="196" t="n"/>
      <c r="S65" s="196" t="n"/>
      <c r="T65" s="92" t="n"/>
      <c r="U65" s="206" t="n"/>
      <c r="V65" s="206" t="n"/>
      <c r="W65" s="206" t="n"/>
      <c r="X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$C$10</f>
        <v/>
      </c>
      <c r="K66" s="515">
        <f>$C$15</f>
        <v/>
      </c>
      <c r="L66" s="515" t="n"/>
      <c r="M66" s="573" t="n"/>
      <c r="N66" s="573" t="n"/>
      <c r="O66" s="516" t="n"/>
      <c r="P66" s="500" t="n"/>
      <c r="Q66" s="519" t="n"/>
      <c r="R66" s="196" t="n"/>
      <c r="S66" s="196" t="n"/>
      <c r="T66" s="92" t="n"/>
      <c r="U66" s="206" t="n"/>
      <c r="V66" s="206" t="n"/>
      <c r="W66" s="206" t="n"/>
      <c r="X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$C$10</f>
        <v/>
      </c>
      <c r="K67" s="515">
        <f>$C$15</f>
        <v/>
      </c>
      <c r="L67" s="515" t="n"/>
      <c r="M67" s="573" t="n"/>
      <c r="N67" s="573" t="n"/>
      <c r="O67" s="516" t="n"/>
      <c r="P67" s="500" t="n"/>
      <c r="Q67" s="519" t="n"/>
      <c r="R67" s="196" t="n"/>
      <c r="S67" s="196" t="n"/>
      <c r="T67" s="92" t="n"/>
      <c r="U67" s="206" t="n"/>
      <c r="V67" s="206" t="n"/>
      <c r="W67" s="206" t="n"/>
      <c r="X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$C$10</f>
        <v/>
      </c>
      <c r="K68" s="515">
        <f>$C$15</f>
        <v/>
      </c>
      <c r="L68" s="515" t="n"/>
      <c r="M68" s="573" t="n"/>
      <c r="N68" s="573" t="n"/>
      <c r="O68" s="516" t="n"/>
      <c r="P68" s="500" t="n"/>
      <c r="Q68" s="519" t="n"/>
      <c r="R68" s="196" t="n"/>
      <c r="S68" s="196" t="n"/>
      <c r="T68" s="92" t="n"/>
      <c r="U68" s="206" t="n"/>
      <c r="V68" s="206" t="n"/>
      <c r="W68" s="206" t="n"/>
      <c r="X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$C$10</f>
        <v/>
      </c>
      <c r="K69" s="515">
        <f>$C$15</f>
        <v/>
      </c>
      <c r="L69" s="515" t="n"/>
      <c r="M69" s="573" t="n"/>
      <c r="N69" s="573" t="n"/>
      <c r="O69" s="516" t="n"/>
      <c r="P69" s="500" t="n"/>
      <c r="Q69" s="519" t="n"/>
      <c r="R69" s="196" t="n"/>
      <c r="S69" s="196" t="n"/>
      <c r="T69" s="92" t="n"/>
      <c r="U69" s="206" t="n"/>
      <c r="V69" s="206" t="n"/>
      <c r="W69" s="206" t="n"/>
      <c r="X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$C$10</f>
        <v/>
      </c>
      <c r="K70" s="515">
        <f>$C$15</f>
        <v/>
      </c>
      <c r="L70" s="515" t="n"/>
      <c r="M70" s="573" t="n"/>
      <c r="N70" s="573" t="n"/>
      <c r="O70" s="516" t="n"/>
      <c r="P70" s="500" t="n"/>
      <c r="Q70" s="519" t="n"/>
      <c r="R70" s="196" t="n"/>
      <c r="S70" s="196" t="n"/>
      <c r="T70" s="92" t="n"/>
      <c r="U70" s="206" t="n"/>
      <c r="V70" s="206" t="n"/>
      <c r="W70" s="206" t="n"/>
      <c r="X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$C$10</f>
        <v/>
      </c>
      <c r="K71" s="515">
        <f>$C$15</f>
        <v/>
      </c>
      <c r="L71" s="515" t="n"/>
      <c r="M71" s="573" t="n"/>
      <c r="N71" s="573" t="n"/>
      <c r="O71" s="516" t="n"/>
      <c r="P71" s="500" t="n"/>
      <c r="Q71" s="519" t="n"/>
      <c r="R71" s="196" t="n"/>
      <c r="S71" s="196" t="n"/>
      <c r="T71" s="92" t="n"/>
      <c r="U71" s="206" t="n"/>
      <c r="V71" s="206" t="n"/>
      <c r="W71" s="206" t="n"/>
      <c r="X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$C$10</f>
        <v/>
      </c>
      <c r="K72" s="515">
        <f>$C$15</f>
        <v/>
      </c>
      <c r="L72" s="515" t="n"/>
      <c r="M72" s="573" t="n"/>
      <c r="N72" s="573" t="n"/>
      <c r="O72" s="516" t="n"/>
      <c r="P72" s="500" t="n"/>
      <c r="Q72" s="519" t="n"/>
      <c r="R72" s="196" t="n"/>
      <c r="S72" s="196" t="n"/>
      <c r="T72" s="92" t="n"/>
      <c r="U72" s="206" t="n"/>
      <c r="V72" s="206" t="n"/>
      <c r="W72" s="206" t="n"/>
      <c r="X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$C$10</f>
        <v/>
      </c>
      <c r="K73" s="515">
        <f>$C$15</f>
        <v/>
      </c>
      <c r="L73" s="515" t="n"/>
      <c r="M73" s="573" t="n"/>
      <c r="N73" s="573" t="n"/>
      <c r="O73" s="516" t="n"/>
      <c r="P73" s="500" t="n"/>
      <c r="Q73" s="519" t="n"/>
      <c r="R73" s="196" t="n"/>
      <c r="S73" s="196" t="n"/>
      <c r="T73" s="92" t="n"/>
      <c r="U73" s="206" t="n"/>
      <c r="V73" s="206" t="n"/>
      <c r="W73" s="206" t="n"/>
      <c r="X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$C$10</f>
        <v/>
      </c>
      <c r="K74" s="515">
        <f>$C$15</f>
        <v/>
      </c>
      <c r="L74" s="515" t="n"/>
      <c r="M74" s="573" t="n"/>
      <c r="N74" s="573" t="n"/>
      <c r="O74" s="516" t="n"/>
      <c r="P74" s="500" t="n"/>
      <c r="Q74" s="519" t="n"/>
      <c r="R74" s="196" t="n"/>
      <c r="S74" s="196" t="n"/>
      <c r="T74" s="92" t="n"/>
      <c r="U74" s="206" t="n"/>
      <c r="V74" s="206" t="n"/>
      <c r="W74" s="206" t="n"/>
      <c r="X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$C$10</f>
        <v/>
      </c>
      <c r="K75" s="515">
        <f>$C$15</f>
        <v/>
      </c>
      <c r="L75" s="515" t="n"/>
      <c r="M75" s="573" t="n"/>
      <c r="N75" s="573" t="n"/>
      <c r="O75" s="516" t="n"/>
      <c r="P75" s="500" t="n"/>
      <c r="Q75" s="519" t="n"/>
      <c r="R75" s="196" t="n"/>
      <c r="S75" s="196" t="n"/>
      <c r="T75" s="92" t="n"/>
      <c r="U75" s="206" t="n"/>
      <c r="V75" s="206" t="n"/>
      <c r="W75" s="206" t="n"/>
      <c r="X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$C$10</f>
        <v/>
      </c>
      <c r="K76" s="515">
        <f>$C$15</f>
        <v/>
      </c>
      <c r="L76" s="515" t="n"/>
      <c r="M76" s="573" t="n"/>
      <c r="N76" s="573" t="n"/>
      <c r="O76" s="516" t="n"/>
      <c r="P76" s="500" t="n"/>
      <c r="Q76" s="519" t="n"/>
      <c r="R76" s="196" t="n"/>
      <c r="S76" s="196" t="n"/>
      <c r="T76" s="92" t="n"/>
      <c r="U76" s="206" t="n"/>
      <c r="V76" s="206" t="n"/>
      <c r="W76" s="206" t="n"/>
      <c r="X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$C$10-J5</f>
        <v/>
      </c>
      <c r="K77" s="581">
        <f>$C$15-K5</f>
        <v/>
      </c>
      <c r="L77" s="581" t="n"/>
      <c r="M77" s="590" t="n"/>
      <c r="N77" s="590" t="n"/>
      <c r="O77" s="588" t="n"/>
      <c r="P77" s="589" t="n"/>
      <c r="Q77" s="642" t="n"/>
      <c r="R77" s="12" t="n"/>
      <c r="S77" s="12" t="n"/>
      <c r="T77" s="59" t="n"/>
      <c r="U77" s="95" t="n"/>
      <c r="V77" s="95" t="n"/>
      <c r="W77" s="95" t="n"/>
      <c r="X77" s="97" t="n"/>
    </row>
  </sheetData>
  <mergeCells count="1">
    <mergeCell ref="AA4:AC4"/>
  </mergeCells>
  <pageMargins left="0.7" right="0.7" top="0.75" bottom="0.75" header="0.3" footer="0.3"/>
  <pageSetup orientation="portrait" paperSize="9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89"/>
  <sheetViews>
    <sheetView showGridLines="0" zoomScale="60" zoomScaleNormal="60" workbookViewId="0">
      <selection activeCell="J34" sqref="J3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0.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1.875" bestFit="1" customWidth="1" style="497" min="10" max="11"/>
    <col width="10.875" bestFit="1" customWidth="1" style="497" min="12" max="12"/>
    <col width="9.375" bestFit="1" customWidth="1" style="497" min="13" max="13"/>
    <col width="11.1875" customWidth="1" style="497" min="14" max="14"/>
    <col width="10.875" bestFit="1" customWidth="1" style="497" min="15" max="16"/>
    <col width="9.375" bestFit="1" customWidth="1" style="497" min="17" max="17"/>
    <col width="11.1875" customWidth="1" style="497" min="18" max="18"/>
    <col width="10.875" bestFit="1" customWidth="1" style="497" min="19" max="20"/>
    <col width="9.375" bestFit="1" customWidth="1" style="497" min="21" max="21"/>
  </cols>
  <sheetData>
    <row r="1">
      <c r="O1" s="500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75" t="inlineStr">
        <is>
          <t>선납+선납할인</t>
        </is>
      </c>
      <c r="O3" s="76" t="n"/>
      <c r="P3" s="76" t="n"/>
      <c r="Q3" s="137" t="n"/>
      <c r="R3" s="501" t="inlineStr">
        <is>
          <t>선납+선납할인+차감성 할인</t>
        </is>
      </c>
      <c r="S3" s="502" t="n"/>
      <c r="T3" s="502" t="n"/>
      <c r="U3" s="503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>
        <f>EOMONTH(G5,0)</f>
        <v/>
      </c>
      <c r="I5" s="103">
        <f>EOMONTH(G5,0)+15</f>
        <v/>
      </c>
      <c r="J5" s="515">
        <f>ROUNDDOWN($C$15*(H5-G5+1)/DAY(H5),-2)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ROUNDDOWN($C$31*(H5-G5+1)/DAY(H5),-2)</f>
        <v/>
      </c>
      <c r="O5" s="516">
        <f>N5-P5-Q5</f>
        <v/>
      </c>
      <c r="P5" s="500">
        <f>L5</f>
        <v/>
      </c>
      <c r="Q5" s="519">
        <f>M5</f>
        <v/>
      </c>
      <c r="R5" s="515">
        <f>ROUNDDOWN($C$42*(H5-G5+1)/DAY(H5),-2)</f>
        <v/>
      </c>
      <c r="S5" s="516">
        <f>R5-T5-U5</f>
        <v/>
      </c>
      <c r="T5" s="517">
        <f>L5</f>
        <v/>
      </c>
      <c r="U5" s="518">
        <f>M5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515">
        <f>$C$42</f>
        <v/>
      </c>
      <c r="S6" s="516">
        <f>R6-T6-U6</f>
        <v/>
      </c>
      <c r="T6" s="517">
        <f>L6</f>
        <v/>
      </c>
      <c r="U6" s="518">
        <f>M6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515">
        <f>$C$42</f>
        <v/>
      </c>
      <c r="S7" s="516">
        <f>R7-T7-U7</f>
        <v/>
      </c>
      <c r="T7" s="517">
        <f>L7</f>
        <v/>
      </c>
      <c r="U7" s="518">
        <f>M7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515">
        <f>$C$42</f>
        <v/>
      </c>
      <c r="S8" s="516">
        <f>R8-T8-U8</f>
        <v/>
      </c>
      <c r="T8" s="517">
        <f>L8</f>
        <v/>
      </c>
      <c r="U8" s="518">
        <f>M8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515">
        <f>$C$42</f>
        <v/>
      </c>
      <c r="S9" s="516">
        <f>R9-T9-U9</f>
        <v/>
      </c>
      <c r="T9" s="517">
        <f>L9</f>
        <v/>
      </c>
      <c r="U9" s="518">
        <f>M9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$C$42</f>
        <v/>
      </c>
      <c r="S10" s="516">
        <f>R10-T10-U10</f>
        <v/>
      </c>
      <c r="T10" s="517">
        <f>L10</f>
        <v/>
      </c>
      <c r="U10" s="518">
        <f>M10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$C$42</f>
        <v/>
      </c>
      <c r="S11" s="516">
        <f>R11-T11-U11</f>
        <v/>
      </c>
      <c r="T11" s="517">
        <f>L11</f>
        <v/>
      </c>
      <c r="U11" s="518">
        <f>M11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$C$42</f>
        <v/>
      </c>
      <c r="S12" s="516">
        <f>R12-T12-U12</f>
        <v/>
      </c>
      <c r="T12" s="517">
        <f>L12</f>
        <v/>
      </c>
      <c r="U12" s="518">
        <f>M12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$C$42</f>
        <v/>
      </c>
      <c r="S13" s="516">
        <f>R13-T13-U13</f>
        <v/>
      </c>
      <c r="T13" s="517">
        <f>L13</f>
        <v/>
      </c>
      <c r="U13" s="518">
        <f>M13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$C$42</f>
        <v/>
      </c>
      <c r="S14" s="516">
        <f>R14-T14-U14</f>
        <v/>
      </c>
      <c r="T14" s="517">
        <f>L14</f>
        <v/>
      </c>
      <c r="U14" s="518">
        <f>M14</f>
        <v/>
      </c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$C$42</f>
        <v/>
      </c>
      <c r="S15" s="516">
        <f>R15-T15-U15</f>
        <v/>
      </c>
      <c r="T15" s="517">
        <f>L15</f>
        <v/>
      </c>
      <c r="U15" s="518">
        <f>M15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$C$42</f>
        <v/>
      </c>
      <c r="S16" s="516">
        <f>R16-T16-U16</f>
        <v/>
      </c>
      <c r="T16" s="517">
        <f>L16</f>
        <v/>
      </c>
      <c r="U16" s="518">
        <f>M16</f>
        <v/>
      </c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$C$42</f>
        <v/>
      </c>
      <c r="S17" s="516">
        <f>R17-T17-U17</f>
        <v/>
      </c>
      <c r="T17" s="517">
        <f>L17</f>
        <v/>
      </c>
      <c r="U17" s="518">
        <f>M17</f>
        <v/>
      </c>
    </row>
    <row r="18">
      <c r="B18" s="495" t="n"/>
      <c r="C18" s="697" t="n"/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$C$42</f>
        <v/>
      </c>
      <c r="S18" s="516">
        <f>R18-T18-U18</f>
        <v/>
      </c>
      <c r="T18" s="517">
        <f>L18</f>
        <v/>
      </c>
      <c r="U18" s="518">
        <f>M18</f>
        <v/>
      </c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$C$42</f>
        <v/>
      </c>
      <c r="S19" s="516">
        <f>R19-T19-U19</f>
        <v/>
      </c>
      <c r="T19" s="517">
        <f>L19</f>
        <v/>
      </c>
      <c r="U19" s="518">
        <f>M19</f>
        <v/>
      </c>
    </row>
    <row r="20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L20</f>
        <v/>
      </c>
      <c r="Q20" s="519">
        <f>M20</f>
        <v/>
      </c>
      <c r="R20" s="515">
        <f>$C$42</f>
        <v/>
      </c>
      <c r="S20" s="516">
        <f>R20-T20-U20</f>
        <v/>
      </c>
      <c r="T20" s="517">
        <f>L20</f>
        <v/>
      </c>
      <c r="U20" s="518">
        <f>M20</f>
        <v/>
      </c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L21</f>
        <v/>
      </c>
      <c r="Q21" s="519">
        <f>M21</f>
        <v/>
      </c>
      <c r="R21" s="515">
        <f>$C$42</f>
        <v/>
      </c>
      <c r="S21" s="516">
        <f>R21-T21-U21</f>
        <v/>
      </c>
      <c r="T21" s="517">
        <f>L21</f>
        <v/>
      </c>
      <c r="U21" s="518">
        <f>M21</f>
        <v/>
      </c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L22</f>
        <v/>
      </c>
      <c r="Q22" s="519">
        <f>M22</f>
        <v/>
      </c>
      <c r="R22" s="515">
        <f>$C$42</f>
        <v/>
      </c>
      <c r="S22" s="516">
        <f>R22-T22-U22</f>
        <v/>
      </c>
      <c r="T22" s="517">
        <f>L22</f>
        <v/>
      </c>
      <c r="U22" s="518">
        <f>M22</f>
        <v/>
      </c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L23</f>
        <v/>
      </c>
      <c r="Q23" s="519">
        <f>M23</f>
        <v/>
      </c>
      <c r="R23" s="515">
        <f>$C$42</f>
        <v/>
      </c>
      <c r="S23" s="516">
        <f>R23-T23-U23</f>
        <v/>
      </c>
      <c r="T23" s="517">
        <f>L23</f>
        <v/>
      </c>
      <c r="U23" s="518">
        <f>M23</f>
        <v/>
      </c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$C$31</f>
        <v/>
      </c>
      <c r="O24" s="516">
        <f>N24-P24-Q24</f>
        <v/>
      </c>
      <c r="P24" s="500">
        <f>L24</f>
        <v/>
      </c>
      <c r="Q24" s="519">
        <f>M24</f>
        <v/>
      </c>
      <c r="R24" s="515">
        <f>$C$42</f>
        <v/>
      </c>
      <c r="S24" s="516">
        <f>R24-T24-U24</f>
        <v/>
      </c>
      <c r="T24" s="517">
        <f>L24</f>
        <v/>
      </c>
      <c r="U24" s="518">
        <f>M24</f>
        <v/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515">
        <f>$C$42</f>
        <v/>
      </c>
      <c r="S25" s="516">
        <f>R25-T25-U25</f>
        <v/>
      </c>
      <c r="T25" s="517">
        <f>L25</f>
        <v/>
      </c>
      <c r="U25" s="518">
        <f>M25</f>
        <v/>
      </c>
    </row>
    <row r="26">
      <c r="A26" s="176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515">
        <f>$C$42</f>
        <v/>
      </c>
      <c r="S26" s="516">
        <f>R26-T26-U26</f>
        <v/>
      </c>
      <c r="T26" s="517">
        <f>L26</f>
        <v/>
      </c>
      <c r="U26" s="518">
        <f>M26</f>
        <v/>
      </c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515">
        <f>$C$42</f>
        <v/>
      </c>
      <c r="S27" s="516">
        <f>R27-T27-U27</f>
        <v/>
      </c>
      <c r="T27" s="517">
        <f>L27</f>
        <v/>
      </c>
      <c r="U27" s="518">
        <f>M27</f>
        <v/>
      </c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515">
        <f>$C$42</f>
        <v/>
      </c>
      <c r="S28" s="516">
        <f>R28-T28-U28</f>
        <v/>
      </c>
      <c r="T28" s="517">
        <f>L28</f>
        <v/>
      </c>
      <c r="U28" s="518">
        <f>M28</f>
        <v/>
      </c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515">
        <f>$C$42</f>
        <v/>
      </c>
      <c r="S29" s="516">
        <f>R29-T29-U29</f>
        <v/>
      </c>
      <c r="T29" s="517">
        <f>L29</f>
        <v/>
      </c>
      <c r="U29" s="518">
        <f>M29</f>
        <v/>
      </c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515">
        <f>$C$42</f>
        <v/>
      </c>
      <c r="S30" s="516">
        <f>R30-T30-U30</f>
        <v/>
      </c>
      <c r="T30" s="517">
        <f>L30</f>
        <v/>
      </c>
      <c r="U30" s="518">
        <f>M30</f>
        <v/>
      </c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515">
        <f>$C$42</f>
        <v/>
      </c>
      <c r="S31" s="516">
        <f>R31-T31-U31</f>
        <v/>
      </c>
      <c r="T31" s="517">
        <f>L31</f>
        <v/>
      </c>
      <c r="U31" s="518">
        <f>M31</f>
        <v/>
      </c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515">
        <f>$C$42</f>
        <v/>
      </c>
      <c r="S32" s="516">
        <f>R32-T32-U32</f>
        <v/>
      </c>
      <c r="T32" s="517">
        <f>L32</f>
        <v/>
      </c>
      <c r="U32" s="518">
        <f>M32</f>
        <v/>
      </c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515">
        <f>$C$42</f>
        <v/>
      </c>
      <c r="S33" s="516">
        <f>R33-T33-U33</f>
        <v/>
      </c>
      <c r="T33" s="517">
        <f>L33</f>
        <v/>
      </c>
      <c r="U33" s="518">
        <f>M33</f>
        <v/>
      </c>
    </row>
    <row r="34">
      <c r="B34" s="9" t="inlineStr">
        <is>
          <t>선납금+선납 할인 반영 순수 구독료 (V-)</t>
        </is>
      </c>
      <c r="C34" s="506">
        <f>C32-C11-C12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515">
        <f>$C$42</f>
        <v/>
      </c>
      <c r="S34" s="516">
        <f>R34-T34-U34</f>
        <v/>
      </c>
      <c r="T34" s="517">
        <f>L34</f>
        <v/>
      </c>
      <c r="U34" s="518">
        <f>M34</f>
        <v/>
      </c>
    </row>
    <row r="35" ht="17.45" customHeight="1" s="497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515">
        <f>$C$42</f>
        <v/>
      </c>
      <c r="S35" s="516">
        <f>R35-T35-U35</f>
        <v/>
      </c>
      <c r="T35" s="517">
        <f>L35</f>
        <v/>
      </c>
      <c r="U35" s="518">
        <f>M35</f>
        <v/>
      </c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515">
        <f>$C$42</f>
        <v/>
      </c>
      <c r="S36" s="516">
        <f>R36-T36-U36</f>
        <v/>
      </c>
      <c r="T36" s="517">
        <f>L36</f>
        <v/>
      </c>
      <c r="U36" s="518">
        <f>M36</f>
        <v/>
      </c>
    </row>
    <row r="37">
      <c r="A37" s="176" t="n"/>
      <c r="B37" s="9" t="inlineStr">
        <is>
          <t>차감성 할인율 %</t>
        </is>
      </c>
      <c r="C37" s="288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515">
        <f>$C$42</f>
        <v/>
      </c>
      <c r="S37" s="516">
        <f>R37-T37-U37</f>
        <v/>
      </c>
      <c r="T37" s="517">
        <f>L37</f>
        <v/>
      </c>
      <c r="U37" s="518">
        <f>M37</f>
        <v/>
      </c>
    </row>
    <row r="38">
      <c r="A38" s="176" t="n"/>
      <c r="B38" s="9" t="inlineStr">
        <is>
          <t>(계산용) 할인금(V-) (총구독료 v+ 기준)</t>
        </is>
      </c>
      <c r="C38" s="506">
        <f>C16*C37/1.1</f>
        <v/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515">
        <f>$C$42</f>
        <v/>
      </c>
      <c r="S38" s="516">
        <f>R38-T38-U38</f>
        <v/>
      </c>
      <c r="T38" s="517">
        <f>L38</f>
        <v/>
      </c>
      <c r="U38" s="518">
        <f>M38</f>
        <v/>
      </c>
    </row>
    <row r="39">
      <c r="A39" s="176" t="n"/>
      <c r="B39" s="9" t="inlineStr">
        <is>
          <t>(계산용) 할인금 월할 (V-)</t>
        </is>
      </c>
      <c r="C39" s="506">
        <f>C38/C7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515">
        <f>$C$42</f>
        <v/>
      </c>
      <c r="S39" s="516">
        <f>R39-T39-U39</f>
        <v/>
      </c>
      <c r="T39" s="517">
        <f>L39</f>
        <v/>
      </c>
      <c r="U39" s="518">
        <f>M39</f>
        <v/>
      </c>
    </row>
    <row r="40">
      <c r="A40" s="176" t="n"/>
      <c r="B40" s="9" t="inlineStr">
        <is>
          <t>(계산용) 할인금 월할 보정 (V-)</t>
        </is>
      </c>
      <c r="C40" s="506">
        <f>ROUNDUP(C39,-2)</f>
        <v/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515">
        <f>$C$42</f>
        <v/>
      </c>
      <c r="S40" s="516">
        <f>R40-T40-U40</f>
        <v/>
      </c>
      <c r="T40" s="517">
        <f>L40</f>
        <v/>
      </c>
      <c r="U40" s="518">
        <f>M40</f>
        <v/>
      </c>
    </row>
    <row r="41">
      <c r="A41" s="176" t="n"/>
      <c r="B41" s="63" t="inlineStr">
        <is>
          <t>(최종) 할인금 (V-)</t>
        </is>
      </c>
      <c r="C41" s="506">
        <f>C40*C7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515">
        <f>$C$42</f>
        <v/>
      </c>
      <c r="S41" s="516">
        <f>R41-T41-U41</f>
        <v/>
      </c>
      <c r="T41" s="517">
        <f>L41</f>
        <v/>
      </c>
      <c r="U41" s="518">
        <f>M41</f>
        <v/>
      </c>
    </row>
    <row r="42">
      <c r="A42" s="176" t="n"/>
      <c r="B42" s="184" t="inlineStr">
        <is>
          <t>(최종) 선납금+선납 할인+차감성 할인 반영 월 구독료 (V-)</t>
        </is>
      </c>
      <c r="C42" s="506">
        <f>(C14-C26-C30-C41)/C7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515">
        <f>$C$42</f>
        <v/>
      </c>
      <c r="S42" s="516">
        <f>R42-T42-U42</f>
        <v/>
      </c>
      <c r="T42" s="517">
        <f>L42</f>
        <v/>
      </c>
      <c r="U42" s="518">
        <f>M42</f>
        <v/>
      </c>
    </row>
    <row r="43">
      <c r="A43" s="176" t="n"/>
      <c r="B43" s="184" t="inlineStr">
        <is>
          <t>(최종) 선납금+선납 할인+차감성 할인 반영 총 구독료 (V-)</t>
        </is>
      </c>
      <c r="C43" s="506">
        <f>C42*C7</f>
        <v/>
      </c>
      <c r="D43" s="505" t="n"/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515">
        <f>$C$42</f>
        <v/>
      </c>
      <c r="S43" s="516">
        <f>R43-T43-U43</f>
        <v/>
      </c>
      <c r="T43" s="517">
        <f>L43</f>
        <v/>
      </c>
      <c r="U43" s="518">
        <f>M43</f>
        <v/>
      </c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515">
        <f>$C$42</f>
        <v/>
      </c>
      <c r="S44" s="516">
        <f>R44-T44-U44</f>
        <v/>
      </c>
      <c r="T44" s="517">
        <f>L44</f>
        <v/>
      </c>
      <c r="U44" s="518">
        <f>M44</f>
        <v/>
      </c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515">
        <f>$C$42</f>
        <v/>
      </c>
      <c r="S45" s="516">
        <f>R45-T45-U45</f>
        <v/>
      </c>
      <c r="T45" s="517">
        <f>L45</f>
        <v/>
      </c>
      <c r="U45" s="518">
        <f>M45</f>
        <v/>
      </c>
    </row>
    <row r="46">
      <c r="A46" s="206" t="n"/>
      <c r="B46" s="495" t="n"/>
      <c r="C46" s="185" t="n"/>
      <c r="D46" s="206" t="n"/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515">
        <f>$C$42</f>
        <v/>
      </c>
      <c r="S46" s="516">
        <f>R46-T46-U46</f>
        <v/>
      </c>
      <c r="T46" s="517">
        <f>L46</f>
        <v/>
      </c>
      <c r="U46" s="518">
        <f>M46</f>
        <v/>
      </c>
    </row>
    <row r="47">
      <c r="A47" s="206" t="n"/>
      <c r="B47" s="495" t="n"/>
      <c r="C47" s="185" t="n"/>
      <c r="D47" s="206" t="n"/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515">
        <f>$C$42</f>
        <v/>
      </c>
      <c r="S47" s="516">
        <f>R47-T47-U47</f>
        <v/>
      </c>
      <c r="T47" s="517">
        <f>L47</f>
        <v/>
      </c>
      <c r="U47" s="518">
        <f>M47</f>
        <v/>
      </c>
    </row>
    <row r="48">
      <c r="A48" s="206" t="n"/>
      <c r="B48" s="495" t="n"/>
      <c r="C48" s="702" t="n"/>
      <c r="D48" s="206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515">
        <f>$C$42</f>
        <v/>
      </c>
      <c r="S48" s="516">
        <f>R48-T48-U48</f>
        <v/>
      </c>
      <c r="T48" s="517">
        <f>L48</f>
        <v/>
      </c>
      <c r="U48" s="518">
        <f>M48</f>
        <v/>
      </c>
    </row>
    <row r="49">
      <c r="A49" s="206" t="n"/>
      <c r="B49" s="495" t="n"/>
      <c r="C49" s="702" t="n"/>
      <c r="D49" s="206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515">
        <f>$C$42</f>
        <v/>
      </c>
      <c r="S49" s="516">
        <f>R49-T49-U49</f>
        <v/>
      </c>
      <c r="T49" s="517">
        <f>L49</f>
        <v/>
      </c>
      <c r="U49" s="518">
        <f>M49</f>
        <v/>
      </c>
    </row>
    <row r="50">
      <c r="A50" s="206" t="n"/>
      <c r="B50" s="495" t="n"/>
      <c r="C50" s="702" t="n"/>
      <c r="D50" s="206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515">
        <f>$C$42</f>
        <v/>
      </c>
      <c r="S50" s="516">
        <f>R50-T50-U50</f>
        <v/>
      </c>
      <c r="T50" s="517">
        <f>L50</f>
        <v/>
      </c>
      <c r="U50" s="518">
        <f>M50</f>
        <v/>
      </c>
    </row>
    <row r="51">
      <c r="A51" s="206" t="n"/>
      <c r="B51" s="495" t="n"/>
      <c r="C51" s="185" t="n"/>
      <c r="D51" s="206" t="n"/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515">
        <f>$C$42</f>
        <v/>
      </c>
      <c r="S51" s="516">
        <f>R51-T51-U51</f>
        <v/>
      </c>
      <c r="T51" s="517">
        <f>L51</f>
        <v/>
      </c>
      <c r="U51" s="518">
        <f>M51</f>
        <v/>
      </c>
    </row>
    <row r="52">
      <c r="A52" s="206" t="n"/>
      <c r="B52" s="495" t="n"/>
      <c r="C52" s="697" t="n"/>
      <c r="D52" s="206" t="n"/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515">
        <f>$C$42</f>
        <v/>
      </c>
      <c r="S52" s="516">
        <f>R52-T52-U52</f>
        <v/>
      </c>
      <c r="T52" s="517">
        <f>L52</f>
        <v/>
      </c>
      <c r="U52" s="518">
        <f>M52</f>
        <v/>
      </c>
    </row>
    <row r="53">
      <c r="A53" s="206" t="n"/>
      <c r="B53" s="495" t="n"/>
      <c r="C53" s="697" t="n"/>
      <c r="D53" s="206" t="n"/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515">
        <f>$C$42</f>
        <v/>
      </c>
      <c r="S53" s="516">
        <f>R53-T53-U53</f>
        <v/>
      </c>
      <c r="T53" s="517">
        <f>L53</f>
        <v/>
      </c>
      <c r="U53" s="518">
        <f>M53</f>
        <v/>
      </c>
    </row>
    <row r="54">
      <c r="A54" s="206" t="n"/>
      <c r="B54" s="495" t="n"/>
      <c r="C54" s="697" t="n"/>
      <c r="D54" s="206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515">
        <f>$C$42</f>
        <v/>
      </c>
      <c r="S54" s="516">
        <f>R54-T54-U54</f>
        <v/>
      </c>
      <c r="T54" s="517">
        <f>L54</f>
        <v/>
      </c>
      <c r="U54" s="518">
        <f>M54</f>
        <v/>
      </c>
    </row>
    <row r="55">
      <c r="A55" s="206" t="n"/>
      <c r="B55" s="495" t="n"/>
      <c r="C55" s="500" t="n"/>
      <c r="D55" s="206" t="n"/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515">
        <f>$C$42</f>
        <v/>
      </c>
      <c r="S55" s="516">
        <f>R55-T55-U55</f>
        <v/>
      </c>
      <c r="T55" s="517">
        <f>L55</f>
        <v/>
      </c>
      <c r="U55" s="518">
        <f>M55</f>
        <v/>
      </c>
    </row>
    <row r="56">
      <c r="A56" s="206" t="n"/>
      <c r="B56" s="495" t="n"/>
      <c r="C56" s="697" t="n"/>
      <c r="D56" s="206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515">
        <f>$C$42</f>
        <v/>
      </c>
      <c r="S56" s="516">
        <f>R56-T56-U56</f>
        <v/>
      </c>
      <c r="T56" s="517">
        <f>L56</f>
        <v/>
      </c>
      <c r="U56" s="518">
        <f>M56</f>
        <v/>
      </c>
    </row>
    <row r="57">
      <c r="A57" s="206" t="n"/>
      <c r="B57" s="495" t="n"/>
      <c r="C57" s="697" t="n"/>
      <c r="D57" s="505" t="n"/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515">
        <f>$C$42</f>
        <v/>
      </c>
      <c r="S57" s="516">
        <f>R57-T57-U57</f>
        <v/>
      </c>
      <c r="T57" s="517">
        <f>L57</f>
        <v/>
      </c>
      <c r="U57" s="518">
        <f>M57</f>
        <v/>
      </c>
    </row>
    <row r="58">
      <c r="A58" s="206" t="n"/>
      <c r="B58" s="495" t="n"/>
      <c r="C58" s="697" t="n"/>
      <c r="D58" s="206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515">
        <f>$C$42</f>
        <v/>
      </c>
      <c r="S58" s="516">
        <f>R58-T58-U58</f>
        <v/>
      </c>
      <c r="T58" s="517">
        <f>L58</f>
        <v/>
      </c>
      <c r="U58" s="518">
        <f>M58</f>
        <v/>
      </c>
    </row>
    <row r="59">
      <c r="A59" s="206" t="n"/>
      <c r="B59" s="206" t="n"/>
      <c r="C59" s="206" t="n"/>
      <c r="D59" s="206" t="n"/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515">
        <f>$C$42</f>
        <v/>
      </c>
      <c r="S59" s="516">
        <f>R59-T59-U59</f>
        <v/>
      </c>
      <c r="T59" s="517">
        <f>L59</f>
        <v/>
      </c>
      <c r="U59" s="518">
        <f>M59</f>
        <v/>
      </c>
    </row>
    <row r="60">
      <c r="A60" s="487" t="n"/>
      <c r="B60" s="495" t="n"/>
      <c r="C60" s="188" t="n"/>
      <c r="D60" s="206" t="n"/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L60</f>
        <v/>
      </c>
      <c r="Q60" s="519">
        <f>M60</f>
        <v/>
      </c>
      <c r="R60" s="515">
        <f>$C$42</f>
        <v/>
      </c>
      <c r="S60" s="516">
        <f>R60-T60-U60</f>
        <v/>
      </c>
      <c r="T60" s="517">
        <f>L60</f>
        <v/>
      </c>
      <c r="U60" s="518">
        <f>M60</f>
        <v/>
      </c>
    </row>
    <row r="61">
      <c r="B61" s="495" t="n"/>
      <c r="C61" s="517" t="n"/>
      <c r="D61" s="206" t="n"/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515">
        <f>$C$42</f>
        <v/>
      </c>
      <c r="S61" s="516">
        <f>R61-T61-U61</f>
        <v/>
      </c>
      <c r="T61" s="517">
        <f>L61</f>
        <v/>
      </c>
      <c r="U61" s="518">
        <f>M61</f>
        <v/>
      </c>
    </row>
    <row r="62">
      <c r="B62" s="495" t="n"/>
      <c r="C62" s="517" t="n"/>
      <c r="D62" s="206" t="n"/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515">
        <f>$C$42</f>
        <v/>
      </c>
      <c r="S62" s="516">
        <f>R62-T62-U62</f>
        <v/>
      </c>
      <c r="T62" s="517">
        <f>L62</f>
        <v/>
      </c>
      <c r="U62" s="518">
        <f>M62</f>
        <v/>
      </c>
    </row>
    <row r="63">
      <c r="B63" s="495" t="n"/>
      <c r="C63" s="517" t="n"/>
      <c r="D63" s="206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515">
        <f>$C$42</f>
        <v/>
      </c>
      <c r="S63" s="516">
        <f>R63-T63-U63</f>
        <v/>
      </c>
      <c r="T63" s="517">
        <f>L63</f>
        <v/>
      </c>
      <c r="U63" s="518">
        <f>M63</f>
        <v/>
      </c>
    </row>
    <row r="64">
      <c r="B64" s="495" t="n"/>
      <c r="C64" s="517" t="n"/>
      <c r="D64" s="206" t="n"/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515">
        <f>$C$42</f>
        <v/>
      </c>
      <c r="S64" s="516">
        <f>R64-T64-U64</f>
        <v/>
      </c>
      <c r="T64" s="517">
        <f>L64</f>
        <v/>
      </c>
      <c r="U64" s="518">
        <f>M64</f>
        <v/>
      </c>
    </row>
    <row r="65">
      <c r="B65" s="495" t="n"/>
      <c r="C65" s="517" t="n"/>
      <c r="D65" s="206" t="n"/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515">
        <f>$C$42</f>
        <v/>
      </c>
      <c r="S65" s="516">
        <f>R65-T65-U65</f>
        <v/>
      </c>
      <c r="T65" s="517">
        <f>L65</f>
        <v/>
      </c>
      <c r="U65" s="518">
        <f>M65</f>
        <v/>
      </c>
    </row>
    <row r="66">
      <c r="B66" s="495" t="n"/>
      <c r="C66" s="517" t="n"/>
      <c r="D66" s="206" t="n"/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515">
        <f>$C$42</f>
        <v/>
      </c>
      <c r="S66" s="516">
        <f>R66-T66-U66</f>
        <v/>
      </c>
      <c r="T66" s="517">
        <f>L66</f>
        <v/>
      </c>
      <c r="U66" s="518">
        <f>M66</f>
        <v/>
      </c>
    </row>
    <row r="67">
      <c r="A67" s="206" t="n"/>
      <c r="B67" s="495" t="n"/>
      <c r="C67" s="517" t="n"/>
      <c r="D67" s="206" t="n"/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515">
        <f>$C$42</f>
        <v/>
      </c>
      <c r="S67" s="516">
        <f>R67-T67-U67</f>
        <v/>
      </c>
      <c r="T67" s="517">
        <f>L67</f>
        <v/>
      </c>
      <c r="U67" s="518">
        <f>M67</f>
        <v/>
      </c>
    </row>
    <row r="68">
      <c r="A68" s="206" t="n"/>
      <c r="B68" s="495" t="n"/>
      <c r="C68" s="517" t="n"/>
      <c r="D68" s="206" t="n"/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515">
        <f>$C$42</f>
        <v/>
      </c>
      <c r="S68" s="516">
        <f>R68-T68-U68</f>
        <v/>
      </c>
      <c r="T68" s="517">
        <f>L68</f>
        <v/>
      </c>
      <c r="U68" s="518">
        <f>M68</f>
        <v/>
      </c>
    </row>
    <row r="69">
      <c r="A69" s="206" t="n"/>
      <c r="B69" s="495" t="n"/>
      <c r="C69" s="517" t="n"/>
      <c r="D69" s="206" t="n"/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515">
        <f>$C$42</f>
        <v/>
      </c>
      <c r="S69" s="516">
        <f>R69-T69-U69</f>
        <v/>
      </c>
      <c r="T69" s="517">
        <f>L69</f>
        <v/>
      </c>
      <c r="U69" s="518">
        <f>M69</f>
        <v/>
      </c>
    </row>
    <row r="70">
      <c r="A70" s="206" t="n"/>
      <c r="B70" s="495" t="n"/>
      <c r="C70" s="517" t="n"/>
      <c r="D70" s="206" t="n"/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515">
        <f>$C$42</f>
        <v/>
      </c>
      <c r="S70" s="516">
        <f>R70-T70-U70</f>
        <v/>
      </c>
      <c r="T70" s="517">
        <f>L70</f>
        <v/>
      </c>
      <c r="U70" s="518">
        <f>M70</f>
        <v/>
      </c>
    </row>
    <row r="71">
      <c r="A71" s="206" t="n"/>
      <c r="B71" s="495" t="n"/>
      <c r="C71" s="517" t="n"/>
      <c r="D71" s="206" t="n"/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515">
        <f>$C$42</f>
        <v/>
      </c>
      <c r="S71" s="516">
        <f>R71-T71-U71</f>
        <v/>
      </c>
      <c r="T71" s="517">
        <f>L71</f>
        <v/>
      </c>
      <c r="U71" s="518">
        <f>M71</f>
        <v/>
      </c>
    </row>
    <row r="72">
      <c r="A72" s="206" t="n"/>
      <c r="B72" s="495" t="n"/>
      <c r="C72" s="517" t="n"/>
      <c r="D72" s="206" t="n"/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515">
        <f>$C$42</f>
        <v/>
      </c>
      <c r="S72" s="516">
        <f>R72-T72-U72</f>
        <v/>
      </c>
      <c r="T72" s="517">
        <f>L72</f>
        <v/>
      </c>
      <c r="U72" s="518">
        <f>M72</f>
        <v/>
      </c>
    </row>
    <row r="73">
      <c r="A73" s="206" t="n"/>
      <c r="B73" s="206" t="n"/>
      <c r="C73" s="206" t="n"/>
      <c r="D73" s="206" t="n"/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515">
        <f>$C$42</f>
        <v/>
      </c>
      <c r="S73" s="516">
        <f>R73-T73-U73</f>
        <v/>
      </c>
      <c r="T73" s="517">
        <f>L73</f>
        <v/>
      </c>
      <c r="U73" s="518">
        <f>M73</f>
        <v/>
      </c>
    </row>
    <row r="74">
      <c r="A74" s="206" t="n"/>
      <c r="B74" s="495" t="n"/>
      <c r="C74" s="517" t="n"/>
      <c r="D74" s="206" t="n"/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515">
        <f>$C$42</f>
        <v/>
      </c>
      <c r="S74" s="516">
        <f>R74-T74-U74</f>
        <v/>
      </c>
      <c r="T74" s="517">
        <f>L74</f>
        <v/>
      </c>
      <c r="U74" s="518">
        <f>M74</f>
        <v/>
      </c>
    </row>
    <row r="75">
      <c r="A75" s="206" t="n"/>
      <c r="B75" s="495" t="n"/>
      <c r="C75" s="517" t="n"/>
      <c r="D75" s="206" t="n"/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515">
        <f>$C$42</f>
        <v/>
      </c>
      <c r="S75" s="516">
        <f>R75-T75-U75</f>
        <v/>
      </c>
      <c r="T75" s="517">
        <f>L75</f>
        <v/>
      </c>
      <c r="U75" s="518">
        <f>M75</f>
        <v/>
      </c>
    </row>
    <row r="76">
      <c r="A76" s="206" t="n"/>
      <c r="B76" s="206" t="n"/>
      <c r="C76" s="206" t="n"/>
      <c r="D76" s="206" t="n"/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515">
        <f>$C$42</f>
        <v/>
      </c>
      <c r="S76" s="516">
        <f>R76-T76-U76</f>
        <v/>
      </c>
      <c r="T76" s="517">
        <f>L76</f>
        <v/>
      </c>
      <c r="U76" s="518">
        <f>M76</f>
        <v/>
      </c>
    </row>
    <row r="77">
      <c r="A77" s="487" t="n"/>
      <c r="B77" s="495" t="n"/>
      <c r="C77" s="188" t="n"/>
      <c r="D77" s="206" t="n"/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81">
        <f>$C$42-R5</f>
        <v/>
      </c>
      <c r="S77" s="588">
        <f>R77-T77-U77</f>
        <v/>
      </c>
      <c r="T77" s="640">
        <f>L77</f>
        <v/>
      </c>
      <c r="U77" s="641">
        <f>M77</f>
        <v/>
      </c>
    </row>
    <row r="78">
      <c r="B78" s="495" t="n"/>
      <c r="C78" s="517" t="n"/>
      <c r="D78" s="206" t="n"/>
      <c r="O78" s="500" t="n"/>
    </row>
    <row r="79">
      <c r="B79" s="495" t="n"/>
      <c r="C79" s="517" t="n"/>
      <c r="D79" s="206" t="n"/>
    </row>
    <row r="80">
      <c r="B80" s="495" t="n"/>
      <c r="C80" s="517" t="n"/>
      <c r="D80" s="206" t="n"/>
    </row>
    <row r="81">
      <c r="B81" s="495" t="n"/>
      <c r="C81" s="517" t="n"/>
      <c r="D81" s="206" t="n"/>
    </row>
    <row r="82">
      <c r="B82" s="495" t="n"/>
      <c r="C82" s="517" t="n"/>
      <c r="D82" s="206" t="n"/>
    </row>
    <row r="83">
      <c r="B83" s="495" t="n"/>
      <c r="C83" s="517" t="n"/>
      <c r="D83" s="505" t="n"/>
    </row>
    <row r="84">
      <c r="A84" s="206" t="n"/>
      <c r="B84" s="206" t="n"/>
      <c r="C84" s="206" t="n"/>
      <c r="D84" s="206" t="n"/>
    </row>
    <row r="85">
      <c r="A85" s="206" t="n"/>
      <c r="B85" s="206" t="n"/>
      <c r="C85" s="206" t="n"/>
      <c r="D85" s="206" t="n"/>
    </row>
    <row r="86">
      <c r="A86" s="206" t="n"/>
      <c r="B86" s="206" t="n"/>
      <c r="C86" s="206" t="n"/>
      <c r="D86" s="206" t="n"/>
    </row>
    <row r="87">
      <c r="A87" s="206" t="n"/>
      <c r="B87" s="206" t="n"/>
      <c r="C87" s="206" t="n"/>
      <c r="D87" s="206" t="n"/>
    </row>
    <row r="88">
      <c r="A88" s="206" t="n"/>
      <c r="B88" s="206" t="n"/>
      <c r="C88" s="206" t="n"/>
      <c r="D88" s="206" t="n"/>
    </row>
    <row r="89">
      <c r="A89" s="206" t="n"/>
      <c r="B89" s="206" t="n"/>
      <c r="C89" s="206" t="n"/>
      <c r="D89" s="206" t="n"/>
    </row>
  </sheetData>
  <mergeCells count="2">
    <mergeCell ref="A60:A66"/>
    <mergeCell ref="A77:A83"/>
  </mergeCells>
  <pageMargins left="0.7" right="0.7" top="0.75" bottom="0.75" header="0.3" footer="0.3"/>
  <pageSetup orientation="portrait" paperSize="9"/>
</worksheet>
</file>

<file path=xl/worksheets/sheet51.xml><?xml version="1.0" encoding="utf-8"?>
<worksheet xmlns="http://schemas.openxmlformats.org/spreadsheetml/2006/main">
  <sheetPr>
    <tabColor rgb="FF92D050"/>
    <outlinePr summaryBelow="1" summaryRight="1"/>
    <pageSetUpPr/>
  </sheetPr>
  <dimension ref="A2:AJ78"/>
  <sheetViews>
    <sheetView showGridLines="0" topLeftCell="N1" zoomScale="70" zoomScaleNormal="70" workbookViewId="0">
      <selection activeCell="P13" sqref="P13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18.6875" bestFit="1" customWidth="1" style="497" min="18" max="18"/>
    <col width="9.375" customWidth="1" style="497" min="19" max="19"/>
    <col width="13.5" customWidth="1" style="497" min="20" max="20"/>
    <col width="18.6875" customWidth="1" style="497" min="21" max="23"/>
    <col width="12.1875" bestFit="1" customWidth="1" style="497" min="24" max="24"/>
    <col width="7.375" bestFit="1" customWidth="1" style="497" min="25" max="25"/>
    <col width="13.5" bestFit="1" customWidth="1" style="497" min="26" max="26"/>
    <col width="11.875" bestFit="1" customWidth="1" style="497" min="27" max="28"/>
    <col width="11.875" customWidth="1" style="497" min="29" max="29"/>
    <col width="14" bestFit="1" customWidth="1" style="497" min="30" max="30"/>
    <col width="10.1875" bestFit="1" customWidth="1" style="497" min="33" max="33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 t="n"/>
      <c r="S2" s="500" t="n"/>
      <c r="T2" s="500" t="inlineStr">
        <is>
          <t>* 연체이자는 비과세로 V+기준으로 계산</t>
        </is>
      </c>
      <c r="U2" s="500" t="n"/>
      <c r="V2" s="500" t="n"/>
      <c r="W2" s="500" t="n"/>
      <c r="Z2" s="206" t="inlineStr">
        <is>
          <t>* 위약금은 비과세로 V+기준으로 계산</t>
        </is>
      </c>
      <c r="AC2" s="500" t="inlineStr">
        <is>
          <t>* 연체이자는 비과세로 V+기준으로 계산</t>
        </is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연체 누적 시 (V-)</t>
        </is>
      </c>
      <c r="S3" s="75" t="n"/>
      <c r="T3" s="76" t="n"/>
      <c r="U3" s="75" t="n"/>
      <c r="V3" s="76" t="n"/>
      <c r="W3" s="137" t="n"/>
      <c r="X3" s="75" t="inlineStr">
        <is>
          <t>연체3개월 초과 강제해지 (v-)</t>
        </is>
      </c>
      <c r="Y3" s="70" t="n"/>
      <c r="Z3" s="70" t="n"/>
      <c r="AA3" s="70" t="n"/>
      <c r="AB3" s="70" t="n"/>
      <c r="AC3" s="70" t="n"/>
      <c r="AD3" s="71" t="n"/>
      <c r="AJ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구독료(연체료)청구</t>
        </is>
      </c>
      <c r="S4" s="9" t="inlineStr">
        <is>
          <t>납부여부</t>
        </is>
      </c>
      <c r="T4" s="63" t="inlineStr">
        <is>
          <t>누적 연체이자</t>
        </is>
      </c>
      <c r="U4" s="154" t="inlineStr">
        <is>
          <t>연체 1회</t>
        </is>
      </c>
      <c r="V4" s="136" t="inlineStr">
        <is>
          <t>연체 2회</t>
        </is>
      </c>
      <c r="W4" s="155" t="inlineStr">
        <is>
          <t>연체 3회</t>
        </is>
      </c>
      <c r="X4" s="9" t="inlineStr">
        <is>
          <t>계약중지</t>
        </is>
      </c>
      <c r="Y4" s="9" t="inlineStr">
        <is>
          <t>경과일</t>
        </is>
      </c>
      <c r="Z4" s="26" t="inlineStr">
        <is>
          <t>위약금</t>
        </is>
      </c>
      <c r="AA4" s="15" t="inlineStr">
        <is>
          <t>사용분 청구</t>
        </is>
      </c>
      <c r="AB4" s="15" t="inlineStr">
        <is>
          <t>할인금 회수</t>
        </is>
      </c>
      <c r="AC4" s="136" t="inlineStr">
        <is>
          <t>연체이자</t>
        </is>
      </c>
      <c r="AD4" s="27" t="inlineStr">
        <is>
          <t>선납잔액 환불</t>
        </is>
      </c>
      <c r="AG4" s="495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L5</f>
        <v/>
      </c>
      <c r="Q5" s="519">
        <f>M5</f>
        <v/>
      </c>
      <c r="R5" s="515">
        <f>N5</f>
        <v/>
      </c>
      <c r="S5" s="573" t="n"/>
      <c r="T5" s="573" t="n"/>
      <c r="U5" s="516" t="n"/>
      <c r="V5" s="500" t="n"/>
      <c r="W5" s="519" t="n"/>
      <c r="X5" s="54" t="n"/>
      <c r="Y5" s="280">
        <f>H5-G5+1</f>
        <v/>
      </c>
      <c r="Z5" s="55" t="n"/>
      <c r="AA5" s="626" t="n"/>
      <c r="AB5" s="627" t="n"/>
      <c r="AC5" s="627" t="n"/>
      <c r="AD5" s="91" t="n"/>
      <c r="AG5" s="495" t="n"/>
      <c r="AH5" s="495" t="n"/>
      <c r="AI5" s="495" t="n"/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515">
        <f>N6</f>
        <v/>
      </c>
      <c r="S6" s="573" t="n"/>
      <c r="T6" s="573" t="n"/>
      <c r="U6" s="516" t="n"/>
      <c r="V6" s="500" t="n"/>
      <c r="W6" s="519" t="n"/>
      <c r="X6" s="196" t="n"/>
      <c r="Y6" s="281">
        <f>H6-G6+1</f>
        <v/>
      </c>
      <c r="Z6" s="92" t="n"/>
      <c r="AA6" s="206" t="n"/>
      <c r="AB6" s="206" t="n"/>
      <c r="AC6" s="206" t="n"/>
      <c r="AD6" s="94" t="n"/>
      <c r="AG6" s="500" t="n"/>
      <c r="AH6" s="206" t="n"/>
      <c r="AI6" s="206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515">
        <f>N7</f>
        <v/>
      </c>
      <c r="S7" s="573" t="n"/>
      <c r="T7" s="573" t="n"/>
      <c r="U7" s="516" t="n"/>
      <c r="V7" s="500" t="n"/>
      <c r="W7" s="519" t="n"/>
      <c r="X7" s="196" t="n"/>
      <c r="Y7" s="281">
        <f>H7-G7+1</f>
        <v/>
      </c>
      <c r="Z7" s="92" t="n"/>
      <c r="AA7" s="206" t="n"/>
      <c r="AB7" s="206" t="n"/>
      <c r="AC7" s="206" t="n"/>
      <c r="AD7" s="94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515">
        <f>N8</f>
        <v/>
      </c>
      <c r="S8" s="573" t="n"/>
      <c r="T8" s="573" t="n"/>
      <c r="U8" s="516" t="n"/>
      <c r="V8" s="500" t="n"/>
      <c r="W8" s="519" t="n"/>
      <c r="X8" s="196" t="n"/>
      <c r="Y8" s="281">
        <f>H8-G8+1</f>
        <v/>
      </c>
      <c r="Z8" s="92" t="n"/>
      <c r="AA8" s="206" t="n"/>
      <c r="AB8" s="206" t="n"/>
      <c r="AC8" s="206" t="n"/>
      <c r="AD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515">
        <f>N9</f>
        <v/>
      </c>
      <c r="S9" s="573" t="n"/>
      <c r="T9" s="573" t="n"/>
      <c r="U9" s="516" t="n"/>
      <c r="V9" s="500" t="n"/>
      <c r="W9" s="519" t="n"/>
      <c r="X9" s="196" t="n"/>
      <c r="Y9" s="281">
        <f>H9-G9+1</f>
        <v/>
      </c>
      <c r="Z9" s="92" t="n"/>
      <c r="AA9" s="206" t="n"/>
      <c r="AB9" s="206" t="n"/>
      <c r="AC9" s="206" t="n"/>
      <c r="AD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N10</f>
        <v/>
      </c>
      <c r="S10" s="573" t="n"/>
      <c r="T10" s="573" t="n"/>
      <c r="U10" s="516" t="n"/>
      <c r="V10" s="500" t="n"/>
      <c r="W10" s="519" t="n"/>
      <c r="X10" s="196" t="n"/>
      <c r="Y10" s="281">
        <f>H10-G10+1</f>
        <v/>
      </c>
      <c r="Z10" s="92" t="n"/>
      <c r="AA10" s="206" t="n"/>
      <c r="AB10" s="206" t="n"/>
      <c r="AC10" s="206" t="n"/>
      <c r="AD10" s="94" t="n"/>
      <c r="AF10" s="206" t="n">
        <v>27000</v>
      </c>
      <c r="AG10" s="206">
        <f>ROUNDDOWN(AF10*6%*(I21-I20-1)/365,-2)</f>
        <v/>
      </c>
      <c r="AH10" s="206">
        <f>AG10*1.1</f>
        <v/>
      </c>
      <c r="AI10" s="206">
        <f>AH10-AG10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N11</f>
        <v/>
      </c>
      <c r="S11" s="573" t="n"/>
      <c r="T11" s="573" t="n"/>
      <c r="U11" s="516" t="n"/>
      <c r="V11" s="500" t="n"/>
      <c r="W11" s="519" t="n"/>
      <c r="X11" s="196" t="n"/>
      <c r="Y11" s="281">
        <f>H11-G11+1</f>
        <v/>
      </c>
      <c r="Z11" s="92" t="n"/>
      <c r="AA11" s="206" t="n"/>
      <c r="AB11" s="206" t="n"/>
      <c r="AC11" s="206" t="n"/>
      <c r="AD11" s="94" t="n"/>
      <c r="AF11" s="206">
        <f>AF10*1.1</f>
        <v/>
      </c>
      <c r="AG11" s="517">
        <f>ROUND(AH11/1.1,0)</f>
        <v/>
      </c>
      <c r="AH11" s="206">
        <f>ROUNDDOWN(AF11*6%*(I22-I21-1)/365,-1)</f>
        <v/>
      </c>
      <c r="AI11" s="611">
        <f>AH11-AG11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N12</f>
        <v/>
      </c>
      <c r="S12" s="573" t="n"/>
      <c r="T12" s="573" t="n"/>
      <c r="U12" s="516" t="n"/>
      <c r="V12" s="500" t="n"/>
      <c r="W12" s="519" t="n"/>
      <c r="X12" s="196" t="n"/>
      <c r="Y12" s="281">
        <f>H12-G12+1</f>
        <v/>
      </c>
      <c r="Z12" s="92" t="n"/>
      <c r="AA12" s="206" t="n"/>
      <c r="AB12" s="206" t="n"/>
      <c r="AC12" s="206" t="n"/>
      <c r="AD12" s="94" t="n"/>
      <c r="AI12" s="539">
        <f>AG11*10%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N13</f>
        <v/>
      </c>
      <c r="S13" s="573" t="n"/>
      <c r="T13" s="573" t="n"/>
      <c r="U13" s="516" t="n"/>
      <c r="V13" s="500" t="n"/>
      <c r="W13" s="519" t="n"/>
      <c r="X13" s="196" t="n"/>
      <c r="Y13" s="281">
        <f>H13-G13+1</f>
        <v/>
      </c>
      <c r="Z13" s="92" t="n"/>
      <c r="AA13" s="206" t="n"/>
      <c r="AB13" s="206" t="n"/>
      <c r="AC13" s="206" t="n"/>
      <c r="AD13" s="94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N14</f>
        <v/>
      </c>
      <c r="S14" s="573" t="n"/>
      <c r="T14" s="573" t="n"/>
      <c r="U14" s="516" t="n"/>
      <c r="V14" s="500" t="n"/>
      <c r="W14" s="519" t="n"/>
      <c r="X14" s="196" t="n"/>
      <c r="Y14" s="281">
        <f>H14-G14+1</f>
        <v/>
      </c>
      <c r="Z14" s="92" t="n"/>
      <c r="AA14" s="206" t="n"/>
      <c r="AB14" s="206" t="n"/>
      <c r="AC14" s="206" t="n"/>
      <c r="AD14" s="94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N15</f>
        <v/>
      </c>
      <c r="S15" s="573" t="n"/>
      <c r="T15" s="573" t="n"/>
      <c r="U15" s="516" t="n"/>
      <c r="V15" s="500" t="n"/>
      <c r="W15" s="519" t="n"/>
      <c r="X15" s="196" t="n"/>
      <c r="Y15" s="281">
        <f>H15-G15+1</f>
        <v/>
      </c>
      <c r="Z15" s="92" t="n"/>
      <c r="AA15" s="206" t="n"/>
      <c r="AB15" s="206" t="n"/>
      <c r="AC15" s="206" t="n"/>
      <c r="AD15" s="94" t="n"/>
    </row>
    <row r="16">
      <c r="B16" s="9" t="inlineStr">
        <is>
          <t>총구독료(v+)</t>
        </is>
      </c>
      <c r="C16" s="526" t="n">
        <v>12933360</v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N16</f>
        <v/>
      </c>
      <c r="S16" s="573" t="n"/>
      <c r="T16" s="573" t="n"/>
      <c r="U16" s="516" t="n"/>
      <c r="V16" s="500" t="n"/>
      <c r="W16" s="519" t="n"/>
      <c r="X16" s="196" t="n"/>
      <c r="Y16" s="281">
        <f>H16-G16+1</f>
        <v/>
      </c>
      <c r="Z16" s="92" t="n"/>
      <c r="AA16" s="206" t="n"/>
      <c r="AB16" s="206" t="n"/>
      <c r="AC16" s="206" t="n"/>
      <c r="AD16" s="94" t="n"/>
    </row>
    <row r="17">
      <c r="B17" s="9" t="inlineStr">
        <is>
          <t>월구독료(v+)</t>
        </is>
      </c>
      <c r="C17" s="526" t="n">
        <v>179630</v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N17</f>
        <v/>
      </c>
      <c r="S17" s="573" t="n"/>
      <c r="T17" s="573" t="n"/>
      <c r="U17" s="516" t="n"/>
      <c r="V17" s="500" t="n"/>
      <c r="W17" s="519" t="n"/>
      <c r="X17" s="196" t="n"/>
      <c r="Y17" s="281">
        <f>H17-G17+1</f>
        <v/>
      </c>
      <c r="Z17" s="92" t="n"/>
      <c r="AA17" s="206" t="n"/>
      <c r="AB17" s="206" t="n"/>
      <c r="AC17" s="206" t="n"/>
      <c r="AD17" s="94" t="n"/>
      <c r="AG17" s="206">
        <f>30000*6%*30/365</f>
        <v/>
      </c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N18</f>
        <v/>
      </c>
      <c r="S18" s="573" t="n"/>
      <c r="T18" s="573" t="n"/>
      <c r="U18" s="516" t="n"/>
      <c r="V18" s="500" t="n"/>
      <c r="W18" s="519" t="n"/>
      <c r="X18" s="196" t="n"/>
      <c r="Y18" s="281">
        <f>H18-G18+1</f>
        <v/>
      </c>
      <c r="Z18" s="92" t="n"/>
      <c r="AA18" s="206" t="n"/>
      <c r="AB18" s="206" t="n"/>
      <c r="AC18" s="206" t="n"/>
      <c r="AD18" s="94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N19</f>
        <v/>
      </c>
      <c r="S19" s="573" t="n"/>
      <c r="T19" s="573" t="n"/>
      <c r="U19" s="516" t="inlineStr">
        <is>
          <t>* 연체 발생 이후 익월 청구일부터 가산이자 발생</t>
        </is>
      </c>
      <c r="V19" s="500" t="n"/>
      <c r="W19" s="519" t="n"/>
      <c r="X19" s="196" t="n"/>
      <c r="Y19" s="281">
        <f>H19-G19+1</f>
        <v/>
      </c>
      <c r="Z19" s="92" t="n"/>
      <c r="AA19" s="206" t="n"/>
      <c r="AB19" s="206" t="n"/>
      <c r="AC19" s="206" t="n"/>
      <c r="AD19" s="94" t="n"/>
    </row>
    <row r="20">
      <c r="A20" s="492" t="inlineStr">
        <is>
          <t>기적용 버전</t>
        </is>
      </c>
      <c r="B20" s="9" t="inlineStr">
        <is>
          <t>선납금 %</t>
        </is>
      </c>
      <c r="C20" s="288" t="n">
        <v>0.3</v>
      </c>
      <c r="F20" s="141" t="inlineStr">
        <is>
          <t>16회차</t>
        </is>
      </c>
      <c r="G20" s="142">
        <f>H19+1</f>
        <v/>
      </c>
      <c r="H20" s="142">
        <f>EOMONTH(G20,0)</f>
        <v/>
      </c>
      <c r="I20" s="143">
        <f>EDATE(I19,1)</f>
        <v/>
      </c>
      <c r="J20" s="720">
        <f>$C$15</f>
        <v/>
      </c>
      <c r="K20" s="721">
        <f>$C$13/$C$7</f>
        <v/>
      </c>
      <c r="L20" s="722">
        <f>$C$11/$C$7</f>
        <v/>
      </c>
      <c r="M20" s="723">
        <f>$C$12/$C$7</f>
        <v/>
      </c>
      <c r="N20" s="720">
        <f>$C$31</f>
        <v/>
      </c>
      <c r="O20" s="721">
        <f>N20-P20-Q20</f>
        <v/>
      </c>
      <c r="P20" s="724">
        <f>L20</f>
        <v/>
      </c>
      <c r="Q20" s="725">
        <f>M20</f>
        <v/>
      </c>
      <c r="R20" s="720">
        <f>N20</f>
        <v/>
      </c>
      <c r="S20" s="141" t="inlineStr">
        <is>
          <t>연체</t>
        </is>
      </c>
      <c r="T20" s="726" t="n"/>
      <c r="U20" s="721" t="n"/>
      <c r="V20" s="724" t="n"/>
      <c r="W20" s="725" t="n"/>
      <c r="X20" s="158" t="n"/>
      <c r="Y20" s="159">
        <f>H20-G20+1</f>
        <v/>
      </c>
      <c r="Z20" s="160" t="n"/>
      <c r="AA20" s="724">
        <f>N20</f>
        <v/>
      </c>
      <c r="AB20" s="282" t="n"/>
      <c r="AC20" s="282" t="n"/>
      <c r="AD20" s="161" t="n"/>
      <c r="AF20" s="206">
        <f>ROUNDDOWN(N20*1.1*6%*(I21-I20-1)/365,-1)</f>
        <v/>
      </c>
    </row>
    <row r="21">
      <c r="A21" s="628" t="n"/>
      <c r="B21" s="9" t="inlineStr">
        <is>
          <t>(계산용) 선납금(v-) (총구독료 v- 기준)</t>
        </is>
      </c>
      <c r="C21" s="506">
        <f>C14*C20</f>
        <v/>
      </c>
      <c r="F21" s="141" t="inlineStr">
        <is>
          <t>17회차</t>
        </is>
      </c>
      <c r="G21" s="142">
        <f>H20+1</f>
        <v/>
      </c>
      <c r="H21" s="142">
        <f>EOMONTH(G21,0)</f>
        <v/>
      </c>
      <c r="I21" s="143">
        <f>EDATE(I20,1)</f>
        <v/>
      </c>
      <c r="J21" s="720">
        <f>$C$15</f>
        <v/>
      </c>
      <c r="K21" s="721">
        <f>$C$13/$C$7</f>
        <v/>
      </c>
      <c r="L21" s="722">
        <f>$C$11/$C$7</f>
        <v/>
      </c>
      <c r="M21" s="723">
        <f>$C$12/$C$7</f>
        <v/>
      </c>
      <c r="N21" s="720">
        <f>$C$31</f>
        <v/>
      </c>
      <c r="O21" s="721">
        <f>N21-P21-Q21</f>
        <v/>
      </c>
      <c r="P21" s="724">
        <f>L21</f>
        <v/>
      </c>
      <c r="Q21" s="725">
        <f>M21</f>
        <v/>
      </c>
      <c r="R21" s="727">
        <f>N21+T21</f>
        <v/>
      </c>
      <c r="S21" s="141" t="inlineStr">
        <is>
          <t>연체</t>
        </is>
      </c>
      <c r="T21" s="726">
        <f>SUM(U21:W21)</f>
        <v/>
      </c>
      <c r="U21" s="728">
        <f>ROUNDDOWN((N20*1.1)*6%*(I21-I20-1)/365,-1)</f>
        <v/>
      </c>
      <c r="V21" s="724" t="n"/>
      <c r="W21" s="725" t="n"/>
      <c r="X21" s="158" t="n"/>
      <c r="Y21" s="159">
        <f>H21-G21+1</f>
        <v/>
      </c>
      <c r="Z21" s="160" t="n"/>
      <c r="AA21" s="724">
        <f>N21</f>
        <v/>
      </c>
      <c r="AB21" s="282" t="n"/>
      <c r="AC21" s="729" t="n"/>
      <c r="AD21" s="161" t="n"/>
    </row>
    <row r="22">
      <c r="A22" s="628" t="n"/>
      <c r="B22" s="9" t="inlineStr">
        <is>
          <t>(계산용) 선납금 반영 총 구독료 (V-)</t>
        </is>
      </c>
      <c r="C22" s="506">
        <f>C14-C21</f>
        <v/>
      </c>
      <c r="F22" s="141" t="inlineStr">
        <is>
          <t>18회차</t>
        </is>
      </c>
      <c r="G22" s="142">
        <f>H21+1</f>
        <v/>
      </c>
      <c r="H22" s="142">
        <f>EOMONTH(G22,0)</f>
        <v/>
      </c>
      <c r="I22" s="143">
        <f>EDATE(I21,1)</f>
        <v/>
      </c>
      <c r="J22" s="720">
        <f>$C$15</f>
        <v/>
      </c>
      <c r="K22" s="721">
        <f>$C$13/$C$7</f>
        <v/>
      </c>
      <c r="L22" s="722">
        <f>$C$11/$C$7</f>
        <v/>
      </c>
      <c r="M22" s="723">
        <f>$C$12/$C$7</f>
        <v/>
      </c>
      <c r="N22" s="720">
        <f>$C$31</f>
        <v/>
      </c>
      <c r="O22" s="721">
        <f>N22-P22-Q22</f>
        <v/>
      </c>
      <c r="P22" s="724">
        <f>L22</f>
        <v/>
      </c>
      <c r="Q22" s="725">
        <f>M22</f>
        <v/>
      </c>
      <c r="R22" s="727">
        <f>N22+T22</f>
        <v/>
      </c>
      <c r="S22" s="141" t="inlineStr">
        <is>
          <t>연체</t>
        </is>
      </c>
      <c r="T22" s="726">
        <f>SUM(U22:W22)</f>
        <v/>
      </c>
      <c r="U22" s="728">
        <f>ROUNDDOWN((N20*1.1)*6%*(I22-I20-1)/365,-1)</f>
        <v/>
      </c>
      <c r="V22" s="729">
        <f>ROUNDDOWN((N21*1.1)*6%*(I22-I21-1)/365,-1)</f>
        <v/>
      </c>
      <c r="W22" s="725" t="n"/>
      <c r="X22" s="158" t="n"/>
      <c r="Y22" s="159">
        <f>H22-G22+1</f>
        <v/>
      </c>
      <c r="Z22" s="160" t="n"/>
      <c r="AA22" s="724">
        <f>N22</f>
        <v/>
      </c>
      <c r="AB22" s="282" t="n"/>
      <c r="AC22" s="729" t="n"/>
      <c r="AD22" s="161" t="n"/>
    </row>
    <row r="23">
      <c r="A23" s="628" t="n"/>
      <c r="B23" s="9" t="inlineStr">
        <is>
          <t>(계산용) 선납금 반영 월 구독료(V-)</t>
        </is>
      </c>
      <c r="C23" s="506">
        <f>C22/C7</f>
        <v/>
      </c>
      <c r="F23" s="141" t="inlineStr">
        <is>
          <t>19회차</t>
        </is>
      </c>
      <c r="G23" s="142">
        <f>H22+1</f>
        <v/>
      </c>
      <c r="H23" s="142">
        <f>EOMONTH(G23,0)</f>
        <v/>
      </c>
      <c r="I23" s="143">
        <f>EDATE(I22,1)</f>
        <v/>
      </c>
      <c r="J23" s="720">
        <f>$C$15</f>
        <v/>
      </c>
      <c r="K23" s="721">
        <f>$C$13/$C$7</f>
        <v/>
      </c>
      <c r="L23" s="722">
        <f>$C$11/$C$7</f>
        <v/>
      </c>
      <c r="M23" s="723">
        <f>$C$12/$C$7</f>
        <v/>
      </c>
      <c r="N23" s="720">
        <f>$C$31</f>
        <v/>
      </c>
      <c r="O23" s="721">
        <f>N23-P23-Q23</f>
        <v/>
      </c>
      <c r="P23" s="724">
        <f>L23</f>
        <v/>
      </c>
      <c r="Q23" s="725">
        <f>M23</f>
        <v/>
      </c>
      <c r="R23" s="727">
        <f>N23+T23</f>
        <v/>
      </c>
      <c r="S23" s="141" t="inlineStr">
        <is>
          <t>연체</t>
        </is>
      </c>
      <c r="T23" s="726">
        <f>SUM(U23:W23)</f>
        <v/>
      </c>
      <c r="U23" s="728">
        <f>ROUNDDOWN((N20*1.1)*6%*(I23-I20-1)/365,-1)</f>
        <v/>
      </c>
      <c r="V23" s="729">
        <f>ROUNDDOWN((N21*1.1)*6%*(I23-I21-1)/365,-1)</f>
        <v/>
      </c>
      <c r="W23" s="730">
        <f>ROUNDDOWN((N22*1.1)*6%*(I23-I22-1)/365,-1)</f>
        <v/>
      </c>
      <c r="X23" s="158" t="n"/>
      <c r="Y23" s="158">
        <f>H23-G23+1</f>
        <v/>
      </c>
      <c r="Z23" s="160" t="n"/>
      <c r="AA23" s="282" t="n"/>
      <c r="AB23" s="282" t="n"/>
      <c r="AC23" s="729">
        <f>T23</f>
        <v/>
      </c>
      <c r="AD23" s="161" t="n"/>
    </row>
    <row r="24">
      <c r="A24" s="628" t="n"/>
      <c r="B24" s="9" t="inlineStr">
        <is>
          <t>(최종) 선납금 반영 월 구독료 (V-)</t>
        </is>
      </c>
      <c r="C24" s="506">
        <f>ROUNDDOWN(C23,-2)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$C$31</f>
        <v/>
      </c>
      <c r="O24" s="516">
        <f>N24-P24-Q24</f>
        <v/>
      </c>
      <c r="P24" s="500">
        <f>L24</f>
        <v/>
      </c>
      <c r="Q24" s="519">
        <f>M24</f>
        <v/>
      </c>
      <c r="R24" s="646" t="n"/>
      <c r="S24" s="731" t="n"/>
      <c r="T24" s="573" t="n"/>
      <c r="U24" s="516" t="inlineStr">
        <is>
          <t xml:space="preserve">* CE는 구독료(v-)*1.1을 적용하여 구독료(v+)를 구할 수 있지만 </t>
        </is>
      </c>
      <c r="V24" s="500" t="n"/>
      <c r="W24" s="519" t="n"/>
      <c r="X24" s="162">
        <f>I23+DAY(2)</f>
        <v/>
      </c>
      <c r="Y24" s="163">
        <f>X24-G24</f>
        <v/>
      </c>
      <c r="Z24" s="732">
        <f>ROUNDDOWN(((C16)*(C8-SUM(Y5:Y22))/C8)*20%,-1)</f>
        <v/>
      </c>
      <c r="AA24" s="648">
        <f>SUM(AA20:AA22)</f>
        <v/>
      </c>
      <c r="AB24" s="648">
        <f>ROUNDDOWN(C30*SUM(Y5:Y22)/C8,-2)</f>
        <v/>
      </c>
      <c r="AC24" s="733">
        <f>AC23</f>
        <v/>
      </c>
      <c r="AD24" s="734">
        <f>-ROUNDUP((C26*(C8-SUM(Y5:Y22))/C8),-2)</f>
        <v/>
      </c>
      <c r="AE24" s="206" t="inlineStr">
        <is>
          <t>* 위약금, 할인회수, 선납잔액 환불 기준: 일수비율</t>
        </is>
      </c>
    </row>
    <row r="25">
      <c r="A25" s="628" t="n"/>
      <c r="B25" s="9" t="inlineStr">
        <is>
          <t>(최종) 선납금 반영 총 구독료 (V-)</t>
        </is>
      </c>
      <c r="C25" s="506">
        <f>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515" t="n"/>
      <c r="S25" s="573" t="n"/>
      <c r="T25" s="573" t="n"/>
      <c r="U25" s="516" t="inlineStr">
        <is>
          <t>MX는 피과세 파손보험 포함으로 단순*1.1 적용 불가</t>
        </is>
      </c>
      <c r="V25" s="500" t="n"/>
      <c r="W25" s="519" t="n"/>
      <c r="X25" s="196" t="inlineStr">
        <is>
          <t>* 4회차 정기청구일+2일 '중지'</t>
        </is>
      </c>
      <c r="Y25" s="196" t="n"/>
      <c r="Z25" s="92" t="n"/>
      <c r="AA25" s="206" t="inlineStr">
        <is>
          <t>* 4회차 미납요금+계약해지달 사용분 미청구</t>
        </is>
      </c>
      <c r="AB25" s="206" t="n"/>
      <c r="AC25" s="206" t="n"/>
      <c r="AD25" s="94" t="n"/>
    </row>
    <row r="26">
      <c r="A26" s="628" t="n"/>
      <c r="B26" s="63" t="inlineStr">
        <is>
          <t>(최종) 선납금 (V-)</t>
        </is>
      </c>
      <c r="C26" s="506">
        <f>C14-C25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515" t="n"/>
      <c r="S26" s="573" t="n"/>
      <c r="T26" s="573" t="n"/>
      <c r="U26" s="516" t="n"/>
      <c r="V26" s="500" t="n"/>
      <c r="W26" s="519" t="n"/>
      <c r="X26" s="196" t="n"/>
      <c r="Y26" s="196" t="n"/>
      <c r="Z26" s="92" t="n"/>
      <c r="AA26" s="206" t="n"/>
      <c r="AB26" s="206" t="n"/>
      <c r="AC26" s="206" t="n"/>
      <c r="AD26" s="94" t="n"/>
    </row>
    <row r="27">
      <c r="B27" s="9" t="inlineStr">
        <is>
          <t>(계산용) 선납 할인금 (V-)</t>
        </is>
      </c>
      <c r="C27" s="506">
        <f>C14*5%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515" t="n"/>
      <c r="S27" s="573" t="n"/>
      <c r="T27" s="573" t="n"/>
      <c r="U27" s="516" t="n"/>
      <c r="V27" s="500" t="n"/>
      <c r="W27" s="519" t="n"/>
      <c r="X27" s="196" t="n"/>
      <c r="Y27" s="196" t="n"/>
      <c r="Z27" s="92" t="n"/>
      <c r="AA27" s="500" t="n"/>
      <c r="AB27" s="206" t="n"/>
      <c r="AC27" s="206" t="n"/>
      <c r="AD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515" t="n"/>
      <c r="S28" s="573" t="n"/>
      <c r="T28" s="573" t="n"/>
      <c r="U28" s="516" t="n"/>
      <c r="V28" s="500" t="n"/>
      <c r="W28" s="519" t="n"/>
      <c r="X28" s="196" t="n"/>
      <c r="Y28" s="196" t="n"/>
      <c r="Z28" s="92" t="n"/>
      <c r="AA28" s="206" t="n"/>
      <c r="AB28" s="206" t="n"/>
      <c r="AC28" s="206" t="n"/>
      <c r="AD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515" t="n"/>
      <c r="S29" s="573" t="n"/>
      <c r="T29" s="573" t="n"/>
      <c r="U29" s="516" t="n"/>
      <c r="V29" s="500" t="n"/>
      <c r="W29" s="519" t="n"/>
      <c r="X29" s="196" t="n"/>
      <c r="Y29" s="196" t="n"/>
      <c r="Z29" s="92" t="n"/>
      <c r="AA29" s="206" t="n"/>
      <c r="AB29" s="206" t="n"/>
      <c r="AC29" s="206" t="n"/>
      <c r="AD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515" t="n"/>
      <c r="S30" s="573" t="n"/>
      <c r="T30" s="573" t="n"/>
      <c r="U30" s="516" t="n"/>
      <c r="V30" s="500" t="n"/>
      <c r="W30" s="519" t="n"/>
      <c r="X30" s="196" t="n"/>
      <c r="Y30" s="196" t="n"/>
      <c r="Z30" s="92" t="n"/>
      <c r="AA30" s="206" t="n"/>
      <c r="AB30" s="206" t="n"/>
      <c r="AC30" s="206" t="n"/>
      <c r="AD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515" t="n"/>
      <c r="S31" s="573" t="n"/>
      <c r="T31" s="573" t="n"/>
      <c r="U31" s="516" t="n"/>
      <c r="V31" s="500" t="n"/>
      <c r="W31" s="519" t="n"/>
      <c r="X31" s="196" t="n"/>
      <c r="Y31" s="196" t="n"/>
      <c r="Z31" s="92" t="n"/>
      <c r="AA31" s="206" t="n"/>
      <c r="AB31" s="206" t="n"/>
      <c r="AC31" s="206" t="n"/>
      <c r="AD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515" t="n"/>
      <c r="S32" s="573" t="n"/>
      <c r="T32" s="573" t="n"/>
      <c r="U32" s="516" t="n"/>
      <c r="V32" s="500" t="n"/>
      <c r="W32" s="519" t="n"/>
      <c r="X32" s="196" t="n"/>
      <c r="Y32" s="196" t="n"/>
      <c r="Z32" s="92" t="n"/>
      <c r="AA32" s="206" t="n"/>
      <c r="AB32" s="206" t="n"/>
      <c r="AC32" s="206" t="n"/>
      <c r="AD32" s="94" t="n"/>
    </row>
    <row r="33">
      <c r="B33" s="9" t="inlineStr">
        <is>
          <t>(최종) 선납금+선납 할인 반영 월 구독료 (V+)</t>
        </is>
      </c>
      <c r="C33" s="506">
        <f>(C16-(C26+C30)*1.1)/C7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515" t="n"/>
      <c r="S33" s="573" t="n"/>
      <c r="T33" s="573" t="n"/>
      <c r="U33" s="516" t="n"/>
      <c r="V33" s="500" t="n"/>
      <c r="W33" s="519" t="n"/>
      <c r="X33" s="196" t="n"/>
      <c r="Y33" s="196" t="n"/>
      <c r="Z33" s="92" t="n"/>
      <c r="AA33" s="206" t="n"/>
      <c r="AB33" s="206" t="n"/>
      <c r="AC33" s="206" t="n"/>
      <c r="AD33" s="94" t="n"/>
    </row>
    <row r="34">
      <c r="B34" s="9" t="inlineStr">
        <is>
          <t>(최종) 선납금+선납 할인 반영 총 구독료 (V+)</t>
        </is>
      </c>
      <c r="C34" s="506">
        <f>(C16-(C26+C30)*1.1)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515" t="n"/>
      <c r="S34" s="573" t="n"/>
      <c r="T34" s="573" t="n"/>
      <c r="U34" s="516" t="n"/>
      <c r="V34" s="500" t="n"/>
      <c r="W34" s="519" t="n"/>
      <c r="X34" s="196" t="n"/>
      <c r="Y34" s="196" t="n"/>
      <c r="Z34" s="92" t="n"/>
      <c r="AA34" s="206" t="n"/>
      <c r="AB34" s="206" t="n"/>
      <c r="AC34" s="206" t="n"/>
      <c r="AD34" s="94" t="n"/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515" t="n"/>
      <c r="S35" s="573" t="n"/>
      <c r="T35" s="573" t="n"/>
      <c r="U35" s="516" t="n"/>
      <c r="V35" s="500" t="n"/>
      <c r="W35" s="519" t="n"/>
      <c r="X35" s="196" t="n"/>
      <c r="Y35" s="196" t="n"/>
      <c r="Z35" s="92" t="n"/>
      <c r="AA35" s="206" t="n"/>
      <c r="AB35" s="206" t="n"/>
      <c r="AC35" s="206" t="n"/>
      <c r="AD35" s="94" t="n"/>
    </row>
    <row r="36">
      <c r="B36" s="9" t="inlineStr">
        <is>
          <t>선납금+선납 할인 반영 순수 구독료 (V-)</t>
        </is>
      </c>
      <c r="C36" s="506">
        <f>C32-C11-C12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515" t="n"/>
      <c r="S36" s="573" t="n"/>
      <c r="T36" s="573" t="n"/>
      <c r="U36" s="516" t="n"/>
      <c r="V36" s="500" t="n"/>
      <c r="W36" s="519" t="n"/>
      <c r="X36" s="196" t="n"/>
      <c r="Y36" s="196" t="n"/>
      <c r="Z36" s="92" t="n"/>
      <c r="AA36" s="206" t="n"/>
      <c r="AB36" s="206" t="n"/>
      <c r="AC36" s="206" t="n"/>
      <c r="AD36" s="94" t="n"/>
    </row>
    <row r="37">
      <c r="B37" s="9" t="inlineStr">
        <is>
          <t>선납금+선납 할인 반영 순수 구독료 월할 (V-)</t>
        </is>
      </c>
      <c r="C37" s="506">
        <f>C36/C7</f>
        <v/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515" t="n"/>
      <c r="S37" s="573" t="n"/>
      <c r="T37" s="573" t="n"/>
      <c r="U37" s="516" t="n"/>
      <c r="V37" s="500" t="n"/>
      <c r="W37" s="519" t="n"/>
      <c r="X37" s="196" t="n"/>
      <c r="Y37" s="196" t="n"/>
      <c r="Z37" s="92" t="n"/>
      <c r="AA37" s="206" t="n"/>
      <c r="AB37" s="206" t="n"/>
      <c r="AC37" s="206" t="n"/>
      <c r="AD37" s="94" t="n"/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515" t="n"/>
      <c r="S38" s="573" t="n"/>
      <c r="T38" s="573" t="n"/>
      <c r="U38" s="516" t="n"/>
      <c r="V38" s="500" t="n"/>
      <c r="W38" s="519" t="n"/>
      <c r="X38" s="196" t="n"/>
      <c r="Y38" s="196" t="n"/>
      <c r="Z38" s="92" t="n"/>
      <c r="AA38" s="206" t="n"/>
      <c r="AB38" s="206" t="n"/>
      <c r="AC38" s="206" t="n"/>
      <c r="AD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515" t="n"/>
      <c r="S39" s="573" t="n"/>
      <c r="T39" s="573" t="n"/>
      <c r="U39" s="516" t="n"/>
      <c r="V39" s="500" t="n"/>
      <c r="W39" s="519" t="n"/>
      <c r="X39" s="196" t="n"/>
      <c r="Y39" s="196" t="n"/>
      <c r="Z39" s="92" t="n"/>
      <c r="AA39" s="206" t="n"/>
      <c r="AB39" s="206" t="n"/>
      <c r="AC39" s="206" t="n"/>
      <c r="AD39" s="94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515" t="n"/>
      <c r="S40" s="573" t="n"/>
      <c r="T40" s="573" t="n"/>
      <c r="U40" s="516" t="n"/>
      <c r="V40" s="500" t="n"/>
      <c r="W40" s="519" t="n"/>
      <c r="X40" s="196" t="n"/>
      <c r="Y40" s="196" t="n"/>
      <c r="Z40" s="92" t="n"/>
      <c r="AA40" s="206" t="n"/>
      <c r="AB40" s="206" t="n"/>
      <c r="AC40" s="206" t="n"/>
      <c r="AD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515" t="n"/>
      <c r="S41" s="573" t="n"/>
      <c r="T41" s="573" t="n"/>
      <c r="U41" s="516" t="n"/>
      <c r="V41" s="500" t="n"/>
      <c r="W41" s="519" t="n"/>
      <c r="X41" s="196" t="n"/>
      <c r="Y41" s="196" t="n"/>
      <c r="Z41" s="92" t="n"/>
      <c r="AA41" s="206" t="n"/>
      <c r="AB41" s="206" t="n"/>
      <c r="AC41" s="206" t="n"/>
      <c r="AD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515" t="n"/>
      <c r="S42" s="573" t="n"/>
      <c r="T42" s="573" t="n"/>
      <c r="U42" s="516" t="n"/>
      <c r="V42" s="500" t="n"/>
      <c r="W42" s="519" t="n"/>
      <c r="X42" s="196" t="n"/>
      <c r="Y42" s="196" t="n"/>
      <c r="Z42" s="92" t="n"/>
      <c r="AA42" s="206" t="n"/>
      <c r="AB42" s="206" t="n"/>
      <c r="AC42" s="206" t="n"/>
      <c r="AD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515" t="n"/>
      <c r="S43" s="573" t="n"/>
      <c r="T43" s="573" t="n"/>
      <c r="U43" s="516" t="n"/>
      <c r="V43" s="500" t="n"/>
      <c r="W43" s="519" t="n"/>
      <c r="X43" s="196" t="n"/>
      <c r="Y43" s="196" t="n"/>
      <c r="Z43" s="92" t="n"/>
      <c r="AA43" s="206" t="n"/>
      <c r="AB43" s="206" t="n"/>
      <c r="AC43" s="206" t="n"/>
      <c r="AD43" s="94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515" t="n"/>
      <c r="S44" s="573" t="n"/>
      <c r="T44" s="573" t="n"/>
      <c r="U44" s="516" t="n"/>
      <c r="V44" s="500" t="n"/>
      <c r="W44" s="519" t="n"/>
      <c r="X44" s="196" t="n"/>
      <c r="Y44" s="196" t="n"/>
      <c r="Z44" s="92" t="n"/>
      <c r="AA44" s="206" t="n"/>
      <c r="AB44" s="206" t="n"/>
      <c r="AC44" s="206" t="n"/>
      <c r="AD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515" t="n"/>
      <c r="S45" s="573" t="n"/>
      <c r="T45" s="573" t="n"/>
      <c r="U45" s="516" t="n"/>
      <c r="V45" s="500" t="n"/>
      <c r="W45" s="519" t="n"/>
      <c r="X45" s="196" t="n"/>
      <c r="Y45" s="196" t="n"/>
      <c r="Z45" s="92" t="n"/>
      <c r="AA45" s="206" t="n"/>
      <c r="AB45" s="206" t="n"/>
      <c r="AC45" s="206" t="n"/>
      <c r="AD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515" t="n"/>
      <c r="S46" s="573" t="n"/>
      <c r="T46" s="573" t="n"/>
      <c r="U46" s="516" t="n"/>
      <c r="V46" s="500" t="n"/>
      <c r="W46" s="519" t="n"/>
      <c r="X46" s="196" t="n"/>
      <c r="Y46" s="196" t="n"/>
      <c r="Z46" s="92" t="n"/>
      <c r="AA46" s="206" t="n"/>
      <c r="AB46" s="206" t="n"/>
      <c r="AC46" s="206" t="n"/>
      <c r="AD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515" t="n"/>
      <c r="S47" s="573" t="n"/>
      <c r="T47" s="573" t="n"/>
      <c r="U47" s="516" t="n"/>
      <c r="V47" s="500" t="n"/>
      <c r="W47" s="519" t="n"/>
      <c r="X47" s="196" t="n"/>
      <c r="Y47" s="196" t="n"/>
      <c r="Z47" s="92" t="n"/>
      <c r="AA47" s="206" t="n"/>
      <c r="AB47" s="206" t="n"/>
      <c r="AC47" s="206" t="n"/>
      <c r="AD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515" t="n"/>
      <c r="S48" s="573" t="n"/>
      <c r="T48" s="573" t="n"/>
      <c r="U48" s="516" t="n"/>
      <c r="V48" s="500" t="n"/>
      <c r="W48" s="519" t="n"/>
      <c r="X48" s="196" t="n"/>
      <c r="Y48" s="196" t="n"/>
      <c r="Z48" s="92" t="n"/>
      <c r="AA48" s="206" t="n"/>
      <c r="AB48" s="206" t="n"/>
      <c r="AC48" s="206" t="n"/>
      <c r="AD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515" t="n"/>
      <c r="S49" s="573" t="n"/>
      <c r="T49" s="573" t="n"/>
      <c r="U49" s="516" t="n"/>
      <c r="V49" s="500" t="n"/>
      <c r="W49" s="519" t="n"/>
      <c r="X49" s="196" t="n"/>
      <c r="Y49" s="196" t="n"/>
      <c r="Z49" s="92" t="n"/>
      <c r="AA49" s="206" t="n"/>
      <c r="AB49" s="206" t="n"/>
      <c r="AC49" s="206" t="n"/>
      <c r="AD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515" t="n"/>
      <c r="S50" s="573" t="n"/>
      <c r="T50" s="573" t="n"/>
      <c r="U50" s="516" t="n"/>
      <c r="V50" s="500" t="n"/>
      <c r="W50" s="519" t="n"/>
      <c r="X50" s="196" t="n"/>
      <c r="Y50" s="196" t="n"/>
      <c r="Z50" s="92" t="n"/>
      <c r="AA50" s="206" t="n"/>
      <c r="AB50" s="206" t="n"/>
      <c r="AC50" s="206" t="n"/>
      <c r="AD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515" t="n"/>
      <c r="S51" s="573" t="n"/>
      <c r="T51" s="573" t="n"/>
      <c r="U51" s="516" t="n"/>
      <c r="V51" s="500" t="n"/>
      <c r="W51" s="519" t="n"/>
      <c r="X51" s="196" t="n"/>
      <c r="Y51" s="196" t="n"/>
      <c r="Z51" s="92" t="n"/>
      <c r="AA51" s="206" t="n"/>
      <c r="AB51" s="206" t="n"/>
      <c r="AC51" s="206" t="n"/>
      <c r="AD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515" t="n"/>
      <c r="S52" s="573" t="n"/>
      <c r="T52" s="573" t="n"/>
      <c r="U52" s="516" t="n"/>
      <c r="V52" s="500" t="n"/>
      <c r="W52" s="519" t="n"/>
      <c r="X52" s="196" t="n"/>
      <c r="Y52" s="196" t="n"/>
      <c r="Z52" s="92" t="n"/>
      <c r="AA52" s="206" t="n"/>
      <c r="AB52" s="206" t="n"/>
      <c r="AC52" s="206" t="n"/>
      <c r="AD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515" t="n"/>
      <c r="S53" s="573" t="n"/>
      <c r="T53" s="573" t="n"/>
      <c r="U53" s="516" t="n"/>
      <c r="V53" s="500" t="n"/>
      <c r="W53" s="519" t="n"/>
      <c r="X53" s="196" t="n"/>
      <c r="Y53" s="196" t="n"/>
      <c r="Z53" s="92" t="n"/>
      <c r="AA53" s="206" t="n"/>
      <c r="AB53" s="206" t="n"/>
      <c r="AC53" s="206" t="n"/>
      <c r="AD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515" t="n"/>
      <c r="S54" s="573" t="n"/>
      <c r="T54" s="573" t="n"/>
      <c r="U54" s="516" t="n"/>
      <c r="V54" s="500" t="n"/>
      <c r="W54" s="519" t="n"/>
      <c r="X54" s="196" t="n"/>
      <c r="Y54" s="196" t="n"/>
      <c r="Z54" s="92" t="n"/>
      <c r="AA54" s="206" t="n"/>
      <c r="AB54" s="206" t="n"/>
      <c r="AC54" s="206" t="n"/>
      <c r="AD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515" t="n"/>
      <c r="S55" s="573" t="n"/>
      <c r="T55" s="573" t="n"/>
      <c r="U55" s="516" t="n"/>
      <c r="V55" s="500" t="n"/>
      <c r="W55" s="519" t="n"/>
      <c r="X55" s="196" t="n"/>
      <c r="Y55" s="196" t="n"/>
      <c r="Z55" s="92" t="n"/>
      <c r="AA55" s="206" t="n"/>
      <c r="AB55" s="206" t="n"/>
      <c r="AC55" s="206" t="n"/>
      <c r="AD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515" t="n"/>
      <c r="S56" s="573" t="n"/>
      <c r="T56" s="573" t="n"/>
      <c r="U56" s="516" t="n"/>
      <c r="V56" s="500" t="n"/>
      <c r="W56" s="519" t="n"/>
      <c r="X56" s="196" t="n"/>
      <c r="Y56" s="196" t="n"/>
      <c r="Z56" s="92" t="n"/>
      <c r="AA56" s="206" t="n"/>
      <c r="AB56" s="206" t="n"/>
      <c r="AC56" s="206" t="n"/>
      <c r="AD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515" t="n"/>
      <c r="S57" s="573" t="n"/>
      <c r="T57" s="573" t="n"/>
      <c r="U57" s="516" t="n"/>
      <c r="V57" s="500" t="n"/>
      <c r="W57" s="519" t="n"/>
      <c r="X57" s="196" t="n"/>
      <c r="Y57" s="196" t="n"/>
      <c r="Z57" s="92" t="n"/>
      <c r="AA57" s="206" t="n"/>
      <c r="AB57" s="206" t="n"/>
      <c r="AC57" s="206" t="n"/>
      <c r="AD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515" t="n"/>
      <c r="S58" s="573" t="n"/>
      <c r="T58" s="573" t="n"/>
      <c r="U58" s="516" t="n"/>
      <c r="V58" s="500" t="n"/>
      <c r="W58" s="519" t="n"/>
      <c r="X58" s="196" t="n"/>
      <c r="Y58" s="196" t="n"/>
      <c r="Z58" s="92" t="n"/>
      <c r="AA58" s="206" t="n"/>
      <c r="AB58" s="206" t="n"/>
      <c r="AC58" s="206" t="n"/>
      <c r="AD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515" t="n"/>
      <c r="S59" s="573" t="n"/>
      <c r="T59" s="573" t="n"/>
      <c r="U59" s="516" t="n"/>
      <c r="V59" s="500" t="n"/>
      <c r="W59" s="519" t="n"/>
      <c r="X59" s="196" t="n"/>
      <c r="Y59" s="196" t="n"/>
      <c r="Z59" s="92" t="n"/>
      <c r="AA59" s="206" t="n"/>
      <c r="AB59" s="206" t="n"/>
      <c r="AC59" s="206" t="n"/>
      <c r="AD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L60</f>
        <v/>
      </c>
      <c r="Q60" s="519">
        <f>M60</f>
        <v/>
      </c>
      <c r="R60" s="515" t="n"/>
      <c r="S60" s="573" t="n"/>
      <c r="T60" s="573" t="n"/>
      <c r="U60" s="516" t="n"/>
      <c r="V60" s="500" t="n"/>
      <c r="W60" s="519" t="n"/>
      <c r="X60" s="196" t="n"/>
      <c r="Y60" s="196" t="n"/>
      <c r="Z60" s="92" t="n"/>
      <c r="AA60" s="206" t="n"/>
      <c r="AB60" s="206" t="n"/>
      <c r="AC60" s="206" t="n"/>
      <c r="AD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515" t="n"/>
      <c r="S61" s="573" t="n"/>
      <c r="T61" s="573" t="n"/>
      <c r="U61" s="516" t="n"/>
      <c r="V61" s="500" t="n"/>
      <c r="W61" s="519" t="n"/>
      <c r="X61" s="196" t="n"/>
      <c r="Y61" s="196" t="n"/>
      <c r="Z61" s="92" t="n"/>
      <c r="AA61" s="206" t="n"/>
      <c r="AB61" s="206" t="n"/>
      <c r="AC61" s="206" t="n"/>
      <c r="AD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515" t="n"/>
      <c r="S62" s="573" t="n"/>
      <c r="T62" s="573" t="n"/>
      <c r="U62" s="516" t="n"/>
      <c r="V62" s="500" t="n"/>
      <c r="W62" s="519" t="n"/>
      <c r="X62" s="196" t="n"/>
      <c r="Y62" s="196" t="n"/>
      <c r="Z62" s="92" t="n"/>
      <c r="AA62" s="206" t="n"/>
      <c r="AB62" s="206" t="n"/>
      <c r="AC62" s="206" t="n"/>
      <c r="AD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515" t="n"/>
      <c r="S63" s="573" t="n"/>
      <c r="T63" s="573" t="n"/>
      <c r="U63" s="516" t="n"/>
      <c r="V63" s="500" t="n"/>
      <c r="W63" s="519" t="n"/>
      <c r="X63" s="196" t="n"/>
      <c r="Y63" s="196" t="n"/>
      <c r="Z63" s="92" t="n"/>
      <c r="AA63" s="206" t="n"/>
      <c r="AB63" s="206" t="n"/>
      <c r="AC63" s="206" t="n"/>
      <c r="AD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515" t="n"/>
      <c r="S64" s="573" t="n"/>
      <c r="T64" s="573" t="n"/>
      <c r="U64" s="516" t="n"/>
      <c r="V64" s="500" t="n"/>
      <c r="W64" s="519" t="n"/>
      <c r="X64" s="196" t="n"/>
      <c r="Y64" s="196" t="n"/>
      <c r="Z64" s="92" t="n"/>
      <c r="AA64" s="206" t="n"/>
      <c r="AB64" s="206" t="n"/>
      <c r="AC64" s="206" t="n"/>
      <c r="AD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515" t="n"/>
      <c r="S65" s="573" t="n"/>
      <c r="T65" s="573" t="n"/>
      <c r="U65" s="516" t="n"/>
      <c r="V65" s="500" t="n"/>
      <c r="W65" s="519" t="n"/>
      <c r="X65" s="196" t="n"/>
      <c r="Y65" s="196" t="n"/>
      <c r="Z65" s="92" t="n"/>
      <c r="AA65" s="206" t="n"/>
      <c r="AB65" s="206" t="n"/>
      <c r="AC65" s="206" t="n"/>
      <c r="AD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515" t="n"/>
      <c r="S66" s="573" t="n"/>
      <c r="T66" s="573" t="n"/>
      <c r="U66" s="516" t="n"/>
      <c r="V66" s="500" t="n"/>
      <c r="W66" s="519" t="n"/>
      <c r="X66" s="196" t="n"/>
      <c r="Y66" s="196" t="n"/>
      <c r="Z66" s="92" t="n"/>
      <c r="AA66" s="206" t="n"/>
      <c r="AB66" s="206" t="n"/>
      <c r="AC66" s="206" t="n"/>
      <c r="AD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515" t="n"/>
      <c r="S67" s="573" t="n"/>
      <c r="T67" s="573" t="n"/>
      <c r="U67" s="516" t="n"/>
      <c r="V67" s="500" t="n"/>
      <c r="W67" s="519" t="n"/>
      <c r="X67" s="196" t="n"/>
      <c r="Y67" s="196" t="n"/>
      <c r="Z67" s="92" t="n"/>
      <c r="AA67" s="206" t="n"/>
      <c r="AB67" s="206" t="n"/>
      <c r="AC67" s="206" t="n"/>
      <c r="AD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515" t="n"/>
      <c r="S68" s="573" t="n"/>
      <c r="T68" s="573" t="n"/>
      <c r="U68" s="516" t="n"/>
      <c r="V68" s="500" t="n"/>
      <c r="W68" s="519" t="n"/>
      <c r="X68" s="196" t="n"/>
      <c r="Y68" s="196" t="n"/>
      <c r="Z68" s="92" t="n"/>
      <c r="AA68" s="206" t="n"/>
      <c r="AB68" s="206" t="n"/>
      <c r="AC68" s="206" t="n"/>
      <c r="AD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515" t="n"/>
      <c r="S69" s="573" t="n"/>
      <c r="T69" s="573" t="n"/>
      <c r="U69" s="516" t="n"/>
      <c r="V69" s="500" t="n"/>
      <c r="W69" s="519" t="n"/>
      <c r="X69" s="196" t="n"/>
      <c r="Y69" s="196" t="n"/>
      <c r="Z69" s="92" t="n"/>
      <c r="AA69" s="206" t="n"/>
      <c r="AB69" s="206" t="n"/>
      <c r="AC69" s="206" t="n"/>
      <c r="AD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515" t="n"/>
      <c r="S70" s="573" t="n"/>
      <c r="T70" s="573" t="n"/>
      <c r="U70" s="516" t="n"/>
      <c r="V70" s="500" t="n"/>
      <c r="W70" s="519" t="n"/>
      <c r="X70" s="196" t="n"/>
      <c r="Y70" s="196" t="n"/>
      <c r="Z70" s="92" t="n"/>
      <c r="AA70" s="206" t="n"/>
      <c r="AB70" s="206" t="n"/>
      <c r="AC70" s="206" t="n"/>
      <c r="AD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515" t="n"/>
      <c r="S71" s="573" t="n"/>
      <c r="T71" s="573" t="n"/>
      <c r="U71" s="516" t="n"/>
      <c r="V71" s="500" t="n"/>
      <c r="W71" s="519" t="n"/>
      <c r="X71" s="196" t="n"/>
      <c r="Y71" s="196" t="n"/>
      <c r="Z71" s="92" t="n"/>
      <c r="AA71" s="206" t="n"/>
      <c r="AB71" s="206" t="n"/>
      <c r="AC71" s="206" t="n"/>
      <c r="AD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515" t="n"/>
      <c r="S72" s="573" t="n"/>
      <c r="T72" s="573" t="n"/>
      <c r="U72" s="516" t="n"/>
      <c r="V72" s="500" t="n"/>
      <c r="W72" s="519" t="n"/>
      <c r="X72" s="196" t="n"/>
      <c r="Y72" s="196" t="n"/>
      <c r="Z72" s="92" t="n"/>
      <c r="AA72" s="206" t="n"/>
      <c r="AB72" s="206" t="n"/>
      <c r="AC72" s="206" t="n"/>
      <c r="AD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515" t="n"/>
      <c r="S73" s="573" t="n"/>
      <c r="T73" s="573" t="n"/>
      <c r="U73" s="516" t="n"/>
      <c r="V73" s="500" t="n"/>
      <c r="W73" s="519" t="n"/>
      <c r="X73" s="196" t="n"/>
      <c r="Y73" s="196" t="n"/>
      <c r="Z73" s="92" t="n"/>
      <c r="AA73" s="206" t="n"/>
      <c r="AB73" s="206" t="n"/>
      <c r="AC73" s="206" t="n"/>
      <c r="AD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515" t="n"/>
      <c r="S74" s="573" t="n"/>
      <c r="T74" s="573" t="n"/>
      <c r="U74" s="516" t="n"/>
      <c r="V74" s="500" t="n"/>
      <c r="W74" s="519" t="n"/>
      <c r="X74" s="196" t="n"/>
      <c r="Y74" s="196" t="n"/>
      <c r="Z74" s="92" t="n"/>
      <c r="AA74" s="206" t="n"/>
      <c r="AB74" s="206" t="n"/>
      <c r="AC74" s="206" t="n"/>
      <c r="AD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515" t="n"/>
      <c r="S75" s="573" t="n"/>
      <c r="T75" s="573" t="n"/>
      <c r="U75" s="516" t="n"/>
      <c r="V75" s="500" t="n"/>
      <c r="W75" s="519" t="n"/>
      <c r="X75" s="196" t="n"/>
      <c r="Y75" s="196" t="n"/>
      <c r="Z75" s="92" t="n"/>
      <c r="AA75" s="206" t="n"/>
      <c r="AB75" s="206" t="n"/>
      <c r="AC75" s="206" t="n"/>
      <c r="AD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515" t="n"/>
      <c r="S76" s="573" t="n"/>
      <c r="T76" s="573" t="n"/>
      <c r="U76" s="516" t="n"/>
      <c r="V76" s="500" t="n"/>
      <c r="W76" s="519" t="n"/>
      <c r="X76" s="196" t="n"/>
      <c r="Y76" s="196" t="n"/>
      <c r="Z76" s="92" t="n"/>
      <c r="AA76" s="206" t="n"/>
      <c r="AB76" s="206" t="n"/>
      <c r="AC76" s="206" t="n"/>
      <c r="AD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81" t="n"/>
      <c r="S77" s="590" t="n"/>
      <c r="T77" s="590" t="n"/>
      <c r="U77" s="588" t="n"/>
      <c r="V77" s="589" t="n"/>
      <c r="W77" s="642" t="n"/>
      <c r="X77" s="12" t="n"/>
      <c r="Y77" s="12" t="n"/>
      <c r="Z77" s="59" t="n"/>
      <c r="AA77" s="95" t="n"/>
      <c r="AB77" s="95" t="n"/>
      <c r="AC77" s="95" t="n"/>
      <c r="AD77" s="97" t="n"/>
    </row>
    <row r="78">
      <c r="O78" s="500" t="n"/>
    </row>
  </sheetData>
  <mergeCells count="2">
    <mergeCell ref="A20:A26"/>
    <mergeCell ref="AG4:AI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2:Q78"/>
  <sheetViews>
    <sheetView showGridLines="0" workbookViewId="0">
      <selection activeCell="J17" sqref="J17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1.125" customWidth="1" style="497" min="10" max="10"/>
    <col width="11.875" bestFit="1" customWidth="1" style="497" min="11" max="11"/>
    <col width="11.125" bestFit="1" customWidth="1" style="497" min="12" max="12"/>
    <col width="11.1875" bestFit="1" customWidth="1" style="497" min="14" max="14"/>
    <col width="10.875" bestFit="1" customWidth="1" style="497" min="15" max="16"/>
    <col width="9.375" bestFit="1" customWidth="1" style="497" min="17" max="17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75" t="inlineStr">
        <is>
          <t>선납+선납할인 시</t>
        </is>
      </c>
      <c r="O3" s="76" t="n"/>
      <c r="P3" s="76" t="n"/>
      <c r="Q3" s="76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15">
        <f>ROUNDDOWN(($C$28/$C$7)*(H5-G5+1)/DAY(H5),-2)</f>
        <v/>
      </c>
      <c r="O5" s="516">
        <f>N5-P5-Q5</f>
        <v/>
      </c>
      <c r="P5" s="500">
        <f>L5</f>
        <v/>
      </c>
      <c r="Q5" s="519">
        <f>M5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$C$27</f>
        <v/>
      </c>
      <c r="O6" s="516">
        <f>N6-P6-Q6</f>
        <v/>
      </c>
      <c r="P6" s="500">
        <f>L6</f>
        <v/>
      </c>
      <c r="Q6" s="519">
        <f>M6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$C$27</f>
        <v/>
      </c>
      <c r="O7" s="516">
        <f>N7-P7-Q7</f>
        <v/>
      </c>
      <c r="P7" s="500">
        <f>L7</f>
        <v/>
      </c>
      <c r="Q7" s="519">
        <f>M7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$C$27</f>
        <v/>
      </c>
      <c r="O8" s="516">
        <f>N8-P8-Q8</f>
        <v/>
      </c>
      <c r="P8" s="500">
        <f>L8</f>
        <v/>
      </c>
      <c r="Q8" s="519">
        <f>M8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$C$27</f>
        <v/>
      </c>
      <c r="O9" s="516">
        <f>N9-P9-Q9</f>
        <v/>
      </c>
      <c r="P9" s="500">
        <f>L9</f>
        <v/>
      </c>
      <c r="Q9" s="519">
        <f>M9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$C$27</f>
        <v/>
      </c>
      <c r="O10" s="516">
        <f>N10-P10-Q10</f>
        <v/>
      </c>
      <c r="P10" s="500">
        <f>L10</f>
        <v/>
      </c>
      <c r="Q10" s="519">
        <f>M10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$C$27</f>
        <v/>
      </c>
      <c r="O11" s="516">
        <f>N11-P11-Q11</f>
        <v/>
      </c>
      <c r="P11" s="500">
        <f>L11</f>
        <v/>
      </c>
      <c r="Q11" s="519">
        <f>M11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$C$27</f>
        <v/>
      </c>
      <c r="O12" s="516">
        <f>N12-P12-Q12</f>
        <v/>
      </c>
      <c r="P12" s="500">
        <f>L12</f>
        <v/>
      </c>
      <c r="Q12" s="519">
        <f>M12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$C$27</f>
        <v/>
      </c>
      <c r="O13" s="516">
        <f>N13-P13-Q13</f>
        <v/>
      </c>
      <c r="P13" s="500">
        <f>L13</f>
        <v/>
      </c>
      <c r="Q13" s="519">
        <f>M13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$C$27</f>
        <v/>
      </c>
      <c r="O14" s="516">
        <f>N14-P14-Q14</f>
        <v/>
      </c>
      <c r="P14" s="500">
        <f>L14</f>
        <v/>
      </c>
      <c r="Q14" s="519">
        <f>M14</f>
        <v/>
      </c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$C$27</f>
        <v/>
      </c>
      <c r="O15" s="516">
        <f>N15-P15-Q15</f>
        <v/>
      </c>
      <c r="P15" s="500">
        <f>L15</f>
        <v/>
      </c>
      <c r="Q15" s="519">
        <f>M15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$C$27</f>
        <v/>
      </c>
      <c r="O16" s="516">
        <f>N16-P16-Q16</f>
        <v/>
      </c>
      <c r="P16" s="500">
        <f>L16</f>
        <v/>
      </c>
      <c r="Q16" s="519">
        <f>M16</f>
        <v/>
      </c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$C$27</f>
        <v/>
      </c>
      <c r="O17" s="516">
        <f>N17-P17-Q17</f>
        <v/>
      </c>
      <c r="P17" s="500">
        <f>L17</f>
        <v/>
      </c>
      <c r="Q17" s="519">
        <f>M17</f>
        <v/>
      </c>
    </row>
    <row r="18" ht="17.45" customHeight="1" s="497">
      <c r="A18" s="496" t="inlineStr">
        <is>
          <t>차후 변경예정</t>
        </is>
      </c>
      <c r="B18" s="9" t="inlineStr">
        <is>
          <t>선납금 %</t>
        </is>
      </c>
      <c r="C18" s="288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$C$27</f>
        <v/>
      </c>
      <c r="O18" s="516">
        <f>N18-P18-Q18</f>
        <v/>
      </c>
      <c r="P18" s="500">
        <f>L18</f>
        <v/>
      </c>
      <c r="Q18" s="519">
        <f>M18</f>
        <v/>
      </c>
    </row>
    <row r="19">
      <c r="A19" s="628" t="n"/>
      <c r="B19" s="118" t="inlineStr">
        <is>
          <t>(계산용) 선납금(v-) (총구독료 v+ 기준)</t>
        </is>
      </c>
      <c r="C19" s="506">
        <f>C16*C18/1.1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$C$27</f>
        <v/>
      </c>
      <c r="O19" s="516">
        <f>N19-P19-Q19</f>
        <v/>
      </c>
      <c r="P19" s="500">
        <f>L19</f>
        <v/>
      </c>
      <c r="Q19" s="519">
        <f>M19</f>
        <v/>
      </c>
    </row>
    <row r="20">
      <c r="A20" s="628" t="n"/>
      <c r="B20" s="50" t="inlineStr">
        <is>
          <t>(계산용) 선납금 월할 (V-)</t>
        </is>
      </c>
      <c r="C20" s="506">
        <f>C19/C7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$C$27</f>
        <v/>
      </c>
      <c r="O20" s="516">
        <f>N20-P20-Q20</f>
        <v/>
      </c>
      <c r="P20" s="500">
        <f>L20</f>
        <v/>
      </c>
      <c r="Q20" s="519">
        <f>M20</f>
        <v/>
      </c>
    </row>
    <row r="21">
      <c r="A21" s="628" t="n"/>
      <c r="B21" s="50" t="inlineStr">
        <is>
          <t>(계산용) 선납금 월할 보정 (V-)</t>
        </is>
      </c>
      <c r="C21" s="506">
        <f>ROUND(C20,-2)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$C$27</f>
        <v/>
      </c>
      <c r="O21" s="516">
        <f>N21-P21-Q21</f>
        <v/>
      </c>
      <c r="P21" s="500">
        <f>L21</f>
        <v/>
      </c>
      <c r="Q21" s="519">
        <f>M21</f>
        <v/>
      </c>
    </row>
    <row r="22">
      <c r="A22" s="628" t="n"/>
      <c r="B22" s="63" t="inlineStr">
        <is>
          <t>(최종) 선납금 (V-)</t>
        </is>
      </c>
      <c r="C22" s="506">
        <f>C21*C7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$C$27</f>
        <v/>
      </c>
      <c r="O22" s="516">
        <f>N22-P22-Q22</f>
        <v/>
      </c>
      <c r="P22" s="500">
        <f>L22</f>
        <v/>
      </c>
      <c r="Q22" s="519">
        <f>M22</f>
        <v/>
      </c>
    </row>
    <row r="23">
      <c r="B23" s="9" t="inlineStr">
        <is>
          <t>(계산용) 선납 할인금 (V-)</t>
        </is>
      </c>
      <c r="C23" s="506">
        <f>C14*5%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$C$27</f>
        <v/>
      </c>
      <c r="O23" s="516">
        <f>N23-P23-Q23</f>
        <v/>
      </c>
      <c r="P23" s="500">
        <f>L23</f>
        <v/>
      </c>
      <c r="Q23" s="519">
        <f>M23</f>
        <v/>
      </c>
    </row>
    <row r="24">
      <c r="B24" s="9" t="inlineStr">
        <is>
          <t>(계산용) 선납 할인금 월할 (V-)</t>
        </is>
      </c>
      <c r="C24" s="506">
        <f>C23/C7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$C$27</f>
        <v/>
      </c>
      <c r="O24" s="516">
        <f>N24-P24-Q24</f>
        <v/>
      </c>
      <c r="P24" s="500">
        <f>L24</f>
        <v/>
      </c>
      <c r="Q24" s="519">
        <f>M24</f>
        <v/>
      </c>
    </row>
    <row r="25">
      <c r="B25" s="9" t="inlineStr">
        <is>
          <t>(계산용) 선납 할인금 월할 보정 (V-)</t>
        </is>
      </c>
      <c r="C25" s="506">
        <f>ROUNDUP(C24,-2)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$C$27</f>
        <v/>
      </c>
      <c r="O25" s="516">
        <f>N25-P25-Q25</f>
        <v/>
      </c>
      <c r="P25" s="500">
        <f>L25</f>
        <v/>
      </c>
      <c r="Q25" s="519">
        <f>M25</f>
        <v/>
      </c>
    </row>
    <row r="26">
      <c r="B26" s="63" t="inlineStr">
        <is>
          <t>(최종) 선납 할인금 (V-)</t>
        </is>
      </c>
      <c r="C26" s="506">
        <f>C25*C7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$C$27</f>
        <v/>
      </c>
      <c r="O26" s="516">
        <f>N26-P26-Q26</f>
        <v/>
      </c>
      <c r="P26" s="500">
        <f>L26</f>
        <v/>
      </c>
      <c r="Q26" s="519">
        <f>M26</f>
        <v/>
      </c>
    </row>
    <row r="27">
      <c r="B27" s="9" t="inlineStr">
        <is>
          <t>(최종) 선납금+선납 할인 반영 월 구독료 (V-)</t>
        </is>
      </c>
      <c r="C27" s="506">
        <f>(C14-C22-C26)/C7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$C$27</f>
        <v/>
      </c>
      <c r="O27" s="516">
        <f>N27-P27-Q27</f>
        <v/>
      </c>
      <c r="P27" s="500">
        <f>L27</f>
        <v/>
      </c>
      <c r="Q27" s="519">
        <f>M27</f>
        <v/>
      </c>
    </row>
    <row r="28">
      <c r="B28" s="9" t="inlineStr">
        <is>
          <t>(최종) 선납금+선납 할인 반영 총 구독료 (V-)</t>
        </is>
      </c>
      <c r="C28" s="506">
        <f>C27*C7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$C$27</f>
        <v/>
      </c>
      <c r="O28" s="516">
        <f>N28-P28-Q28</f>
        <v/>
      </c>
      <c r="P28" s="500">
        <f>L28</f>
        <v/>
      </c>
      <c r="Q28" s="519">
        <f>M28</f>
        <v/>
      </c>
    </row>
    <row r="29"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$C$27</f>
        <v/>
      </c>
      <c r="O29" s="516">
        <f>N29-P29-Q29</f>
        <v/>
      </c>
      <c r="P29" s="500">
        <f>L29</f>
        <v/>
      </c>
      <c r="Q29" s="519">
        <f>M29</f>
        <v/>
      </c>
    </row>
    <row r="30">
      <c r="B30" s="9" t="inlineStr">
        <is>
          <t>선납금+선납 할인 반영 순수 구독료 (V-)</t>
        </is>
      </c>
      <c r="C30" s="506">
        <f>C28-C11-C12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$C$27</f>
        <v/>
      </c>
      <c r="O30" s="516">
        <f>N30-P30-Q30</f>
        <v/>
      </c>
      <c r="P30" s="500">
        <f>L30</f>
        <v/>
      </c>
      <c r="Q30" s="519">
        <f>M30</f>
        <v/>
      </c>
    </row>
    <row r="31">
      <c r="B31" s="9" t="inlineStr">
        <is>
          <t>선납금+선납 할인 반영 순수 구독료 월할 (V-)</t>
        </is>
      </c>
      <c r="C31" s="506">
        <f>C30/C7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$C$27</f>
        <v/>
      </c>
      <c r="O31" s="516">
        <f>N31-P31-Q31</f>
        <v/>
      </c>
      <c r="P31" s="500">
        <f>L31</f>
        <v/>
      </c>
      <c r="Q31" s="519">
        <f>M31</f>
        <v/>
      </c>
    </row>
    <row r="32"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$C$27</f>
        <v/>
      </c>
      <c r="O32" s="516">
        <f>N32-P32-Q32</f>
        <v/>
      </c>
      <c r="P32" s="500">
        <f>L32</f>
        <v/>
      </c>
      <c r="Q32" s="519">
        <f>M32</f>
        <v/>
      </c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$C$27</f>
        <v/>
      </c>
      <c r="O33" s="516">
        <f>N33-P33-Q33</f>
        <v/>
      </c>
      <c r="P33" s="500">
        <f>L33</f>
        <v/>
      </c>
      <c r="Q33" s="519">
        <f>M33</f>
        <v/>
      </c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$C$27</f>
        <v/>
      </c>
      <c r="O34" s="516">
        <f>N34-P34-Q34</f>
        <v/>
      </c>
      <c r="P34" s="500">
        <f>L34</f>
        <v/>
      </c>
      <c r="Q34" s="519">
        <f>M34</f>
        <v/>
      </c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$C$27</f>
        <v/>
      </c>
      <c r="O35" s="516">
        <f>N35-P35-Q35</f>
        <v/>
      </c>
      <c r="P35" s="500">
        <f>L35</f>
        <v/>
      </c>
      <c r="Q35" s="519">
        <f>M35</f>
        <v/>
      </c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$C$27</f>
        <v/>
      </c>
      <c r="O36" s="516">
        <f>N36-P36-Q36</f>
        <v/>
      </c>
      <c r="P36" s="500">
        <f>L36</f>
        <v/>
      </c>
      <c r="Q36" s="519">
        <f>M36</f>
        <v/>
      </c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$C$27</f>
        <v/>
      </c>
      <c r="O37" s="516">
        <f>N37-P37-Q37</f>
        <v/>
      </c>
      <c r="P37" s="500">
        <f>L37</f>
        <v/>
      </c>
      <c r="Q37" s="519">
        <f>M37</f>
        <v/>
      </c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$C$27</f>
        <v/>
      </c>
      <c r="O38" s="516">
        <f>N38-P38-Q38</f>
        <v/>
      </c>
      <c r="P38" s="500">
        <f>L38</f>
        <v/>
      </c>
      <c r="Q38" s="519">
        <f>M38</f>
        <v/>
      </c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$C$27</f>
        <v/>
      </c>
      <c r="O39" s="516">
        <f>N39-P39-Q39</f>
        <v/>
      </c>
      <c r="P39" s="500">
        <f>L39</f>
        <v/>
      </c>
      <c r="Q39" s="519">
        <f>M39</f>
        <v/>
      </c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$C$27</f>
        <v/>
      </c>
      <c r="O40" s="516">
        <f>N40-P40-Q40</f>
        <v/>
      </c>
      <c r="P40" s="500">
        <f>L40</f>
        <v/>
      </c>
      <c r="Q40" s="519">
        <f>M40</f>
        <v/>
      </c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$C$27</f>
        <v/>
      </c>
      <c r="O41" s="516">
        <f>N41-P41-Q41</f>
        <v/>
      </c>
      <c r="P41" s="500">
        <f>L41</f>
        <v/>
      </c>
      <c r="Q41" s="519">
        <f>M41</f>
        <v/>
      </c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$C$27</f>
        <v/>
      </c>
      <c r="O42" s="516">
        <f>N42-P42-Q42</f>
        <v/>
      </c>
      <c r="P42" s="500">
        <f>L42</f>
        <v/>
      </c>
      <c r="Q42" s="519">
        <f>M42</f>
        <v/>
      </c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$C$27</f>
        <v/>
      </c>
      <c r="O43" s="516">
        <f>N43-P43-Q43</f>
        <v/>
      </c>
      <c r="P43" s="500">
        <f>L43</f>
        <v/>
      </c>
      <c r="Q43" s="519">
        <f>M43</f>
        <v/>
      </c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$C$27</f>
        <v/>
      </c>
      <c r="O44" s="516">
        <f>N44-P44-Q44</f>
        <v/>
      </c>
      <c r="P44" s="500">
        <f>L44</f>
        <v/>
      </c>
      <c r="Q44" s="519">
        <f>M44</f>
        <v/>
      </c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$C$27</f>
        <v/>
      </c>
      <c r="O45" s="516">
        <f>N45-P45-Q45</f>
        <v/>
      </c>
      <c r="P45" s="500">
        <f>L45</f>
        <v/>
      </c>
      <c r="Q45" s="519">
        <f>M45</f>
        <v/>
      </c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$C$27</f>
        <v/>
      </c>
      <c r="O46" s="516">
        <f>N46-P46-Q46</f>
        <v/>
      </c>
      <c r="P46" s="500">
        <f>L46</f>
        <v/>
      </c>
      <c r="Q46" s="519">
        <f>M46</f>
        <v/>
      </c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$C$27</f>
        <v/>
      </c>
      <c r="O47" s="516">
        <f>N47-P47-Q47</f>
        <v/>
      </c>
      <c r="P47" s="500">
        <f>L47</f>
        <v/>
      </c>
      <c r="Q47" s="519">
        <f>M47</f>
        <v/>
      </c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$C$27</f>
        <v/>
      </c>
      <c r="O48" s="516">
        <f>N48-P48-Q48</f>
        <v/>
      </c>
      <c r="P48" s="500">
        <f>L48</f>
        <v/>
      </c>
      <c r="Q48" s="519">
        <f>M48</f>
        <v/>
      </c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$C$27</f>
        <v/>
      </c>
      <c r="O49" s="516">
        <f>N49-P49-Q49</f>
        <v/>
      </c>
      <c r="P49" s="500">
        <f>L49</f>
        <v/>
      </c>
      <c r="Q49" s="519">
        <f>M49</f>
        <v/>
      </c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$C$27</f>
        <v/>
      </c>
      <c r="O50" s="516">
        <f>N50-P50-Q50</f>
        <v/>
      </c>
      <c r="P50" s="500">
        <f>L50</f>
        <v/>
      </c>
      <c r="Q50" s="519">
        <f>M50</f>
        <v/>
      </c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$C$27</f>
        <v/>
      </c>
      <c r="O51" s="516">
        <f>N51-P51-Q51</f>
        <v/>
      </c>
      <c r="P51" s="500">
        <f>L51</f>
        <v/>
      </c>
      <c r="Q51" s="519">
        <f>M51</f>
        <v/>
      </c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$C$27</f>
        <v/>
      </c>
      <c r="O52" s="516">
        <f>N52-P52-Q52</f>
        <v/>
      </c>
      <c r="P52" s="500">
        <f>L52</f>
        <v/>
      </c>
      <c r="Q52" s="519">
        <f>M52</f>
        <v/>
      </c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$C$27</f>
        <v/>
      </c>
      <c r="O53" s="516">
        <f>N53-P53-Q53</f>
        <v/>
      </c>
      <c r="P53" s="500">
        <f>L53</f>
        <v/>
      </c>
      <c r="Q53" s="519">
        <f>M53</f>
        <v/>
      </c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$C$27</f>
        <v/>
      </c>
      <c r="O54" s="516">
        <f>N54-P54-Q54</f>
        <v/>
      </c>
      <c r="P54" s="500">
        <f>L54</f>
        <v/>
      </c>
      <c r="Q54" s="519">
        <f>M54</f>
        <v/>
      </c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$C$27</f>
        <v/>
      </c>
      <c r="O55" s="516">
        <f>N55-P55-Q55</f>
        <v/>
      </c>
      <c r="P55" s="500">
        <f>L55</f>
        <v/>
      </c>
      <c r="Q55" s="519">
        <f>M55</f>
        <v/>
      </c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$C$27</f>
        <v/>
      </c>
      <c r="O56" s="516">
        <f>N56-P56-Q56</f>
        <v/>
      </c>
      <c r="P56" s="500">
        <f>L56</f>
        <v/>
      </c>
      <c r="Q56" s="519">
        <f>M56</f>
        <v/>
      </c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$C$27</f>
        <v/>
      </c>
      <c r="O57" s="516">
        <f>N57-P57-Q57</f>
        <v/>
      </c>
      <c r="P57" s="500">
        <f>L57</f>
        <v/>
      </c>
      <c r="Q57" s="519">
        <f>M57</f>
        <v/>
      </c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$C$27</f>
        <v/>
      </c>
      <c r="O58" s="516">
        <f>N58-P58-Q58</f>
        <v/>
      </c>
      <c r="P58" s="500">
        <f>L58</f>
        <v/>
      </c>
      <c r="Q58" s="519">
        <f>M58</f>
        <v/>
      </c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$C$27</f>
        <v/>
      </c>
      <c r="O59" s="516">
        <f>N59-P59-Q59</f>
        <v/>
      </c>
      <c r="P59" s="500">
        <f>L59</f>
        <v/>
      </c>
      <c r="Q59" s="519">
        <f>M59</f>
        <v/>
      </c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$C$27</f>
        <v/>
      </c>
      <c r="O60" s="516">
        <f>N60-P60-Q60</f>
        <v/>
      </c>
      <c r="P60" s="500">
        <f>L60</f>
        <v/>
      </c>
      <c r="Q60" s="519">
        <f>M60</f>
        <v/>
      </c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$C$27</f>
        <v/>
      </c>
      <c r="O61" s="516">
        <f>N61-P61-Q61</f>
        <v/>
      </c>
      <c r="P61" s="500">
        <f>L61</f>
        <v/>
      </c>
      <c r="Q61" s="519">
        <f>M61</f>
        <v/>
      </c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$C$27</f>
        <v/>
      </c>
      <c r="O62" s="516">
        <f>N62-P62-Q62</f>
        <v/>
      </c>
      <c r="P62" s="500">
        <f>L62</f>
        <v/>
      </c>
      <c r="Q62" s="519">
        <f>M62</f>
        <v/>
      </c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$C$27</f>
        <v/>
      </c>
      <c r="O63" s="516">
        <f>N63-P63-Q63</f>
        <v/>
      </c>
      <c r="P63" s="500">
        <f>L63</f>
        <v/>
      </c>
      <c r="Q63" s="519">
        <f>M63</f>
        <v/>
      </c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$C$27</f>
        <v/>
      </c>
      <c r="O64" s="516">
        <f>N64-P64-Q64</f>
        <v/>
      </c>
      <c r="P64" s="500">
        <f>L64</f>
        <v/>
      </c>
      <c r="Q64" s="519">
        <f>M64</f>
        <v/>
      </c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$C$27</f>
        <v/>
      </c>
      <c r="O65" s="516">
        <f>N65-P65-Q65</f>
        <v/>
      </c>
      <c r="P65" s="500">
        <f>L65</f>
        <v/>
      </c>
      <c r="Q65" s="519">
        <f>M65</f>
        <v/>
      </c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$C$27</f>
        <v/>
      </c>
      <c r="O66" s="516">
        <f>N66-P66-Q66</f>
        <v/>
      </c>
      <c r="P66" s="500">
        <f>L66</f>
        <v/>
      </c>
      <c r="Q66" s="519">
        <f>M66</f>
        <v/>
      </c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$C$27</f>
        <v/>
      </c>
      <c r="O67" s="516">
        <f>N67-P67-Q67</f>
        <v/>
      </c>
      <c r="P67" s="500">
        <f>L67</f>
        <v/>
      </c>
      <c r="Q67" s="519">
        <f>M67</f>
        <v/>
      </c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$C$27</f>
        <v/>
      </c>
      <c r="O68" s="516">
        <f>N68-P68-Q68</f>
        <v/>
      </c>
      <c r="P68" s="500">
        <f>L68</f>
        <v/>
      </c>
      <c r="Q68" s="519">
        <f>M68</f>
        <v/>
      </c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$C$27</f>
        <v/>
      </c>
      <c r="O69" s="516">
        <f>N69-P69-Q69</f>
        <v/>
      </c>
      <c r="P69" s="500">
        <f>L69</f>
        <v/>
      </c>
      <c r="Q69" s="519">
        <f>M69</f>
        <v/>
      </c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$C$27</f>
        <v/>
      </c>
      <c r="O70" s="516">
        <f>N70-P70-Q70</f>
        <v/>
      </c>
      <c r="P70" s="500">
        <f>L70</f>
        <v/>
      </c>
      <c r="Q70" s="519">
        <f>M70</f>
        <v/>
      </c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$C$27</f>
        <v/>
      </c>
      <c r="O71" s="516">
        <f>N71-P71-Q71</f>
        <v/>
      </c>
      <c r="P71" s="500">
        <f>L71</f>
        <v/>
      </c>
      <c r="Q71" s="519">
        <f>M71</f>
        <v/>
      </c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$C$27</f>
        <v/>
      </c>
      <c r="O72" s="516">
        <f>N72-P72-Q72</f>
        <v/>
      </c>
      <c r="P72" s="500">
        <f>L72</f>
        <v/>
      </c>
      <c r="Q72" s="519">
        <f>M72</f>
        <v/>
      </c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$C$27</f>
        <v/>
      </c>
      <c r="O73" s="516">
        <f>N73-P73-Q73</f>
        <v/>
      </c>
      <c r="P73" s="500">
        <f>L73</f>
        <v/>
      </c>
      <c r="Q73" s="519">
        <f>M73</f>
        <v/>
      </c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$C$27</f>
        <v/>
      </c>
      <c r="O74" s="516">
        <f>N74-P74-Q74</f>
        <v/>
      </c>
      <c r="P74" s="500">
        <f>L74</f>
        <v/>
      </c>
      <c r="Q74" s="519">
        <f>M74</f>
        <v/>
      </c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$C$27</f>
        <v/>
      </c>
      <c r="O75" s="516">
        <f>N75-P75-Q75</f>
        <v/>
      </c>
      <c r="P75" s="500">
        <f>L75</f>
        <v/>
      </c>
      <c r="Q75" s="519">
        <f>M75</f>
        <v/>
      </c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$C$27</f>
        <v/>
      </c>
      <c r="O76" s="516">
        <f>N76-P76-Q76</f>
        <v/>
      </c>
      <c r="P76" s="500">
        <f>L76</f>
        <v/>
      </c>
      <c r="Q76" s="519">
        <f>M76</f>
        <v/>
      </c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81">
        <f>$C$27-N5</f>
        <v/>
      </c>
      <c r="O77" s="588">
        <f>N77-P77-Q77</f>
        <v/>
      </c>
      <c r="P77" s="589">
        <f>L77</f>
        <v/>
      </c>
      <c r="Q77" s="642">
        <f>M77</f>
        <v/>
      </c>
    </row>
    <row r="78">
      <c r="O78" s="500" t="n"/>
    </row>
  </sheetData>
  <mergeCells count="1">
    <mergeCell ref="A18:A2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O89"/>
  <sheetViews>
    <sheetView showGridLines="0" topLeftCell="G1" zoomScale="55" zoomScaleNormal="55" workbookViewId="0">
      <selection activeCell="E36" sqref="E36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0.875" bestFit="1" customWidth="1" style="497" min="4" max="4"/>
    <col width="26.5" bestFit="1" customWidth="1" style="497" min="5" max="5"/>
    <col width="9.1875" bestFit="1" customWidth="1" style="185" min="6" max="6"/>
    <col width="11.125" bestFit="1" customWidth="1" style="185" min="7" max="9"/>
    <col width="11.875" customWidth="1" style="497" min="10" max="17"/>
    <col width="12.1875" customWidth="1" style="497" min="18" max="19"/>
    <col width="11.875" customWidth="1" style="497" min="20" max="25"/>
    <col width="13" customWidth="1" style="497" min="26" max="26"/>
    <col width="7.1875" bestFit="1" customWidth="1" style="497" min="27" max="27"/>
    <col width="17.375" customWidth="1" style="497" min="28" max="28"/>
    <col width="26.875" customWidth="1" style="497" min="29" max="29"/>
    <col width="18.125" customWidth="1" style="497" min="30" max="30"/>
    <col width="7.375" customWidth="1" style="497" min="31" max="31"/>
    <col width="10.375" customWidth="1" style="497" min="32" max="32"/>
    <col width="12" customWidth="1" style="497" min="33" max="33"/>
    <col width="12.125" customWidth="1" style="497" min="34" max="35"/>
    <col width="14.125" customWidth="1" style="497" min="36" max="36"/>
    <col width="10.1875" bestFit="1" customWidth="1" style="497" min="38" max="38"/>
  </cols>
  <sheetData>
    <row r="1">
      <c r="O1" s="500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  <c r="V2" s="500">
        <f>SUM(V5:V77)</f>
        <v/>
      </c>
      <c r="W2" s="500">
        <f>SUM(W5:W77)</f>
        <v/>
      </c>
      <c r="X2" s="500">
        <f>SUM(X5:X77)</f>
        <v/>
      </c>
      <c r="Y2" s="500">
        <f>SUM(Y5:Y77)</f>
        <v/>
      </c>
      <c r="Z2" s="500" t="n"/>
      <c r="AA2" s="500" t="n"/>
      <c r="AB2" s="500" t="n"/>
      <c r="AC2" s="500" t="n"/>
      <c r="AF2" s="206" t="inlineStr">
        <is>
          <t>* 위약금은 비과세로 총구독료(v+)기준으로 계산</t>
        </is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75" t="inlineStr">
        <is>
          <t>선납+선납할인</t>
        </is>
      </c>
      <c r="O3" s="76" t="n"/>
      <c r="P3" s="76" t="n"/>
      <c r="Q3" s="137" t="n"/>
      <c r="R3" s="501" t="inlineStr">
        <is>
          <t>(기존) 선납+선납할인+차감성 할인</t>
        </is>
      </c>
      <c r="S3" s="502" t="n"/>
      <c r="T3" s="502" t="n"/>
      <c r="U3" s="503" t="n"/>
      <c r="V3" s="501" t="inlineStr">
        <is>
          <t>(변경) 선납+선납할인 (유지), 차감성 할인 원복</t>
        </is>
      </c>
      <c r="W3" s="502" t="n"/>
      <c r="X3" s="502" t="n"/>
      <c r="Y3" s="503" t="n"/>
      <c r="Z3" s="502" t="inlineStr">
        <is>
          <t>차감성 할인 원복 시(v-)</t>
        </is>
      </c>
      <c r="AA3" s="502" t="n"/>
      <c r="AB3" s="690" t="n"/>
      <c r="AC3" s="502" t="n"/>
      <c r="AD3" s="75" t="inlineStr">
        <is>
          <t>차감성 할인 원복 후 중도해지 시 (v-)</t>
        </is>
      </c>
      <c r="AE3" s="70" t="n"/>
      <c r="AF3" s="70" t="n"/>
      <c r="AG3" s="70" t="n"/>
      <c r="AH3" s="70" t="n"/>
      <c r="AI3" s="70" t="n"/>
      <c r="AJ3" s="71" t="n"/>
      <c r="AL3" s="273" t="inlineStr">
        <is>
          <t>사용분 청구 (v-)</t>
        </is>
      </c>
      <c r="AM3" s="274" t="n"/>
      <c r="AN3" s="274" t="n"/>
      <c r="AO3" s="124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9" t="inlineStr">
        <is>
          <t>구독료청구</t>
        </is>
      </c>
      <c r="W4" s="26" t="inlineStr">
        <is>
          <t>제품</t>
        </is>
      </c>
      <c r="X4" s="15" t="inlineStr">
        <is>
          <t>케어</t>
        </is>
      </c>
      <c r="Y4" s="27" t="inlineStr">
        <is>
          <t>보증</t>
        </is>
      </c>
      <c r="Z4" s="15" t="inlineStr">
        <is>
          <t>결합해지일</t>
        </is>
      </c>
      <c r="AA4" s="26" t="inlineStr">
        <is>
          <t>경과일</t>
        </is>
      </c>
      <c r="AB4" s="26" t="inlineStr">
        <is>
          <t>사용분 청구</t>
        </is>
      </c>
      <c r="AC4" s="27" t="inlineStr">
        <is>
          <t>할인금 회수</t>
        </is>
      </c>
      <c r="AD4" s="26" t="inlineStr">
        <is>
          <t>제품판정일</t>
        </is>
      </c>
      <c r="AE4" s="9" t="inlineStr">
        <is>
          <t>경과일</t>
        </is>
      </c>
      <c r="AF4" s="26" t="inlineStr">
        <is>
          <t>위약금</t>
        </is>
      </c>
      <c r="AG4" s="15" t="inlineStr">
        <is>
          <t>사용분 청구</t>
        </is>
      </c>
      <c r="AH4" s="15" t="inlineStr">
        <is>
          <t>할인금 회수</t>
        </is>
      </c>
      <c r="AI4" s="15" t="inlineStr">
        <is>
          <t>선납잔액 환불</t>
        </is>
      </c>
      <c r="AJ4" s="27" t="inlineStr">
        <is>
          <t>등록비 청구</t>
        </is>
      </c>
      <c r="AL4" s="130" t="n"/>
      <c r="AM4" s="9" t="inlineStr">
        <is>
          <t>제품</t>
        </is>
      </c>
      <c r="AN4" s="9" t="inlineStr">
        <is>
          <t>케어</t>
        </is>
      </c>
      <c r="AO4" s="9" t="inlineStr">
        <is>
          <t>보증</t>
        </is>
      </c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>
        <f>EOMONTH(G5,0)</f>
        <v/>
      </c>
      <c r="I5" s="103">
        <f>EOMONTH(G5,0)+15</f>
        <v/>
      </c>
      <c r="J5" s="515">
        <f>ROUNDDOWN($C$15*(H5-G5+1)/DAY(H5),-2)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ROUNDDOWN($C$31*(H5-G5+1)/DAY(H5),-2)</f>
        <v/>
      </c>
      <c r="O5" s="516">
        <f>N5-P5-Q5</f>
        <v/>
      </c>
      <c r="P5" s="500">
        <f>L5</f>
        <v/>
      </c>
      <c r="Q5" s="519">
        <f>M5</f>
        <v/>
      </c>
      <c r="R5" s="515">
        <f>ROUNDDOWN($C$42*(H5-G5+1)/DAY(H5),-2)</f>
        <v/>
      </c>
      <c r="S5" s="516">
        <f>R5-T5-U5</f>
        <v/>
      </c>
      <c r="T5" s="517">
        <f>L5</f>
        <v/>
      </c>
      <c r="U5" s="518">
        <f>M5</f>
        <v/>
      </c>
      <c r="V5" s="515" t="n"/>
      <c r="W5" s="516" t="n"/>
      <c r="X5" s="517" t="n"/>
      <c r="Y5" s="518" t="n"/>
      <c r="Z5" s="517" t="n"/>
      <c r="AA5" s="646">
        <f>H5-G5+1</f>
        <v/>
      </c>
      <c r="AB5" s="646" t="n"/>
      <c r="AC5" s="518" t="n"/>
      <c r="AD5" s="55" t="n"/>
      <c r="AE5" s="54">
        <f>H5-G5+1</f>
        <v/>
      </c>
      <c r="AF5" s="55" t="n"/>
      <c r="AG5" s="626" t="n"/>
      <c r="AH5" s="627" t="n"/>
      <c r="AI5" s="627" t="n"/>
      <c r="AJ5" s="91" t="n"/>
      <c r="AL5" s="527">
        <f>AB24</f>
        <v/>
      </c>
      <c r="AM5" s="527">
        <f>AL5-AN5-AO5</f>
        <v/>
      </c>
      <c r="AN5" s="2">
        <f>C11/C7</f>
        <v/>
      </c>
      <c r="AO5" s="2">
        <f>C12/C7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515">
        <f>$C$42</f>
        <v/>
      </c>
      <c r="S6" s="516">
        <f>R6-T6-U6</f>
        <v/>
      </c>
      <c r="T6" s="517">
        <f>L6</f>
        <v/>
      </c>
      <c r="U6" s="518">
        <f>M6</f>
        <v/>
      </c>
      <c r="V6" s="515" t="n"/>
      <c r="W6" s="516" t="n"/>
      <c r="X6" s="517" t="n"/>
      <c r="Y6" s="518" t="n"/>
      <c r="Z6" s="517" t="n"/>
      <c r="AA6" s="646">
        <f>H6-G6+1</f>
        <v/>
      </c>
      <c r="AB6" s="646" t="n"/>
      <c r="AC6" s="518" t="n"/>
      <c r="AD6" s="92" t="n"/>
      <c r="AE6" s="196">
        <f>H6-G6+1</f>
        <v/>
      </c>
      <c r="AF6" s="92" t="n"/>
      <c r="AG6" s="206" t="n"/>
      <c r="AH6" s="206" t="n"/>
      <c r="AI6" s="206" t="n"/>
      <c r="AJ6" s="94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515">
        <f>$C$42</f>
        <v/>
      </c>
      <c r="S7" s="516">
        <f>R7-T7-U7</f>
        <v/>
      </c>
      <c r="T7" s="517">
        <f>L7</f>
        <v/>
      </c>
      <c r="U7" s="518">
        <f>M7</f>
        <v/>
      </c>
      <c r="V7" s="515" t="n"/>
      <c r="W7" s="516" t="n"/>
      <c r="X7" s="517" t="n"/>
      <c r="Y7" s="518" t="n"/>
      <c r="Z7" s="517" t="n"/>
      <c r="AA7" s="646">
        <f>H7-G7+1</f>
        <v/>
      </c>
      <c r="AB7" s="646" t="n"/>
      <c r="AC7" s="518" t="n"/>
      <c r="AD7" s="92" t="n"/>
      <c r="AE7" s="196">
        <f>H7-G7+1</f>
        <v/>
      </c>
      <c r="AF7" s="92" t="n"/>
      <c r="AG7" s="206" t="n"/>
      <c r="AH7" s="206" t="n"/>
      <c r="AI7" s="206" t="n"/>
      <c r="AJ7" s="94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515">
        <f>$C$42</f>
        <v/>
      </c>
      <c r="S8" s="516">
        <f>R8-T8-U8</f>
        <v/>
      </c>
      <c r="T8" s="517">
        <f>L8</f>
        <v/>
      </c>
      <c r="U8" s="518">
        <f>M8</f>
        <v/>
      </c>
      <c r="V8" s="515" t="n"/>
      <c r="W8" s="516" t="n"/>
      <c r="X8" s="517" t="n"/>
      <c r="Y8" s="518" t="n"/>
      <c r="Z8" s="517" t="n"/>
      <c r="AA8" s="646">
        <f>H8-G8+1</f>
        <v/>
      </c>
      <c r="AB8" s="646" t="n"/>
      <c r="AC8" s="518" t="n"/>
      <c r="AD8" s="92" t="n"/>
      <c r="AE8" s="196">
        <f>H8-G8+1</f>
        <v/>
      </c>
      <c r="AF8" s="92" t="n"/>
      <c r="AG8" s="206" t="n"/>
      <c r="AH8" s="206" t="n"/>
      <c r="AI8" s="206" t="n"/>
      <c r="AJ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515">
        <f>$C$42</f>
        <v/>
      </c>
      <c r="S9" s="516">
        <f>R9-T9-U9</f>
        <v/>
      </c>
      <c r="T9" s="517">
        <f>L9</f>
        <v/>
      </c>
      <c r="U9" s="518">
        <f>M9</f>
        <v/>
      </c>
      <c r="V9" s="515" t="n"/>
      <c r="W9" s="516" t="n"/>
      <c r="X9" s="517" t="n"/>
      <c r="Y9" s="518" t="n"/>
      <c r="Z9" s="517" t="n"/>
      <c r="AA9" s="646">
        <f>H9-G9+1</f>
        <v/>
      </c>
      <c r="AB9" s="646" t="n"/>
      <c r="AC9" s="518" t="n"/>
      <c r="AD9" s="92" t="n"/>
      <c r="AE9" s="196">
        <f>H9-G9+1</f>
        <v/>
      </c>
      <c r="AF9" s="92" t="n"/>
      <c r="AG9" s="206" t="n"/>
      <c r="AH9" s="206" t="n"/>
      <c r="AI9" s="206" t="n"/>
      <c r="AJ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$C$42</f>
        <v/>
      </c>
      <c r="S10" s="516">
        <f>R10-T10-U10</f>
        <v/>
      </c>
      <c r="T10" s="517">
        <f>L10</f>
        <v/>
      </c>
      <c r="U10" s="518">
        <f>M10</f>
        <v/>
      </c>
      <c r="V10" s="515" t="n"/>
      <c r="W10" s="516" t="n"/>
      <c r="X10" s="517" t="n"/>
      <c r="Y10" s="518" t="n"/>
      <c r="Z10" s="517" t="n"/>
      <c r="AA10" s="646">
        <f>H10-G10+1</f>
        <v/>
      </c>
      <c r="AB10" s="646" t="n"/>
      <c r="AC10" s="518" t="n"/>
      <c r="AD10" s="92" t="n"/>
      <c r="AE10" s="196">
        <f>H10-G10+1</f>
        <v/>
      </c>
      <c r="AF10" s="92" t="n"/>
      <c r="AG10" s="206" t="n"/>
      <c r="AH10" s="206" t="n"/>
      <c r="AI10" s="206" t="n"/>
      <c r="AJ10" s="94" t="n"/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$C$42</f>
        <v/>
      </c>
      <c r="S11" s="516">
        <f>R11-T11-U11</f>
        <v/>
      </c>
      <c r="T11" s="517">
        <f>L11</f>
        <v/>
      </c>
      <c r="U11" s="518">
        <f>M11</f>
        <v/>
      </c>
      <c r="V11" s="515" t="n"/>
      <c r="W11" s="516" t="n"/>
      <c r="X11" s="517" t="n"/>
      <c r="Y11" s="518" t="n"/>
      <c r="Z11" s="517" t="n"/>
      <c r="AA11" s="646">
        <f>H11-G11+1</f>
        <v/>
      </c>
      <c r="AB11" s="646" t="n"/>
      <c r="AC11" s="518" t="n"/>
      <c r="AD11" s="92" t="n"/>
      <c r="AE11" s="196">
        <f>H11-G11+1</f>
        <v/>
      </c>
      <c r="AF11" s="92" t="n"/>
      <c r="AG11" s="206" t="n"/>
      <c r="AH11" s="206" t="n"/>
      <c r="AI11" s="206" t="n"/>
      <c r="AJ11" s="94" t="n"/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$C$42</f>
        <v/>
      </c>
      <c r="S12" s="516">
        <f>R12-T12-U12</f>
        <v/>
      </c>
      <c r="T12" s="517">
        <f>L12</f>
        <v/>
      </c>
      <c r="U12" s="518">
        <f>M12</f>
        <v/>
      </c>
      <c r="V12" s="515" t="n"/>
      <c r="W12" s="516" t="n"/>
      <c r="X12" s="517" t="n"/>
      <c r="Y12" s="518" t="n"/>
      <c r="Z12" s="517" t="n"/>
      <c r="AA12" s="646">
        <f>H12-G12+1</f>
        <v/>
      </c>
      <c r="AB12" s="646" t="n"/>
      <c r="AC12" s="518" t="n"/>
      <c r="AD12" s="92" t="n"/>
      <c r="AE12" s="196">
        <f>H12-G12+1</f>
        <v/>
      </c>
      <c r="AF12" s="92" t="n"/>
      <c r="AG12" s="206" t="n"/>
      <c r="AH12" s="206" t="n"/>
      <c r="AI12" s="206" t="n"/>
      <c r="AJ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$C$42</f>
        <v/>
      </c>
      <c r="S13" s="516">
        <f>R13-T13-U13</f>
        <v/>
      </c>
      <c r="T13" s="517">
        <f>L13</f>
        <v/>
      </c>
      <c r="U13" s="518">
        <f>M13</f>
        <v/>
      </c>
      <c r="V13" s="515" t="n"/>
      <c r="W13" s="516" t="n"/>
      <c r="X13" s="517" t="n"/>
      <c r="Y13" s="518" t="n"/>
      <c r="Z13" s="517" t="n"/>
      <c r="AA13" s="646">
        <f>H13-G13+1</f>
        <v/>
      </c>
      <c r="AB13" s="646" t="n"/>
      <c r="AC13" s="518" t="n"/>
      <c r="AD13" s="92" t="n"/>
      <c r="AE13" s="196">
        <f>H13-G13+1</f>
        <v/>
      </c>
      <c r="AF13" s="92" t="n"/>
      <c r="AG13" s="206" t="n"/>
      <c r="AH13" s="206" t="n"/>
      <c r="AI13" s="206" t="n"/>
      <c r="AJ13" s="94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$C$42</f>
        <v/>
      </c>
      <c r="S14" s="516">
        <f>R14-T14-U14</f>
        <v/>
      </c>
      <c r="T14" s="517">
        <f>L14</f>
        <v/>
      </c>
      <c r="U14" s="518">
        <f>M14</f>
        <v/>
      </c>
      <c r="V14" s="515" t="n"/>
      <c r="W14" s="516" t="n"/>
      <c r="X14" s="517" t="n"/>
      <c r="Y14" s="518" t="n"/>
      <c r="Z14" s="517" t="n"/>
      <c r="AA14" s="646">
        <f>H14-G14+1</f>
        <v/>
      </c>
      <c r="AB14" s="646" t="n"/>
      <c r="AC14" s="518" t="n"/>
      <c r="AD14" s="92" t="n"/>
      <c r="AE14" s="196">
        <f>H14-G14+1</f>
        <v/>
      </c>
      <c r="AF14" s="92" t="n"/>
      <c r="AG14" s="206" t="n"/>
      <c r="AH14" s="206" t="n"/>
      <c r="AI14" s="206" t="n"/>
      <c r="AJ14" s="94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$C$42</f>
        <v/>
      </c>
      <c r="S15" s="516">
        <f>R15-T15-U15</f>
        <v/>
      </c>
      <c r="T15" s="517">
        <f>L15</f>
        <v/>
      </c>
      <c r="U15" s="518">
        <f>M15</f>
        <v/>
      </c>
      <c r="V15" s="515" t="n"/>
      <c r="W15" s="516" t="n"/>
      <c r="X15" s="517" t="n"/>
      <c r="Y15" s="518" t="n"/>
      <c r="Z15" s="517" t="n"/>
      <c r="AA15" s="646">
        <f>H15-G15+1</f>
        <v/>
      </c>
      <c r="AB15" s="646" t="n"/>
      <c r="AC15" s="518" t="n"/>
      <c r="AD15" s="92" t="n"/>
      <c r="AE15" s="196">
        <f>H15-G15+1</f>
        <v/>
      </c>
      <c r="AF15" s="92" t="n"/>
      <c r="AG15" s="206" t="n"/>
      <c r="AH15" s="206" t="n"/>
      <c r="AI15" s="206" t="n"/>
      <c r="AJ15" s="94" t="n"/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$C$42</f>
        <v/>
      </c>
      <c r="S16" s="516">
        <f>R16-T16-U16</f>
        <v/>
      </c>
      <c r="T16" s="517">
        <f>L16</f>
        <v/>
      </c>
      <c r="U16" s="518">
        <f>M16</f>
        <v/>
      </c>
      <c r="V16" s="515" t="n"/>
      <c r="W16" s="516" t="n"/>
      <c r="X16" s="517" t="n"/>
      <c r="Y16" s="518" t="n"/>
      <c r="Z16" s="517" t="n"/>
      <c r="AA16" s="646">
        <f>H16-G16+1</f>
        <v/>
      </c>
      <c r="AB16" s="646" t="n"/>
      <c r="AC16" s="518" t="n"/>
      <c r="AD16" s="92" t="n"/>
      <c r="AE16" s="196">
        <f>H16-G16+1</f>
        <v/>
      </c>
      <c r="AF16" s="92" t="n"/>
      <c r="AG16" s="206" t="n"/>
      <c r="AH16" s="206" t="n"/>
      <c r="AI16" s="206" t="n"/>
      <c r="AJ16" s="94" t="n"/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$C$42</f>
        <v/>
      </c>
      <c r="S17" s="516">
        <f>R17-T17-U17</f>
        <v/>
      </c>
      <c r="T17" s="517">
        <f>L17</f>
        <v/>
      </c>
      <c r="U17" s="518">
        <f>M17</f>
        <v/>
      </c>
      <c r="V17" s="515" t="n"/>
      <c r="W17" s="516" t="n"/>
      <c r="X17" s="517" t="n"/>
      <c r="Y17" s="518" t="n"/>
      <c r="Z17" s="517" t="n"/>
      <c r="AA17" s="646">
        <f>H17-G17+1</f>
        <v/>
      </c>
      <c r="AB17" s="646" t="n"/>
      <c r="AC17" s="518" t="n"/>
      <c r="AD17" s="92" t="n"/>
      <c r="AE17" s="196">
        <f>H17-G17+1</f>
        <v/>
      </c>
      <c r="AF17" s="92" t="n"/>
      <c r="AG17" s="206" t="n"/>
      <c r="AH17" s="206" t="n"/>
      <c r="AI17" s="206" t="n"/>
      <c r="AJ17" s="94" t="n"/>
    </row>
    <row r="18">
      <c r="B18" s="495" t="n"/>
      <c r="C18" s="697" t="n"/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$C$42</f>
        <v/>
      </c>
      <c r="S18" s="516">
        <f>R18-T18-U18</f>
        <v/>
      </c>
      <c r="T18" s="517">
        <f>L18</f>
        <v/>
      </c>
      <c r="U18" s="518">
        <f>M18</f>
        <v/>
      </c>
      <c r="V18" s="515" t="n"/>
      <c r="W18" s="516" t="n"/>
      <c r="X18" s="517" t="n"/>
      <c r="Y18" s="518" t="n"/>
      <c r="Z18" s="517" t="n"/>
      <c r="AA18" s="646">
        <f>H18-G18+1</f>
        <v/>
      </c>
      <c r="AB18" s="646" t="n"/>
      <c r="AC18" s="518" t="n"/>
      <c r="AD18" s="92" t="n"/>
      <c r="AE18" s="196">
        <f>H18-G18+1</f>
        <v/>
      </c>
      <c r="AF18" s="92" t="n"/>
      <c r="AG18" s="206" t="n"/>
      <c r="AH18" s="206" t="n"/>
      <c r="AI18" s="206" t="n"/>
      <c r="AJ18" s="94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$C$42</f>
        <v/>
      </c>
      <c r="S19" s="516">
        <f>R19-T19-U19</f>
        <v/>
      </c>
      <c r="T19" s="517">
        <f>L19</f>
        <v/>
      </c>
      <c r="U19" s="518">
        <f>M19</f>
        <v/>
      </c>
      <c r="V19" s="515" t="n"/>
      <c r="W19" s="516" t="n"/>
      <c r="X19" s="517" t="n"/>
      <c r="Y19" s="518" t="n"/>
      <c r="Z19" s="517" t="n"/>
      <c r="AA19" s="646">
        <f>H19-G19+1</f>
        <v/>
      </c>
      <c r="AB19" s="646" t="n"/>
      <c r="AC19" s="518" t="n"/>
      <c r="AD19" s="92" t="n"/>
      <c r="AE19" s="196">
        <f>H19-G19+1</f>
        <v/>
      </c>
      <c r="AF19" s="92" t="n"/>
      <c r="AG19" s="206" t="n"/>
      <c r="AH19" s="206" t="n"/>
      <c r="AI19" s="206" t="n"/>
      <c r="AJ19" s="94" t="n"/>
    </row>
    <row r="20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L20</f>
        <v/>
      </c>
      <c r="Q20" s="519">
        <f>M20</f>
        <v/>
      </c>
      <c r="R20" s="515">
        <f>$C$42</f>
        <v/>
      </c>
      <c r="S20" s="516">
        <f>R20-T20-U20</f>
        <v/>
      </c>
      <c r="T20" s="517">
        <f>L20</f>
        <v/>
      </c>
      <c r="U20" s="518">
        <f>M20</f>
        <v/>
      </c>
      <c r="V20" s="515" t="n"/>
      <c r="W20" s="629" t="n"/>
      <c r="X20" s="517" t="n"/>
      <c r="Y20" s="518" t="n"/>
      <c r="Z20" s="517" t="n"/>
      <c r="AA20" s="646">
        <f>H20-G20+1</f>
        <v/>
      </c>
      <c r="AB20" s="646" t="n"/>
      <c r="AC20" s="518" t="n"/>
      <c r="AD20" s="92" t="n"/>
      <c r="AE20" s="196">
        <f>H20-G20+1</f>
        <v/>
      </c>
      <c r="AF20" s="92" t="n"/>
      <c r="AG20" s="206" t="n"/>
      <c r="AH20" s="206" t="n"/>
      <c r="AI20" s="206" t="n"/>
      <c r="AJ20" s="94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L21</f>
        <v/>
      </c>
      <c r="Q21" s="519">
        <f>M21</f>
        <v/>
      </c>
      <c r="R21" s="515">
        <f>$C$42</f>
        <v/>
      </c>
      <c r="S21" s="516">
        <f>R21-T21-U21</f>
        <v/>
      </c>
      <c r="T21" s="517">
        <f>L21</f>
        <v/>
      </c>
      <c r="U21" s="518">
        <f>M21</f>
        <v/>
      </c>
      <c r="V21" s="515" t="n"/>
      <c r="W21" s="516" t="n"/>
      <c r="X21" s="517" t="n"/>
      <c r="Y21" s="518" t="n"/>
      <c r="Z21" s="517" t="n"/>
      <c r="AA21" s="646">
        <f>H21-G21+1</f>
        <v/>
      </c>
      <c r="AB21" s="646" t="n"/>
      <c r="AC21" s="518" t="n"/>
      <c r="AD21" s="92" t="n"/>
      <c r="AE21" s="196">
        <f>H21-G21+1</f>
        <v/>
      </c>
      <c r="AF21" s="92" t="n"/>
      <c r="AG21" s="206" t="n"/>
      <c r="AH21" s="206" t="n"/>
      <c r="AI21" s="206" t="n"/>
      <c r="AJ21" s="94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L22</f>
        <v/>
      </c>
      <c r="Q22" s="519">
        <f>M22</f>
        <v/>
      </c>
      <c r="R22" s="515">
        <f>$C$42</f>
        <v/>
      </c>
      <c r="S22" s="516">
        <f>R22-T22-U22</f>
        <v/>
      </c>
      <c r="T22" s="517">
        <f>L22</f>
        <v/>
      </c>
      <c r="U22" s="518">
        <f>M22</f>
        <v/>
      </c>
      <c r="V22" s="515" t="n"/>
      <c r="W22" s="516" t="n"/>
      <c r="X22" s="517" t="n"/>
      <c r="Y22" s="518" t="n"/>
      <c r="Z22" s="517" t="n"/>
      <c r="AA22" s="646">
        <f>H22-G22+1</f>
        <v/>
      </c>
      <c r="AB22" s="646" t="n"/>
      <c r="AC22" s="518" t="n"/>
      <c r="AD22" s="92" t="n"/>
      <c r="AE22" s="196">
        <f>H22-G22+1</f>
        <v/>
      </c>
      <c r="AF22" s="92" t="n"/>
      <c r="AG22" s="206" t="n"/>
      <c r="AH22" s="206" t="n"/>
      <c r="AI22" s="206" t="n"/>
      <c r="AJ22" s="94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L23</f>
        <v/>
      </c>
      <c r="Q23" s="519">
        <f>M23</f>
        <v/>
      </c>
      <c r="R23" s="515">
        <f>$C$42</f>
        <v/>
      </c>
      <c r="S23" s="516">
        <f>R23-T23-U23</f>
        <v/>
      </c>
      <c r="T23" s="517">
        <f>L23</f>
        <v/>
      </c>
      <c r="U23" s="518">
        <f>M23</f>
        <v/>
      </c>
      <c r="V23" s="743" t="inlineStr">
        <is>
          <t>* 4/17부터 차감성 할인 원복 적용 금액으로 청구</t>
        </is>
      </c>
      <c r="W23" s="516" t="n"/>
      <c r="X23" s="517" t="n"/>
      <c r="Y23" s="518" t="n"/>
      <c r="Z23" s="517" t="n"/>
      <c r="AA23" s="646">
        <f>H23-G23+1</f>
        <v/>
      </c>
      <c r="AB23" s="646" t="n"/>
      <c r="AC23" s="518" t="n"/>
      <c r="AD23" s="92" t="n"/>
      <c r="AE23" s="196">
        <f>H23-G23+1</f>
        <v/>
      </c>
      <c r="AG23" s="206" t="n"/>
      <c r="AH23" s="206" t="n"/>
      <c r="AI23" s="206" t="n"/>
      <c r="AJ23" s="94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E24" s="202" t="inlineStr">
        <is>
          <t>* 차감성할인 원복상황 발생</t>
        </is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L24</f>
        <v/>
      </c>
      <c r="Q24" s="635">
        <f>M24</f>
        <v/>
      </c>
      <c r="R24" s="630">
        <f>ROUNDDOWN($C$42*(Z24-G24)/DAY(H24),-2)</f>
        <v/>
      </c>
      <c r="S24" s="631" t="n"/>
      <c r="T24" s="632" t="n"/>
      <c r="U24" s="633" t="n"/>
      <c r="V24" s="630">
        <f>ROUNDDOWN($C$31*(H24-Z24+1)/DAY(H24),-2)</f>
        <v/>
      </c>
      <c r="W24" s="631" t="n"/>
      <c r="X24" s="632" t="n"/>
      <c r="Y24" s="633" t="n"/>
      <c r="Z24" s="99" t="n">
        <v>46494</v>
      </c>
      <c r="AA24" s="647">
        <f>Z24-G24+1</f>
        <v/>
      </c>
      <c r="AB24" s="647">
        <f>R24+V24</f>
        <v/>
      </c>
      <c r="AC24" s="633">
        <f>ROUNDDOWN(C41*SUM(AA5:AA24)/C8,-2)</f>
        <v/>
      </c>
      <c r="AD24" s="195" t="n"/>
      <c r="AE24" s="196">
        <f>H24-G24+1</f>
        <v/>
      </c>
      <c r="AF24" s="646" t="n"/>
      <c r="AG24" s="517" t="n"/>
      <c r="AH24" s="517" t="n"/>
      <c r="AI24" s="517" t="n"/>
      <c r="AJ24" s="699" t="n"/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743" t="inlineStr">
        <is>
          <t>* 차감성 할인 혜택 반영하여 4/16까지 구독료 계산</t>
        </is>
      </c>
      <c r="S25" s="516" t="n"/>
      <c r="T25" s="517" t="n"/>
      <c r="U25" s="518" t="n"/>
      <c r="V25" s="515">
        <f>N25</f>
        <v/>
      </c>
      <c r="W25" s="516">
        <f>O25</f>
        <v/>
      </c>
      <c r="X25" s="517">
        <f>P25</f>
        <v/>
      </c>
      <c r="Y25" s="518">
        <f>Q25</f>
        <v/>
      </c>
      <c r="Z25" s="517" t="n"/>
      <c r="AA25" s="646" t="n"/>
      <c r="AB25" s="646" t="n"/>
      <c r="AC25" s="744" t="inlineStr">
        <is>
          <t>* 결합할인 해지 시점에 결합할인 혜택 회수</t>
        </is>
      </c>
      <c r="AD25" s="92" t="n"/>
      <c r="AE25" s="196">
        <f>H25-G25+1</f>
        <v/>
      </c>
      <c r="AF25" s="92" t="n"/>
      <c r="AG25" s="539" t="n"/>
      <c r="AH25" s="206" t="n"/>
      <c r="AI25" s="206" t="n"/>
      <c r="AJ25" s="94" t="n"/>
    </row>
    <row r="26">
      <c r="A26" s="176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515" t="n"/>
      <c r="S26" s="516" t="n"/>
      <c r="T26" s="517" t="n"/>
      <c r="U26" s="518" t="n"/>
      <c r="V26" s="515">
        <f>N26</f>
        <v/>
      </c>
      <c r="W26" s="516">
        <f>O26</f>
        <v/>
      </c>
      <c r="X26" s="517">
        <f>P26</f>
        <v/>
      </c>
      <c r="Y26" s="518">
        <f>Q26</f>
        <v/>
      </c>
      <c r="Z26" s="517" t="n"/>
      <c r="AA26" s="646" t="n"/>
      <c r="AB26" s="646" t="n"/>
      <c r="AC26" s="701" t="n"/>
      <c r="AD26" s="92" t="n"/>
      <c r="AE26" s="196">
        <f>H26-G26+1</f>
        <v/>
      </c>
      <c r="AF26" s="92" t="n"/>
      <c r="AG26" s="206" t="n"/>
      <c r="AH26" s="206" t="n"/>
      <c r="AI26" s="206" t="n"/>
      <c r="AJ26" s="94" t="n"/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515" t="n"/>
      <c r="S27" s="516" t="n"/>
      <c r="T27" s="517" t="n"/>
      <c r="U27" s="518" t="n"/>
      <c r="V27" s="515">
        <f>N27</f>
        <v/>
      </c>
      <c r="W27" s="516">
        <f>O27</f>
        <v/>
      </c>
      <c r="X27" s="517">
        <f>P27</f>
        <v/>
      </c>
      <c r="Y27" s="518">
        <f>Q27</f>
        <v/>
      </c>
      <c r="Z27" s="517" t="n"/>
      <c r="AA27" s="646" t="n"/>
      <c r="AB27" s="646" t="n"/>
      <c r="AC27" s="518" t="n"/>
      <c r="AD27" s="92" t="n"/>
      <c r="AE27" s="196">
        <f>H27-G27+1</f>
        <v/>
      </c>
      <c r="AF27" s="92" t="n"/>
      <c r="AG27" s="206" t="n"/>
      <c r="AH27" s="206" t="n"/>
      <c r="AI27" s="206" t="n"/>
      <c r="AJ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515" t="n"/>
      <c r="S28" s="516" t="n"/>
      <c r="T28" s="517" t="n"/>
      <c r="U28" s="518" t="n"/>
      <c r="V28" s="515">
        <f>N28</f>
        <v/>
      </c>
      <c r="W28" s="516">
        <f>O28</f>
        <v/>
      </c>
      <c r="X28" s="517">
        <f>P28</f>
        <v/>
      </c>
      <c r="Y28" s="518">
        <f>Q28</f>
        <v/>
      </c>
      <c r="Z28" s="517" t="n"/>
      <c r="AA28" s="646" t="n"/>
      <c r="AB28" s="646" t="n"/>
      <c r="AC28" s="518" t="n"/>
      <c r="AD28" s="92" t="n"/>
      <c r="AE28" s="196">
        <f>H28-G28+1</f>
        <v/>
      </c>
      <c r="AF28" s="92" t="n"/>
      <c r="AG28" s="206" t="n"/>
      <c r="AH28" s="206" t="n"/>
      <c r="AI28" s="206" t="n"/>
      <c r="AJ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515" t="n"/>
      <c r="S29" s="516" t="n"/>
      <c r="T29" s="517" t="n"/>
      <c r="U29" s="518" t="n"/>
      <c r="V29" s="515">
        <f>N29</f>
        <v/>
      </c>
      <c r="W29" s="516">
        <f>O29</f>
        <v/>
      </c>
      <c r="X29" s="517">
        <f>P29</f>
        <v/>
      </c>
      <c r="Y29" s="518">
        <f>Q29</f>
        <v/>
      </c>
      <c r="Z29" s="517" t="n"/>
      <c r="AA29" s="646" t="n"/>
      <c r="AB29" s="646" t="n"/>
      <c r="AC29" s="518" t="n"/>
      <c r="AD29" s="92" t="n"/>
      <c r="AE29" s="196">
        <f>H29-G29+1</f>
        <v/>
      </c>
      <c r="AF29" s="92" t="n"/>
      <c r="AG29" s="206" t="n"/>
      <c r="AH29" s="206" t="n"/>
      <c r="AI29" s="206" t="n"/>
      <c r="AJ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515" t="n"/>
      <c r="S30" s="516" t="n"/>
      <c r="T30" s="517" t="n"/>
      <c r="U30" s="518" t="n"/>
      <c r="V30" s="515">
        <f>N30</f>
        <v/>
      </c>
      <c r="W30" s="516">
        <f>O30</f>
        <v/>
      </c>
      <c r="X30" s="517">
        <f>P30</f>
        <v/>
      </c>
      <c r="Y30" s="518">
        <f>Q30</f>
        <v/>
      </c>
      <c r="Z30" s="517" t="n"/>
      <c r="AA30" s="646" t="n"/>
      <c r="AB30" s="646" t="n"/>
      <c r="AC30" s="518" t="n"/>
      <c r="AD30" s="92" t="n"/>
      <c r="AE30" s="196">
        <f>H30-G30+1</f>
        <v/>
      </c>
      <c r="AF30" s="92" t="n"/>
      <c r="AG30" s="206" t="n"/>
      <c r="AH30" s="206" t="n"/>
      <c r="AI30" s="206" t="n"/>
      <c r="AJ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515" t="n"/>
      <c r="S31" s="516" t="n"/>
      <c r="T31" s="517" t="n"/>
      <c r="U31" s="518" t="n"/>
      <c r="V31" s="515">
        <f>N31</f>
        <v/>
      </c>
      <c r="W31" s="516">
        <f>O31</f>
        <v/>
      </c>
      <c r="X31" s="517">
        <f>P31</f>
        <v/>
      </c>
      <c r="Y31" s="518">
        <f>Q31</f>
        <v/>
      </c>
      <c r="Z31" s="517" t="n"/>
      <c r="AA31" s="646" t="n"/>
      <c r="AB31" s="646" t="n"/>
      <c r="AC31" s="518" t="n"/>
      <c r="AD31" s="92" t="n"/>
      <c r="AE31" s="196">
        <f>H31-G31+1</f>
        <v/>
      </c>
      <c r="AF31" s="92" t="n"/>
      <c r="AG31" s="206" t="n"/>
      <c r="AH31" s="206" t="n"/>
      <c r="AI31" s="206" t="n"/>
      <c r="AJ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515" t="n"/>
      <c r="S32" s="516" t="n"/>
      <c r="T32" s="517" t="n"/>
      <c r="U32" s="518" t="n"/>
      <c r="V32" s="515">
        <f>N32</f>
        <v/>
      </c>
      <c r="W32" s="516">
        <f>O32</f>
        <v/>
      </c>
      <c r="X32" s="517">
        <f>P32</f>
        <v/>
      </c>
      <c r="Y32" s="518">
        <f>Q32</f>
        <v/>
      </c>
      <c r="Z32" s="517" t="n"/>
      <c r="AA32" s="646" t="n"/>
      <c r="AB32" s="646" t="n"/>
      <c r="AC32" s="518" t="n"/>
      <c r="AD32" s="92" t="n"/>
      <c r="AE32" s="196">
        <f>H32-G32+1</f>
        <v/>
      </c>
      <c r="AF32" s="92" t="n"/>
      <c r="AG32" s="206" t="n"/>
      <c r="AH32" s="206" t="n"/>
      <c r="AI32" s="206" t="n"/>
      <c r="AJ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515" t="n"/>
      <c r="S33" s="516" t="n"/>
      <c r="T33" s="517" t="n"/>
      <c r="U33" s="518" t="n"/>
      <c r="V33" s="515">
        <f>N33</f>
        <v/>
      </c>
      <c r="W33" s="516">
        <f>O33</f>
        <v/>
      </c>
      <c r="X33" s="517">
        <f>P33</f>
        <v/>
      </c>
      <c r="Y33" s="518">
        <f>Q33</f>
        <v/>
      </c>
      <c r="Z33" s="517" t="n"/>
      <c r="AA33" s="646" t="n"/>
      <c r="AB33" s="646" t="n"/>
      <c r="AC33" s="518" t="n"/>
      <c r="AD33" s="92" t="n"/>
      <c r="AE33" s="196">
        <f>H33-G33+1</f>
        <v/>
      </c>
      <c r="AF33" s="92" t="n"/>
      <c r="AG33" s="206" t="n"/>
      <c r="AH33" s="206" t="n"/>
      <c r="AI33" s="206" t="n"/>
      <c r="AJ33" s="94" t="n"/>
    </row>
    <row r="34">
      <c r="B34" s="9" t="inlineStr">
        <is>
          <t>선납금+선납 할인 반영 순수 구독료 (V-)</t>
        </is>
      </c>
      <c r="C34" s="506">
        <f>C32-C11-C12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515" t="n"/>
      <c r="S34" s="516" t="n"/>
      <c r="T34" s="517" t="n"/>
      <c r="U34" s="518" t="n"/>
      <c r="V34" s="515">
        <f>N34</f>
        <v/>
      </c>
      <c r="W34" s="516">
        <f>O34</f>
        <v/>
      </c>
      <c r="X34" s="517">
        <f>P34</f>
        <v/>
      </c>
      <c r="Y34" s="518">
        <f>Q34</f>
        <v/>
      </c>
      <c r="Z34" s="517" t="n"/>
      <c r="AA34" s="646" t="n"/>
      <c r="AB34" s="646" t="n"/>
      <c r="AC34" s="518" t="n"/>
      <c r="AD34" s="92" t="n"/>
      <c r="AE34" s="196">
        <f>H34-G34+1</f>
        <v/>
      </c>
      <c r="AF34" s="92" t="n"/>
      <c r="AG34" s="206" t="n"/>
      <c r="AH34" s="206" t="n"/>
      <c r="AI34" s="206" t="n"/>
      <c r="AJ34" s="94" t="n"/>
    </row>
    <row r="35" ht="17.45" customHeight="1" s="497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515" t="n"/>
      <c r="S35" s="516" t="n"/>
      <c r="T35" s="517" t="n"/>
      <c r="U35" s="518" t="n"/>
      <c r="V35" s="515">
        <f>N35</f>
        <v/>
      </c>
      <c r="W35" s="516">
        <f>O35</f>
        <v/>
      </c>
      <c r="X35" s="517">
        <f>P35</f>
        <v/>
      </c>
      <c r="Y35" s="518">
        <f>Q35</f>
        <v/>
      </c>
      <c r="Z35" s="517" t="n"/>
      <c r="AA35" s="646" t="n"/>
      <c r="AB35" s="646" t="n"/>
      <c r="AC35" s="518" t="n"/>
      <c r="AD35" s="92" t="n"/>
      <c r="AE35" s="196">
        <f>H35-G35+1</f>
        <v/>
      </c>
      <c r="AF35" s="92" t="n"/>
      <c r="AG35" s="206" t="n"/>
      <c r="AH35" s="206" t="n"/>
      <c r="AI35" s="206" t="n"/>
      <c r="AJ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515" t="n"/>
      <c r="S36" s="516" t="n"/>
      <c r="T36" s="517" t="n"/>
      <c r="U36" s="518" t="n"/>
      <c r="V36" s="515">
        <f>N36</f>
        <v/>
      </c>
      <c r="W36" s="516">
        <f>O36</f>
        <v/>
      </c>
      <c r="X36" s="517">
        <f>P36</f>
        <v/>
      </c>
      <c r="Y36" s="518">
        <f>Q36</f>
        <v/>
      </c>
      <c r="Z36" s="517" t="n"/>
      <c r="AA36" s="646" t="n"/>
      <c r="AB36" s="646" t="n"/>
      <c r="AC36" s="518" t="n"/>
      <c r="AD36" s="92" t="n"/>
      <c r="AE36" s="196">
        <f>H36-G36+1</f>
        <v/>
      </c>
      <c r="AF36" s="92" t="n"/>
      <c r="AG36" s="206" t="n"/>
      <c r="AH36" s="206" t="n"/>
      <c r="AI36" s="206" t="n"/>
      <c r="AJ36" s="94" t="n"/>
    </row>
    <row r="37">
      <c r="A37" s="176" t="n"/>
      <c r="B37" s="9" t="inlineStr">
        <is>
          <t>차감성 할인율 %</t>
        </is>
      </c>
      <c r="C37" s="288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515" t="n"/>
      <c r="S37" s="516" t="n"/>
      <c r="T37" s="517" t="n"/>
      <c r="U37" s="518" t="n"/>
      <c r="V37" s="515">
        <f>N37</f>
        <v/>
      </c>
      <c r="W37" s="516">
        <f>O37</f>
        <v/>
      </c>
      <c r="X37" s="517">
        <f>P37</f>
        <v/>
      </c>
      <c r="Y37" s="518">
        <f>Q37</f>
        <v/>
      </c>
      <c r="Z37" s="517" t="n"/>
      <c r="AA37" s="646" t="n"/>
      <c r="AB37" s="646" t="n"/>
      <c r="AC37" s="518" t="n"/>
      <c r="AD37" s="92" t="n"/>
      <c r="AE37" s="196">
        <f>H37-G37+1</f>
        <v/>
      </c>
      <c r="AF37" s="92" t="n"/>
      <c r="AG37" s="206" t="n"/>
      <c r="AH37" s="206" t="n"/>
      <c r="AI37" s="206" t="n"/>
      <c r="AJ37" s="94" t="n"/>
    </row>
    <row r="38">
      <c r="A38" s="176" t="n"/>
      <c r="B38" s="9" t="inlineStr">
        <is>
          <t>(계산용) 할인금(v-) (총구독료 v+ 기준)</t>
        </is>
      </c>
      <c r="C38" s="506">
        <f>C16*C37/1.1</f>
        <v/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515" t="n"/>
      <c r="S38" s="516" t="n"/>
      <c r="T38" s="517" t="n"/>
      <c r="U38" s="518" t="n"/>
      <c r="V38" s="515">
        <f>N38</f>
        <v/>
      </c>
      <c r="W38" s="516">
        <f>O38</f>
        <v/>
      </c>
      <c r="X38" s="517">
        <f>P38</f>
        <v/>
      </c>
      <c r="Y38" s="518">
        <f>Q38</f>
        <v/>
      </c>
      <c r="Z38" s="517" t="n"/>
      <c r="AA38" s="646" t="n"/>
      <c r="AB38" s="646" t="n"/>
      <c r="AC38" s="518" t="n"/>
      <c r="AD38" s="92" t="n"/>
      <c r="AE38" s="196">
        <f>H38-G38+1</f>
        <v/>
      </c>
      <c r="AF38" s="92" t="n"/>
      <c r="AG38" s="206" t="n"/>
      <c r="AH38" s="206" t="n"/>
      <c r="AI38" s="206" t="n"/>
      <c r="AJ38" s="94" t="n"/>
    </row>
    <row r="39">
      <c r="A39" s="176" t="n"/>
      <c r="B39" s="9" t="inlineStr">
        <is>
          <t>(계산용) 할인금 월할 (V-)</t>
        </is>
      </c>
      <c r="C39" s="506">
        <f>C38/C7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515" t="n"/>
      <c r="S39" s="516" t="n"/>
      <c r="T39" s="517" t="n"/>
      <c r="U39" s="518" t="n"/>
      <c r="V39" s="515">
        <f>N39</f>
        <v/>
      </c>
      <c r="W39" s="516">
        <f>O39</f>
        <v/>
      </c>
      <c r="X39" s="517">
        <f>P39</f>
        <v/>
      </c>
      <c r="Y39" s="518">
        <f>Q39</f>
        <v/>
      </c>
      <c r="Z39" s="517" t="n"/>
      <c r="AA39" s="646" t="n"/>
      <c r="AB39" s="646" t="n"/>
      <c r="AC39" s="518" t="n"/>
      <c r="AD39" s="92" t="n"/>
      <c r="AE39" s="196">
        <f>H39-G39+1</f>
        <v/>
      </c>
      <c r="AF39" s="92" t="n"/>
      <c r="AG39" s="206" t="n"/>
      <c r="AH39" s="206" t="n"/>
      <c r="AI39" s="206" t="n"/>
      <c r="AJ39" s="94" t="n"/>
    </row>
    <row r="40">
      <c r="A40" s="176" t="n"/>
      <c r="B40" s="9" t="inlineStr">
        <is>
          <t>(계산용) 할인금 월할 보정 (V-)</t>
        </is>
      </c>
      <c r="C40" s="506">
        <f>ROUNDUP(C39,-2)</f>
        <v/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515" t="n"/>
      <c r="S40" s="516" t="n"/>
      <c r="T40" s="517" t="n"/>
      <c r="U40" s="518" t="n"/>
      <c r="V40" s="515">
        <f>N40</f>
        <v/>
      </c>
      <c r="W40" s="516">
        <f>O40</f>
        <v/>
      </c>
      <c r="X40" s="517">
        <f>P40</f>
        <v/>
      </c>
      <c r="Y40" s="518">
        <f>Q40</f>
        <v/>
      </c>
      <c r="Z40" s="517" t="n"/>
      <c r="AA40" s="646" t="n"/>
      <c r="AB40" s="646" t="n"/>
      <c r="AC40" s="518" t="n"/>
      <c r="AD40" s="92" t="n"/>
      <c r="AE40" s="196">
        <f>H40-G40+1</f>
        <v/>
      </c>
      <c r="AF40" s="92" t="n"/>
      <c r="AG40" s="206" t="n"/>
      <c r="AH40" s="206" t="n"/>
      <c r="AI40" s="206" t="n"/>
      <c r="AJ40" s="94" t="n"/>
    </row>
    <row r="41">
      <c r="A41" s="176" t="n"/>
      <c r="B41" s="63" t="inlineStr">
        <is>
          <t>(최종) 할인금 (V-)</t>
        </is>
      </c>
      <c r="C41" s="506">
        <f>C40*C7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515" t="n"/>
      <c r="S41" s="516" t="n"/>
      <c r="T41" s="517" t="n"/>
      <c r="U41" s="518" t="n"/>
      <c r="V41" s="515">
        <f>N41</f>
        <v/>
      </c>
      <c r="W41" s="516">
        <f>O41</f>
        <v/>
      </c>
      <c r="X41" s="517">
        <f>P41</f>
        <v/>
      </c>
      <c r="Y41" s="518">
        <f>Q41</f>
        <v/>
      </c>
      <c r="Z41" s="517" t="n"/>
      <c r="AA41" s="646" t="n"/>
      <c r="AB41" s="646" t="n"/>
      <c r="AC41" s="518" t="n"/>
      <c r="AD41" s="92" t="n"/>
      <c r="AE41" s="196">
        <f>H41-G41+1</f>
        <v/>
      </c>
      <c r="AF41" s="92" t="n"/>
      <c r="AG41" s="206" t="n"/>
      <c r="AH41" s="206" t="n"/>
      <c r="AI41" s="206" t="n"/>
      <c r="AJ41" s="94" t="n"/>
    </row>
    <row r="42">
      <c r="A42" s="176" t="n"/>
      <c r="B42" s="184" t="inlineStr">
        <is>
          <t>(최종) 선납금+선납 할인+차감성 할인 반영 월 구독료 (V-)</t>
        </is>
      </c>
      <c r="C42" s="506">
        <f>(C14-C26-C30-C41)/C7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515" t="n"/>
      <c r="S42" s="516" t="n"/>
      <c r="T42" s="517" t="n"/>
      <c r="U42" s="518" t="n"/>
      <c r="V42" s="515">
        <f>N42</f>
        <v/>
      </c>
      <c r="W42" s="516">
        <f>O42</f>
        <v/>
      </c>
      <c r="X42" s="517">
        <f>P42</f>
        <v/>
      </c>
      <c r="Y42" s="518">
        <f>Q42</f>
        <v/>
      </c>
      <c r="Z42" s="517" t="n"/>
      <c r="AA42" s="646" t="n"/>
      <c r="AB42" s="646" t="n"/>
      <c r="AC42" s="518" t="n"/>
      <c r="AD42" s="92" t="n"/>
      <c r="AE42" s="196">
        <f>H42-G42+1</f>
        <v/>
      </c>
      <c r="AF42" s="92" t="n"/>
      <c r="AG42" s="206" t="n"/>
      <c r="AH42" s="206" t="n"/>
      <c r="AI42" s="206" t="n"/>
      <c r="AJ42" s="94" t="n"/>
    </row>
    <row r="43">
      <c r="A43" s="176" t="n"/>
      <c r="B43" s="184" t="inlineStr">
        <is>
          <t>(최종) 선납금+선납 할인+차감성 할인 반영 총 구독료 (V-)</t>
        </is>
      </c>
      <c r="C43" s="506">
        <f>C42*C7</f>
        <v/>
      </c>
      <c r="D43" s="505" t="n"/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515" t="n"/>
      <c r="S43" s="516" t="n"/>
      <c r="T43" s="517" t="n"/>
      <c r="U43" s="518" t="n"/>
      <c r="V43" s="515">
        <f>N43</f>
        <v/>
      </c>
      <c r="W43" s="516">
        <f>O43</f>
        <v/>
      </c>
      <c r="X43" s="517">
        <f>P43</f>
        <v/>
      </c>
      <c r="Y43" s="518">
        <f>Q43</f>
        <v/>
      </c>
      <c r="Z43" s="517" t="n"/>
      <c r="AA43" s="646" t="n"/>
      <c r="AB43" s="646" t="n"/>
      <c r="AC43" s="518" t="n"/>
      <c r="AD43" s="92" t="n"/>
      <c r="AE43" s="196">
        <f>H43-G43+1</f>
        <v/>
      </c>
      <c r="AF43" s="92" t="n"/>
      <c r="AG43" s="206" t="n"/>
      <c r="AH43" s="206" t="n"/>
      <c r="AI43" s="206" t="n"/>
      <c r="AJ43" s="94" t="n"/>
    </row>
    <row r="44">
      <c r="B44" s="199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515" t="n"/>
      <c r="S44" s="516" t="n"/>
      <c r="T44" s="517" t="n"/>
      <c r="U44" s="518" t="n"/>
      <c r="V44" s="515">
        <f>N44</f>
        <v/>
      </c>
      <c r="W44" s="516">
        <f>O44</f>
        <v/>
      </c>
      <c r="X44" s="517">
        <f>P44</f>
        <v/>
      </c>
      <c r="Y44" s="518">
        <f>Q44</f>
        <v/>
      </c>
      <c r="Z44" s="517" t="n"/>
      <c r="AA44" s="646" t="n"/>
      <c r="AB44" s="646" t="n"/>
      <c r="AC44" s="518" t="n"/>
      <c r="AD44" s="92" t="n"/>
      <c r="AE44" s="196">
        <f>H44-G44+1</f>
        <v/>
      </c>
      <c r="AF44" s="92" t="n"/>
      <c r="AG44" s="206" t="n"/>
      <c r="AH44" s="206" t="n"/>
      <c r="AI44" s="206" t="n"/>
      <c r="AJ44" s="94" t="n"/>
    </row>
    <row r="45">
      <c r="B45" s="199" t="n"/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515" t="n"/>
      <c r="S45" s="516" t="n"/>
      <c r="T45" s="517" t="n"/>
      <c r="U45" s="518" t="n"/>
      <c r="V45" s="515">
        <f>N45</f>
        <v/>
      </c>
      <c r="W45" s="516">
        <f>O45</f>
        <v/>
      </c>
      <c r="X45" s="517">
        <f>P45</f>
        <v/>
      </c>
      <c r="Y45" s="518">
        <f>Q45</f>
        <v/>
      </c>
      <c r="Z45" s="517" t="n"/>
      <c r="AA45" s="646" t="n"/>
      <c r="AB45" s="646" t="n"/>
      <c r="AC45" s="518" t="n"/>
      <c r="AD45" s="92" t="n"/>
      <c r="AE45" s="196">
        <f>H45-G45+1</f>
        <v/>
      </c>
      <c r="AF45" s="92" t="n"/>
      <c r="AG45" s="206" t="n"/>
      <c r="AH45" s="206" t="n"/>
      <c r="AI45" s="206" t="n"/>
      <c r="AJ45" s="94" t="n"/>
    </row>
    <row r="46">
      <c r="A46" s="206" t="n"/>
      <c r="B46" s="256" t="inlineStr">
        <is>
          <t>등록비 (V+)</t>
        </is>
      </c>
      <c r="C46" s="526" t="n">
        <v>100000</v>
      </c>
      <c r="D46" s="206" t="n"/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515" t="n"/>
      <c r="S46" s="516" t="n"/>
      <c r="T46" s="517" t="n"/>
      <c r="U46" s="518" t="n"/>
      <c r="V46" s="515">
        <f>N46</f>
        <v/>
      </c>
      <c r="W46" s="516">
        <f>O46</f>
        <v/>
      </c>
      <c r="X46" s="517">
        <f>P46</f>
        <v/>
      </c>
      <c r="Y46" s="518">
        <f>Q46</f>
        <v/>
      </c>
      <c r="Z46" s="517" t="n"/>
      <c r="AA46" s="646" t="n"/>
      <c r="AB46" s="646" t="n"/>
      <c r="AC46" s="518" t="n"/>
      <c r="AD46" s="92" t="n"/>
      <c r="AE46" s="196">
        <f>H46-G46+1</f>
        <v/>
      </c>
      <c r="AF46" s="92" t="n"/>
      <c r="AG46" s="206" t="n"/>
      <c r="AH46" s="206" t="n"/>
      <c r="AI46" s="206" t="n"/>
      <c r="AJ46" s="94" t="n"/>
    </row>
    <row r="47">
      <c r="A47" s="206" t="n"/>
      <c r="B47" s="199" t="n"/>
      <c r="C47" s="185" t="n"/>
      <c r="D47" s="206" t="n"/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515" t="n"/>
      <c r="S47" s="516" t="n"/>
      <c r="T47" s="517" t="n"/>
      <c r="U47" s="518" t="n"/>
      <c r="V47" s="515">
        <f>N47</f>
        <v/>
      </c>
      <c r="W47" s="516">
        <f>O47</f>
        <v/>
      </c>
      <c r="X47" s="517">
        <f>P47</f>
        <v/>
      </c>
      <c r="Y47" s="518">
        <f>Q47</f>
        <v/>
      </c>
      <c r="Z47" s="517" t="n"/>
      <c r="AA47" s="646" t="n"/>
      <c r="AB47" s="646" t="n"/>
      <c r="AC47" s="518" t="n"/>
      <c r="AD47" s="92" t="n"/>
      <c r="AE47" s="196">
        <f>H47-G47+1</f>
        <v/>
      </c>
      <c r="AF47" s="92" t="n"/>
      <c r="AG47" s="206" t="n"/>
      <c r="AH47" s="206" t="n"/>
      <c r="AI47" s="206" t="n"/>
      <c r="AJ47" s="94" t="n"/>
    </row>
    <row r="48">
      <c r="A48" s="206" t="n"/>
      <c r="B48" s="495" t="n"/>
      <c r="C48" s="702" t="n"/>
      <c r="D48" s="206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515" t="n"/>
      <c r="S48" s="516" t="n"/>
      <c r="T48" s="517" t="n"/>
      <c r="U48" s="518" t="n"/>
      <c r="V48" s="515">
        <f>N48</f>
        <v/>
      </c>
      <c r="W48" s="516">
        <f>O48</f>
        <v/>
      </c>
      <c r="X48" s="517">
        <f>P48</f>
        <v/>
      </c>
      <c r="Y48" s="518">
        <f>Q48</f>
        <v/>
      </c>
      <c r="Z48" s="517" t="n"/>
      <c r="AA48" s="646" t="n"/>
      <c r="AB48" s="646" t="n"/>
      <c r="AC48" s="518" t="n"/>
      <c r="AD48" s="92" t="n"/>
      <c r="AE48" s="196">
        <f>H48-G48+1</f>
        <v/>
      </c>
      <c r="AF48" s="92" t="n"/>
      <c r="AG48" s="206" t="n"/>
      <c r="AH48" s="206" t="n"/>
      <c r="AI48" s="206" t="n"/>
      <c r="AJ48" s="94" t="n"/>
    </row>
    <row r="49">
      <c r="A49" s="206" t="n"/>
      <c r="B49" s="495" t="n"/>
      <c r="C49" s="702" t="n"/>
      <c r="D49" s="206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515" t="n"/>
      <c r="S49" s="516" t="n"/>
      <c r="T49" s="517" t="n"/>
      <c r="U49" s="518" t="n"/>
      <c r="V49" s="515">
        <f>N49</f>
        <v/>
      </c>
      <c r="W49" s="516">
        <f>O49</f>
        <v/>
      </c>
      <c r="X49" s="517">
        <f>P49</f>
        <v/>
      </c>
      <c r="Y49" s="518">
        <f>Q49</f>
        <v/>
      </c>
      <c r="Z49" s="517" t="n"/>
      <c r="AA49" s="646" t="n"/>
      <c r="AB49" s="646" t="n"/>
      <c r="AC49" s="518" t="n"/>
      <c r="AD49" s="92" t="n"/>
      <c r="AE49" s="196">
        <f>H49-G49+1</f>
        <v/>
      </c>
      <c r="AF49" s="92" t="n"/>
      <c r="AG49" s="206" t="n"/>
      <c r="AH49" s="206" t="n"/>
      <c r="AI49" s="206" t="n"/>
      <c r="AJ49" s="94" t="n"/>
    </row>
    <row r="50">
      <c r="A50" s="206" t="n"/>
      <c r="B50" s="495" t="n"/>
      <c r="C50" s="702" t="n"/>
      <c r="D50" s="206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515" t="n"/>
      <c r="S50" s="516" t="n"/>
      <c r="T50" s="517" t="n"/>
      <c r="U50" s="518" t="n"/>
      <c r="V50" s="515">
        <f>N50</f>
        <v/>
      </c>
      <c r="W50" s="516">
        <f>O50</f>
        <v/>
      </c>
      <c r="X50" s="517">
        <f>P50</f>
        <v/>
      </c>
      <c r="Y50" s="518">
        <f>Q50</f>
        <v/>
      </c>
      <c r="Z50" s="517" t="n"/>
      <c r="AA50" s="646" t="n"/>
      <c r="AB50" s="646" t="n"/>
      <c r="AC50" s="518" t="n"/>
      <c r="AD50" s="92" t="n"/>
      <c r="AE50" s="196">
        <f>H50-G50+1</f>
        <v/>
      </c>
      <c r="AF50" s="92" t="n"/>
      <c r="AG50" s="206" t="n"/>
      <c r="AH50" s="206" t="n"/>
      <c r="AI50" s="206" t="n"/>
      <c r="AJ50" s="94" t="n"/>
    </row>
    <row r="51">
      <c r="A51" s="206" t="n"/>
      <c r="B51" s="495" t="n"/>
      <c r="C51" s="185" t="n"/>
      <c r="D51" s="206" t="n"/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515" t="n"/>
      <c r="S51" s="516" t="n"/>
      <c r="T51" s="517" t="n"/>
      <c r="U51" s="518" t="n"/>
      <c r="V51" s="515">
        <f>N51</f>
        <v/>
      </c>
      <c r="W51" s="516">
        <f>O51</f>
        <v/>
      </c>
      <c r="X51" s="517">
        <f>P51</f>
        <v/>
      </c>
      <c r="Y51" s="518">
        <f>Q51</f>
        <v/>
      </c>
      <c r="Z51" s="517" t="n"/>
      <c r="AA51" s="646" t="n"/>
      <c r="AB51" s="646" t="n"/>
      <c r="AC51" s="518" t="n"/>
      <c r="AD51" s="92" t="n"/>
      <c r="AE51" s="196">
        <f>H51-G51+1</f>
        <v/>
      </c>
      <c r="AF51" s="92" t="n"/>
      <c r="AG51" s="206" t="n"/>
      <c r="AH51" s="206" t="n"/>
      <c r="AI51" s="206" t="n"/>
      <c r="AJ51" s="94" t="n"/>
    </row>
    <row r="52">
      <c r="A52" s="206" t="n"/>
      <c r="B52" s="495" t="n"/>
      <c r="C52" s="697" t="n"/>
      <c r="D52" s="206" t="n"/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515" t="n"/>
      <c r="S52" s="516" t="n"/>
      <c r="T52" s="517" t="n"/>
      <c r="U52" s="518" t="n"/>
      <c r="V52" s="515">
        <f>N52</f>
        <v/>
      </c>
      <c r="W52" s="516">
        <f>O52</f>
        <v/>
      </c>
      <c r="X52" s="517">
        <f>P52</f>
        <v/>
      </c>
      <c r="Y52" s="518">
        <f>Q52</f>
        <v/>
      </c>
      <c r="Z52" s="517" t="n"/>
      <c r="AA52" s="646" t="n"/>
      <c r="AB52" s="646" t="n"/>
      <c r="AC52" s="518" t="n"/>
      <c r="AD52" s="92" t="n"/>
      <c r="AE52" s="196">
        <f>H52-G52+1</f>
        <v/>
      </c>
      <c r="AF52" s="92" t="n"/>
      <c r="AG52" s="206" t="n"/>
      <c r="AH52" s="206" t="n"/>
      <c r="AI52" s="206" t="n"/>
      <c r="AJ52" s="94" t="n"/>
    </row>
    <row r="53">
      <c r="A53" s="206" t="n"/>
      <c r="B53" s="495" t="n"/>
      <c r="C53" s="697" t="n"/>
      <c r="D53" s="206" t="n"/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515" t="n"/>
      <c r="S53" s="516" t="n"/>
      <c r="T53" s="517" t="n"/>
      <c r="U53" s="518" t="n"/>
      <c r="V53" s="515">
        <f>N53</f>
        <v/>
      </c>
      <c r="W53" s="516">
        <f>O53</f>
        <v/>
      </c>
      <c r="X53" s="517">
        <f>P53</f>
        <v/>
      </c>
      <c r="Y53" s="518">
        <f>Q53</f>
        <v/>
      </c>
      <c r="Z53" s="517" t="n"/>
      <c r="AA53" s="646" t="n"/>
      <c r="AB53" s="646" t="n"/>
      <c r="AC53" s="518" t="n"/>
      <c r="AD53" s="92" t="n"/>
      <c r="AE53" s="196">
        <f>H53-G53+1</f>
        <v/>
      </c>
      <c r="AF53" s="92" t="n"/>
      <c r="AG53" s="206" t="n"/>
      <c r="AH53" s="206" t="n"/>
      <c r="AI53" s="206" t="n"/>
      <c r="AJ53" s="94" t="n"/>
    </row>
    <row r="54">
      <c r="A54" s="206" t="n"/>
      <c r="B54" s="495" t="n"/>
      <c r="C54" s="697" t="n"/>
      <c r="D54" s="206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515" t="n"/>
      <c r="S54" s="516" t="n"/>
      <c r="T54" s="517" t="n"/>
      <c r="U54" s="518" t="n"/>
      <c r="V54" s="515">
        <f>N54</f>
        <v/>
      </c>
      <c r="W54" s="516">
        <f>O54</f>
        <v/>
      </c>
      <c r="X54" s="517">
        <f>P54</f>
        <v/>
      </c>
      <c r="Y54" s="518">
        <f>Q54</f>
        <v/>
      </c>
      <c r="Z54" s="517" t="n"/>
      <c r="AA54" s="646" t="n"/>
      <c r="AB54" s="646" t="n"/>
      <c r="AC54" s="518" t="n"/>
      <c r="AD54" s="92" t="n"/>
      <c r="AE54" s="196">
        <f>H54-G54+1</f>
        <v/>
      </c>
      <c r="AF54" s="92" t="n"/>
      <c r="AG54" s="206" t="n"/>
      <c r="AH54" s="206" t="n"/>
      <c r="AI54" s="206" t="n"/>
      <c r="AJ54" s="94" t="n"/>
    </row>
    <row r="55">
      <c r="A55" s="206" t="n"/>
      <c r="B55" s="495" t="n"/>
      <c r="C55" s="500" t="n"/>
      <c r="D55" s="206" t="n"/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515" t="n"/>
      <c r="S55" s="516" t="n"/>
      <c r="T55" s="517" t="n"/>
      <c r="U55" s="518" t="n"/>
      <c r="V55" s="515">
        <f>N55</f>
        <v/>
      </c>
      <c r="W55" s="516">
        <f>O55</f>
        <v/>
      </c>
      <c r="X55" s="517">
        <f>P55</f>
        <v/>
      </c>
      <c r="Y55" s="518">
        <f>Q55</f>
        <v/>
      </c>
      <c r="Z55" s="517" t="n"/>
      <c r="AA55" s="646" t="n"/>
      <c r="AB55" s="646" t="n"/>
      <c r="AC55" s="518" t="n"/>
      <c r="AD55" s="92" t="n"/>
      <c r="AE55" s="196">
        <f>H55-G55+1</f>
        <v/>
      </c>
      <c r="AF55" s="92" t="n"/>
      <c r="AG55" s="206" t="n"/>
      <c r="AH55" s="206" t="n"/>
      <c r="AI55" s="206" t="n"/>
      <c r="AJ55" s="94" t="n"/>
    </row>
    <row r="56">
      <c r="A56" s="206" t="n"/>
      <c r="B56" s="495" t="n"/>
      <c r="C56" s="697" t="n"/>
      <c r="D56" s="206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515" t="n"/>
      <c r="S56" s="516" t="n"/>
      <c r="T56" s="517" t="n"/>
      <c r="U56" s="518" t="n"/>
      <c r="V56" s="515">
        <f>N56</f>
        <v/>
      </c>
      <c r="W56" s="516">
        <f>O56</f>
        <v/>
      </c>
      <c r="X56" s="517">
        <f>P56</f>
        <v/>
      </c>
      <c r="Y56" s="518">
        <f>Q56</f>
        <v/>
      </c>
      <c r="Z56" s="517" t="n"/>
      <c r="AA56" s="646" t="n"/>
      <c r="AB56" s="646" t="n"/>
      <c r="AC56" s="518" t="n"/>
      <c r="AD56" s="92" t="n"/>
      <c r="AE56" s="196">
        <f>H56-G56+1</f>
        <v/>
      </c>
      <c r="AF56" s="92" t="n"/>
      <c r="AG56" s="206" t="n"/>
      <c r="AH56" s="206" t="n"/>
      <c r="AI56" s="206" t="n"/>
      <c r="AJ56" s="94" t="n"/>
    </row>
    <row r="57">
      <c r="A57" s="206" t="n"/>
      <c r="B57" s="495" t="n"/>
      <c r="C57" s="697" t="n"/>
      <c r="D57" s="505" t="n"/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515" t="n"/>
      <c r="S57" s="516" t="n"/>
      <c r="T57" s="517" t="n"/>
      <c r="U57" s="518" t="n"/>
      <c r="V57" s="515">
        <f>N57</f>
        <v/>
      </c>
      <c r="W57" s="516">
        <f>O57</f>
        <v/>
      </c>
      <c r="X57" s="517">
        <f>P57</f>
        <v/>
      </c>
      <c r="Y57" s="518">
        <f>Q57</f>
        <v/>
      </c>
      <c r="Z57" s="517" t="n"/>
      <c r="AA57" s="646" t="n"/>
      <c r="AB57" s="646" t="n"/>
      <c r="AC57" s="518" t="n"/>
      <c r="AD57" s="92" t="n"/>
      <c r="AE57" s="196">
        <f>H57-G57+1</f>
        <v/>
      </c>
      <c r="AF57" s="92" t="n"/>
      <c r="AG57" s="206" t="n"/>
      <c r="AJ57" s="94" t="n"/>
    </row>
    <row r="58">
      <c r="A58" s="206" t="n"/>
      <c r="B58" s="495" t="n"/>
      <c r="C58" s="697" t="n"/>
      <c r="D58" s="206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515" t="n"/>
      <c r="S58" s="516" t="n"/>
      <c r="T58" s="517" t="n"/>
      <c r="U58" s="518" t="n"/>
      <c r="V58" s="515">
        <f>N58</f>
        <v/>
      </c>
      <c r="W58" s="516">
        <f>O58</f>
        <v/>
      </c>
      <c r="X58" s="517">
        <f>P58</f>
        <v/>
      </c>
      <c r="Y58" s="518">
        <f>Q58</f>
        <v/>
      </c>
      <c r="Z58" s="517" t="n"/>
      <c r="AA58" s="646" t="n"/>
      <c r="AB58" s="646" t="n"/>
      <c r="AC58" s="518" t="n"/>
      <c r="AD58" s="92" t="n"/>
      <c r="AE58" s="196">
        <f>H58-G58+1</f>
        <v/>
      </c>
      <c r="AF58" s="92" t="n"/>
      <c r="AG58" s="206" t="n"/>
      <c r="AH58" s="200" t="n"/>
      <c r="AI58" s="200" t="n"/>
      <c r="AJ58" s="94" t="n"/>
    </row>
    <row r="59">
      <c r="A59" s="206" t="n"/>
      <c r="B59" s="206" t="n"/>
      <c r="C59" s="206" t="n"/>
      <c r="D59" s="206" t="n"/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515" t="n"/>
      <c r="S59" s="516" t="n"/>
      <c r="T59" s="517" t="n"/>
      <c r="U59" s="518" t="n"/>
      <c r="V59" s="515">
        <f>N59</f>
        <v/>
      </c>
      <c r="W59" s="516">
        <f>O59</f>
        <v/>
      </c>
      <c r="X59" s="517">
        <f>P59</f>
        <v/>
      </c>
      <c r="Y59" s="518">
        <f>Q59</f>
        <v/>
      </c>
      <c r="Z59" s="517" t="n"/>
      <c r="AA59" s="646" t="n"/>
      <c r="AB59" s="646" t="n"/>
      <c r="AC59" s="518" t="n"/>
      <c r="AD59" s="92" t="n"/>
      <c r="AE59" s="196">
        <f>H59-G59+1</f>
        <v/>
      </c>
      <c r="AF59" s="92" t="n"/>
      <c r="AG59" s="206" t="n"/>
      <c r="AH59" s="206" t="inlineStr">
        <is>
          <t>* 중도해지 시점에 선납할인 혜택 회수</t>
        </is>
      </c>
      <c r="AI59" s="206" t="n"/>
      <c r="AJ59" s="94" t="n"/>
    </row>
    <row r="60">
      <c r="A60" s="487" t="n"/>
      <c r="B60" s="495" t="n"/>
      <c r="C60" s="188" t="n"/>
      <c r="D60" s="206" t="n"/>
      <c r="E60" s="203" t="inlineStr">
        <is>
          <t>* 중도해지 발생</t>
        </is>
      </c>
      <c r="F60" s="80" t="inlineStr">
        <is>
          <t>56회차</t>
        </is>
      </c>
      <c r="G60" s="81">
        <f>H59+1</f>
        <v/>
      </c>
      <c r="H60" s="81">
        <f>EOMONTH(G60,0)</f>
        <v/>
      </c>
      <c r="I60" s="82">
        <f>EDATE(I59,1)</f>
        <v/>
      </c>
      <c r="J60" s="630">
        <f>$C$15</f>
        <v/>
      </c>
      <c r="K60" s="631">
        <f>$C$13/$C$7</f>
        <v/>
      </c>
      <c r="L60" s="632">
        <f>$C$11/$C$7</f>
        <v/>
      </c>
      <c r="M60" s="633">
        <f>$C$12/$C$7</f>
        <v/>
      </c>
      <c r="N60" s="630">
        <f>$C$31</f>
        <v/>
      </c>
      <c r="O60" s="631">
        <f>N60-P60-Q60</f>
        <v/>
      </c>
      <c r="P60" s="634">
        <f>L60</f>
        <v/>
      </c>
      <c r="Q60" s="635">
        <f>M60</f>
        <v/>
      </c>
      <c r="R60" s="630" t="n"/>
      <c r="S60" s="631" t="n"/>
      <c r="T60" s="632" t="n"/>
      <c r="U60" s="633" t="n"/>
      <c r="V60" s="630">
        <f>N60</f>
        <v/>
      </c>
      <c r="W60" s="631">
        <f>O60</f>
        <v/>
      </c>
      <c r="X60" s="632">
        <f>P60</f>
        <v/>
      </c>
      <c r="Y60" s="633">
        <f>Q60</f>
        <v/>
      </c>
      <c r="Z60" s="632" t="n"/>
      <c r="AA60" s="647" t="n"/>
      <c r="AB60" s="647" t="n"/>
      <c r="AC60" s="633" t="n"/>
      <c r="AD60" s="99" t="n">
        <v>47590</v>
      </c>
      <c r="AE60" s="415">
        <f>AD60-G60</f>
        <v/>
      </c>
      <c r="AF60" s="647">
        <f>ROUNDDOWN(((C14*1.1)*(C8-SUM(AE5:AE60))/C8)*10%,-1)</f>
        <v/>
      </c>
      <c r="AG60" s="632">
        <f>ROUNDDOWN(V60*AE60/DAY(H60),-2)</f>
        <v/>
      </c>
      <c r="AH60" s="632">
        <f>ROUNDDOWN(C30*SUM(AE5:AE60)/C8,-2)</f>
        <v/>
      </c>
      <c r="AI60" s="637">
        <f>-ROUNDUP((C26*(C8-SUM(AE5:AE60))/C8),-2)</f>
        <v/>
      </c>
      <c r="AJ60" s="633">
        <f>ROUNDDOWN(C46/1.1*(SUM(AE5:AE60)/C8),-2)</f>
        <v/>
      </c>
    </row>
    <row r="61">
      <c r="B61" s="495" t="n"/>
      <c r="C61" s="517" t="n"/>
      <c r="D61" s="206" t="n"/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515" t="n"/>
      <c r="S61" s="516" t="n"/>
      <c r="T61" s="517" t="n"/>
      <c r="U61" s="518" t="n"/>
      <c r="V61" s="515">
        <f>N61</f>
        <v/>
      </c>
      <c r="W61" s="516">
        <f>O61</f>
        <v/>
      </c>
      <c r="X61" s="517">
        <f>P61</f>
        <v/>
      </c>
      <c r="Y61" s="518">
        <f>Q61</f>
        <v/>
      </c>
      <c r="Z61" s="517" t="n"/>
      <c r="AA61" s="646" t="n"/>
      <c r="AB61" s="646" t="n"/>
      <c r="AC61" s="518" t="n"/>
      <c r="AD61" s="92" t="n"/>
      <c r="AE61" s="196" t="inlineStr">
        <is>
          <t>* 사용일 기준: 제품판정일 전날까지 사용</t>
        </is>
      </c>
      <c r="AF61" s="92" t="n"/>
      <c r="AG61" s="206" t="n"/>
      <c r="AH61" s="206" t="n"/>
      <c r="AI61" s="206" t="n"/>
      <c r="AJ61" s="94" t="n"/>
    </row>
    <row r="62">
      <c r="B62" s="495" t="n"/>
      <c r="C62" s="517" t="n"/>
      <c r="D62" s="206" t="n"/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515" t="n"/>
      <c r="S62" s="516" t="n"/>
      <c r="T62" s="517" t="n"/>
      <c r="U62" s="518" t="n"/>
      <c r="V62" s="515">
        <f>N62</f>
        <v/>
      </c>
      <c r="W62" s="516">
        <f>O62</f>
        <v/>
      </c>
      <c r="X62" s="517">
        <f>P62</f>
        <v/>
      </c>
      <c r="Y62" s="518">
        <f>Q62</f>
        <v/>
      </c>
      <c r="Z62" s="517" t="n"/>
      <c r="AA62" s="646" t="n"/>
      <c r="AB62" s="646" t="n"/>
      <c r="AC62" s="518" t="n"/>
      <c r="AD62" s="92" t="n"/>
      <c r="AE62" s="196" t="n"/>
      <c r="AF62" s="92" t="n"/>
      <c r="AG62" s="206" t="n"/>
      <c r="AH62" s="206" t="n"/>
      <c r="AI62" s="206" t="n"/>
      <c r="AJ62" s="94" t="n"/>
    </row>
    <row r="63">
      <c r="B63" s="495" t="n"/>
      <c r="C63" s="517" t="n"/>
      <c r="D63" s="206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515" t="n"/>
      <c r="S63" s="516" t="n"/>
      <c r="T63" s="517" t="n"/>
      <c r="U63" s="518" t="n"/>
      <c r="V63" s="515">
        <f>N63</f>
        <v/>
      </c>
      <c r="W63" s="516">
        <f>O63</f>
        <v/>
      </c>
      <c r="X63" s="517">
        <f>P63</f>
        <v/>
      </c>
      <c r="Y63" s="518">
        <f>Q63</f>
        <v/>
      </c>
      <c r="Z63" s="517" t="n"/>
      <c r="AA63" s="646" t="n"/>
      <c r="AB63" s="646" t="n"/>
      <c r="AC63" s="518" t="n"/>
      <c r="AD63" s="92" t="n"/>
      <c r="AE63" s="196" t="n"/>
      <c r="AF63" s="92" t="n"/>
      <c r="AG63" s="206" t="n"/>
      <c r="AH63" s="206" t="n"/>
      <c r="AI63" s="206" t="n"/>
      <c r="AJ63" s="94" t="n"/>
    </row>
    <row r="64">
      <c r="B64" s="495" t="n"/>
      <c r="C64" s="517" t="n"/>
      <c r="D64" s="206" t="n"/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515" t="n"/>
      <c r="S64" s="516" t="n"/>
      <c r="T64" s="517" t="n"/>
      <c r="U64" s="518" t="n"/>
      <c r="V64" s="515">
        <f>N64</f>
        <v/>
      </c>
      <c r="W64" s="516">
        <f>O64</f>
        <v/>
      </c>
      <c r="X64" s="517">
        <f>P64</f>
        <v/>
      </c>
      <c r="Y64" s="518">
        <f>Q64</f>
        <v/>
      </c>
      <c r="Z64" s="517" t="n"/>
      <c r="AA64" s="646" t="n"/>
      <c r="AB64" s="646" t="n"/>
      <c r="AC64" s="518" t="n"/>
      <c r="AD64" s="92" t="n"/>
      <c r="AE64" s="196" t="n"/>
      <c r="AF64" s="92" t="n"/>
      <c r="AG64" s="206" t="n"/>
      <c r="AH64" s="206" t="n"/>
      <c r="AI64" s="206" t="n"/>
      <c r="AJ64" s="94" t="n"/>
    </row>
    <row r="65">
      <c r="B65" s="495" t="n"/>
      <c r="C65" s="517" t="n"/>
      <c r="D65" s="206" t="n"/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515" t="n"/>
      <c r="S65" s="516" t="n"/>
      <c r="T65" s="517" t="n"/>
      <c r="U65" s="518" t="n"/>
      <c r="V65" s="515">
        <f>N65</f>
        <v/>
      </c>
      <c r="W65" s="516">
        <f>O65</f>
        <v/>
      </c>
      <c r="X65" s="517">
        <f>P65</f>
        <v/>
      </c>
      <c r="Y65" s="518">
        <f>Q65</f>
        <v/>
      </c>
      <c r="Z65" s="517" t="n"/>
      <c r="AA65" s="646" t="n"/>
      <c r="AB65" s="646" t="n"/>
      <c r="AC65" s="518" t="n"/>
      <c r="AD65" s="92" t="n"/>
      <c r="AE65" s="196" t="n"/>
      <c r="AF65" s="92" t="n"/>
      <c r="AG65" s="206" t="n"/>
      <c r="AH65" s="206" t="n"/>
      <c r="AI65" s="206" t="n"/>
      <c r="AJ65" s="94" t="n"/>
    </row>
    <row r="66">
      <c r="B66" s="495" t="n"/>
      <c r="C66" s="517" t="n"/>
      <c r="D66" s="206" t="n"/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515" t="n"/>
      <c r="S66" s="516" t="n"/>
      <c r="T66" s="517" t="n"/>
      <c r="U66" s="518" t="n"/>
      <c r="V66" s="515">
        <f>N66</f>
        <v/>
      </c>
      <c r="W66" s="516">
        <f>O66</f>
        <v/>
      </c>
      <c r="X66" s="517">
        <f>P66</f>
        <v/>
      </c>
      <c r="Y66" s="518">
        <f>Q66</f>
        <v/>
      </c>
      <c r="Z66" s="517" t="n"/>
      <c r="AA66" s="646" t="n"/>
      <c r="AB66" s="646" t="n"/>
      <c r="AC66" s="518" t="n"/>
      <c r="AD66" s="92" t="n"/>
      <c r="AE66" s="196" t="n"/>
      <c r="AF66" s="92" t="n"/>
      <c r="AG66" s="206" t="n"/>
      <c r="AH66" s="206" t="n"/>
      <c r="AI66" s="206" t="n"/>
      <c r="AJ66" s="94" t="n"/>
    </row>
    <row r="67">
      <c r="A67" s="206" t="n"/>
      <c r="B67" s="495" t="n"/>
      <c r="C67" s="517" t="n"/>
      <c r="D67" s="206" t="n"/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515" t="n"/>
      <c r="S67" s="516" t="n"/>
      <c r="T67" s="517" t="n"/>
      <c r="U67" s="518" t="n"/>
      <c r="V67" s="515">
        <f>N67</f>
        <v/>
      </c>
      <c r="W67" s="516">
        <f>O67</f>
        <v/>
      </c>
      <c r="X67" s="517">
        <f>P67</f>
        <v/>
      </c>
      <c r="Y67" s="518">
        <f>Q67</f>
        <v/>
      </c>
      <c r="Z67" s="517" t="n"/>
      <c r="AA67" s="646" t="n"/>
      <c r="AB67" s="646" t="n"/>
      <c r="AC67" s="518" t="n"/>
      <c r="AD67" s="92" t="n"/>
      <c r="AE67" s="196" t="n"/>
      <c r="AF67" s="92" t="n"/>
      <c r="AG67" s="206" t="n"/>
      <c r="AH67" s="206" t="n"/>
      <c r="AI67" s="206" t="n"/>
      <c r="AJ67" s="94" t="n"/>
    </row>
    <row r="68">
      <c r="A68" s="206" t="n"/>
      <c r="B68" s="495" t="n"/>
      <c r="C68" s="517" t="n"/>
      <c r="D68" s="206" t="n"/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515" t="n"/>
      <c r="S68" s="516" t="n"/>
      <c r="T68" s="517" t="n"/>
      <c r="U68" s="518" t="n"/>
      <c r="V68" s="515">
        <f>N68</f>
        <v/>
      </c>
      <c r="W68" s="516">
        <f>O68</f>
        <v/>
      </c>
      <c r="X68" s="517">
        <f>P68</f>
        <v/>
      </c>
      <c r="Y68" s="518">
        <f>Q68</f>
        <v/>
      </c>
      <c r="Z68" s="517" t="n"/>
      <c r="AA68" s="646" t="n"/>
      <c r="AB68" s="646" t="n"/>
      <c r="AC68" s="518" t="n"/>
      <c r="AD68" s="92" t="n"/>
      <c r="AE68" s="196" t="n"/>
      <c r="AF68" s="92" t="n"/>
      <c r="AG68" s="206" t="n"/>
      <c r="AH68" s="206" t="n"/>
      <c r="AI68" s="206" t="n"/>
      <c r="AJ68" s="94" t="n"/>
    </row>
    <row r="69">
      <c r="A69" s="206" t="n"/>
      <c r="B69" s="495" t="n"/>
      <c r="C69" s="517" t="n"/>
      <c r="D69" s="206" t="n"/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515" t="n"/>
      <c r="S69" s="516" t="n"/>
      <c r="T69" s="517" t="n"/>
      <c r="U69" s="518" t="n"/>
      <c r="V69" s="515">
        <f>N69</f>
        <v/>
      </c>
      <c r="W69" s="516">
        <f>O69</f>
        <v/>
      </c>
      <c r="X69" s="517">
        <f>P69</f>
        <v/>
      </c>
      <c r="Y69" s="518">
        <f>Q69</f>
        <v/>
      </c>
      <c r="Z69" s="517" t="n"/>
      <c r="AA69" s="646" t="n"/>
      <c r="AB69" s="646" t="n"/>
      <c r="AC69" s="518" t="n"/>
      <c r="AD69" s="92" t="n"/>
      <c r="AE69" s="196" t="n"/>
      <c r="AF69" s="92" t="n"/>
      <c r="AG69" s="206" t="n"/>
      <c r="AH69" s="206" t="n"/>
      <c r="AI69" s="206" t="n"/>
      <c r="AJ69" s="94" t="n"/>
    </row>
    <row r="70">
      <c r="A70" s="206" t="n"/>
      <c r="B70" s="495" t="n"/>
      <c r="C70" s="517" t="n"/>
      <c r="D70" s="206" t="n"/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515" t="n"/>
      <c r="S70" s="516" t="n"/>
      <c r="T70" s="517" t="n"/>
      <c r="U70" s="518" t="n"/>
      <c r="V70" s="515">
        <f>N70</f>
        <v/>
      </c>
      <c r="W70" s="516">
        <f>O70</f>
        <v/>
      </c>
      <c r="X70" s="517">
        <f>P70</f>
        <v/>
      </c>
      <c r="Y70" s="518">
        <f>Q70</f>
        <v/>
      </c>
      <c r="Z70" s="517" t="n"/>
      <c r="AA70" s="646" t="n"/>
      <c r="AB70" s="646" t="n"/>
      <c r="AC70" s="518" t="n"/>
      <c r="AD70" s="92" t="n"/>
      <c r="AE70" s="196" t="n"/>
      <c r="AF70" s="92" t="n"/>
      <c r="AG70" s="206" t="n"/>
      <c r="AH70" s="206" t="n"/>
      <c r="AI70" s="206" t="n"/>
      <c r="AJ70" s="94" t="n"/>
    </row>
    <row r="71">
      <c r="A71" s="206" t="n"/>
      <c r="B71" s="495" t="n"/>
      <c r="C71" s="517" t="n"/>
      <c r="D71" s="206" t="n"/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515" t="n"/>
      <c r="S71" s="516" t="n"/>
      <c r="T71" s="517" t="n"/>
      <c r="U71" s="518" t="n"/>
      <c r="V71" s="515">
        <f>N71</f>
        <v/>
      </c>
      <c r="W71" s="516">
        <f>O71</f>
        <v/>
      </c>
      <c r="X71" s="517">
        <f>P71</f>
        <v/>
      </c>
      <c r="Y71" s="518">
        <f>Q71</f>
        <v/>
      </c>
      <c r="Z71" s="517" t="n"/>
      <c r="AA71" s="646" t="n"/>
      <c r="AB71" s="646" t="n"/>
      <c r="AC71" s="518" t="n"/>
      <c r="AD71" s="92" t="n"/>
      <c r="AE71" s="196" t="n"/>
      <c r="AF71" s="92" t="n"/>
      <c r="AG71" s="206" t="n"/>
      <c r="AH71" s="206" t="n"/>
      <c r="AI71" s="206" t="n"/>
      <c r="AJ71" s="94" t="n"/>
    </row>
    <row r="72">
      <c r="A72" s="206" t="n"/>
      <c r="B72" s="495" t="n"/>
      <c r="C72" s="517" t="n"/>
      <c r="D72" s="206" t="n"/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515" t="n"/>
      <c r="S72" s="516" t="n"/>
      <c r="T72" s="517" t="n"/>
      <c r="U72" s="518" t="n"/>
      <c r="V72" s="515">
        <f>N72</f>
        <v/>
      </c>
      <c r="W72" s="516">
        <f>O72</f>
        <v/>
      </c>
      <c r="X72" s="517">
        <f>P72</f>
        <v/>
      </c>
      <c r="Y72" s="518">
        <f>Q72</f>
        <v/>
      </c>
      <c r="Z72" s="517" t="n"/>
      <c r="AA72" s="646" t="n"/>
      <c r="AB72" s="646" t="n"/>
      <c r="AC72" s="518" t="n"/>
      <c r="AD72" s="92" t="n"/>
      <c r="AE72" s="196" t="n"/>
      <c r="AF72" s="92" t="n"/>
      <c r="AG72" s="206" t="n"/>
      <c r="AH72" s="206" t="n"/>
      <c r="AI72" s="206" t="n"/>
      <c r="AJ72" s="94" t="n"/>
    </row>
    <row r="73">
      <c r="A73" s="206" t="n"/>
      <c r="B73" s="206" t="n"/>
      <c r="C73" s="206" t="n"/>
      <c r="D73" s="206" t="n"/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515" t="n"/>
      <c r="S73" s="516" t="n"/>
      <c r="T73" s="517" t="n"/>
      <c r="U73" s="518" t="n"/>
      <c r="V73" s="515">
        <f>N73</f>
        <v/>
      </c>
      <c r="W73" s="516">
        <f>O73</f>
        <v/>
      </c>
      <c r="X73" s="517">
        <f>P73</f>
        <v/>
      </c>
      <c r="Y73" s="518">
        <f>Q73</f>
        <v/>
      </c>
      <c r="Z73" s="517" t="n"/>
      <c r="AA73" s="646" t="n"/>
      <c r="AB73" s="646" t="n"/>
      <c r="AC73" s="518" t="n"/>
      <c r="AD73" s="92" t="n"/>
      <c r="AE73" s="196" t="n"/>
      <c r="AF73" s="92" t="n"/>
      <c r="AG73" s="206" t="n"/>
      <c r="AH73" s="206" t="n"/>
      <c r="AI73" s="206" t="n"/>
      <c r="AJ73" s="94" t="n"/>
    </row>
    <row r="74">
      <c r="A74" s="206" t="n"/>
      <c r="B74" s="495" t="n"/>
      <c r="C74" s="517" t="n"/>
      <c r="D74" s="206" t="n"/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515" t="n"/>
      <c r="S74" s="516" t="n"/>
      <c r="T74" s="517" t="n"/>
      <c r="U74" s="518" t="n"/>
      <c r="V74" s="515">
        <f>N74</f>
        <v/>
      </c>
      <c r="W74" s="516">
        <f>O74</f>
        <v/>
      </c>
      <c r="X74" s="517">
        <f>P74</f>
        <v/>
      </c>
      <c r="Y74" s="518">
        <f>Q74</f>
        <v/>
      </c>
      <c r="Z74" s="517" t="n"/>
      <c r="AA74" s="646" t="n"/>
      <c r="AB74" s="646" t="n"/>
      <c r="AC74" s="518" t="n"/>
      <c r="AD74" s="92" t="n"/>
      <c r="AE74" s="196" t="n"/>
      <c r="AF74" s="92" t="n"/>
      <c r="AG74" s="206" t="n"/>
      <c r="AH74" s="206" t="n"/>
      <c r="AI74" s="206" t="n"/>
      <c r="AJ74" s="94" t="n"/>
    </row>
    <row r="75">
      <c r="A75" s="206" t="n"/>
      <c r="B75" s="495" t="n"/>
      <c r="C75" s="517" t="n"/>
      <c r="D75" s="206" t="n"/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515" t="n"/>
      <c r="S75" s="516" t="n"/>
      <c r="T75" s="517" t="n"/>
      <c r="U75" s="518" t="n"/>
      <c r="V75" s="515">
        <f>N75</f>
        <v/>
      </c>
      <c r="W75" s="516">
        <f>O75</f>
        <v/>
      </c>
      <c r="X75" s="517">
        <f>P75</f>
        <v/>
      </c>
      <c r="Y75" s="518">
        <f>Q75</f>
        <v/>
      </c>
      <c r="Z75" s="517" t="n"/>
      <c r="AA75" s="646" t="n"/>
      <c r="AB75" s="646" t="n"/>
      <c r="AC75" s="518" t="n"/>
      <c r="AD75" s="92" t="n"/>
      <c r="AE75" s="196" t="n"/>
      <c r="AF75" s="92" t="n"/>
      <c r="AG75" s="206" t="n"/>
      <c r="AH75" s="206" t="n"/>
      <c r="AI75" s="206" t="n"/>
      <c r="AJ75" s="94" t="n"/>
    </row>
    <row r="76">
      <c r="A76" s="206" t="n"/>
      <c r="B76" s="206" t="n"/>
      <c r="C76" s="206" t="n"/>
      <c r="D76" s="206" t="n"/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515" t="n"/>
      <c r="S76" s="516" t="n"/>
      <c r="T76" s="517" t="n"/>
      <c r="U76" s="518" t="n"/>
      <c r="V76" s="515">
        <f>N76</f>
        <v/>
      </c>
      <c r="W76" s="516">
        <f>O76</f>
        <v/>
      </c>
      <c r="X76" s="517">
        <f>P76</f>
        <v/>
      </c>
      <c r="Y76" s="518">
        <f>Q76</f>
        <v/>
      </c>
      <c r="Z76" s="517" t="n"/>
      <c r="AA76" s="646" t="n"/>
      <c r="AB76" s="646" t="n"/>
      <c r="AC76" s="518" t="n"/>
      <c r="AD76" s="92" t="n"/>
      <c r="AE76" s="196" t="n"/>
      <c r="AF76" s="92" t="n"/>
      <c r="AG76" s="206" t="n"/>
      <c r="AH76" s="206" t="n"/>
      <c r="AI76" s="206" t="n"/>
      <c r="AJ76" s="94" t="n"/>
    </row>
    <row r="77">
      <c r="A77" s="487" t="n"/>
      <c r="B77" s="495" t="n"/>
      <c r="C77" s="188" t="n"/>
      <c r="D77" s="206" t="n"/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81" t="n"/>
      <c r="S77" s="588" t="n"/>
      <c r="T77" s="640" t="n"/>
      <c r="U77" s="641" t="n"/>
      <c r="V77" s="581">
        <f>$C$31-ROUNDDOWN($C$31*(H5-G5+1)/DAY(H5),-2)</f>
        <v/>
      </c>
      <c r="W77" s="588">
        <f>V77-X77-Y77</f>
        <v/>
      </c>
      <c r="X77" s="640">
        <f>$C$11/$C$7-ROUNDDOWN((C11/C7)*(H5-G5+1)/DAY(H5),-2)</f>
        <v/>
      </c>
      <c r="Y77" s="641">
        <f>$C$12/$C$7-ROUNDDOWN((C12/C7)*(H5-G5+1)/DAY(H5),-2)</f>
        <v/>
      </c>
      <c r="Z77" s="640" t="n"/>
      <c r="AA77" s="653" t="n"/>
      <c r="AB77" s="653" t="n"/>
      <c r="AC77" s="641" t="n"/>
      <c r="AD77" s="59" t="n"/>
      <c r="AE77" s="12" t="n"/>
      <c r="AF77" s="59" t="n"/>
      <c r="AG77" s="95" t="n"/>
      <c r="AH77" s="95" t="n"/>
      <c r="AI77" s="95" t="n"/>
      <c r="AJ77" s="97" t="n"/>
    </row>
    <row r="78">
      <c r="B78" s="495" t="n"/>
      <c r="C78" s="517" t="n"/>
      <c r="D78" s="206" t="n"/>
      <c r="O78" s="500" t="n"/>
      <c r="V78" s="206" t="inlineStr">
        <is>
          <t>* 선납+선납할인 적용 시의 (월 구독료 - 1회차 청구비용) 금액 청구</t>
        </is>
      </c>
    </row>
    <row r="79">
      <c r="B79" s="495" t="n"/>
      <c r="C79" s="517" t="n"/>
      <c r="D79" s="206" t="n"/>
    </row>
    <row r="80">
      <c r="B80" s="495" t="n"/>
      <c r="C80" s="517" t="n"/>
      <c r="D80" s="206" t="n"/>
    </row>
    <row r="81">
      <c r="B81" s="495" t="n"/>
      <c r="C81" s="517" t="n"/>
      <c r="D81" s="206" t="n"/>
      <c r="V81" s="500" t="n"/>
      <c r="W81" s="500" t="n"/>
    </row>
    <row r="82">
      <c r="B82" s="495" t="n"/>
      <c r="C82" s="517" t="n"/>
      <c r="D82" s="206" t="n"/>
      <c r="V82" s="500" t="n"/>
      <c r="W82" s="517" t="n"/>
    </row>
    <row r="83">
      <c r="B83" s="495" t="n"/>
      <c r="C83" s="517" t="n"/>
      <c r="D83" s="505" t="n"/>
      <c r="V83" s="500" t="n"/>
      <c r="W83" s="500" t="n"/>
    </row>
    <row r="84">
      <c r="A84" s="206" t="n"/>
      <c r="B84" s="206" t="n"/>
      <c r="C84" s="206" t="n"/>
      <c r="D84" s="206" t="n"/>
    </row>
    <row r="85">
      <c r="A85" s="206" t="n"/>
      <c r="B85" s="206" t="n"/>
      <c r="C85" s="206" t="n"/>
      <c r="D85" s="206" t="n"/>
    </row>
    <row r="86">
      <c r="A86" s="206" t="n"/>
      <c r="B86" s="206" t="n"/>
      <c r="C86" s="206" t="n"/>
      <c r="D86" s="206" t="n"/>
    </row>
    <row r="87">
      <c r="A87" s="206" t="n"/>
      <c r="B87" s="206" t="n"/>
      <c r="C87" s="206" t="n"/>
      <c r="D87" s="206" t="n"/>
    </row>
    <row r="88">
      <c r="A88" s="206" t="n"/>
      <c r="B88" s="206" t="n"/>
      <c r="C88" s="206" t="n"/>
      <c r="D88" s="206" t="n"/>
    </row>
    <row r="89">
      <c r="A89" s="206" t="n"/>
      <c r="B89" s="206" t="n"/>
      <c r="C89" s="206" t="n"/>
      <c r="D89" s="206" t="n"/>
    </row>
  </sheetData>
  <mergeCells count="2">
    <mergeCell ref="A60:A66"/>
    <mergeCell ref="A77:A8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ey4.sec</dc:creator>
  <dcterms:created xsi:type="dcterms:W3CDTF">2025-11-14T07:35:55Z</dcterms:created>
  <dcterms:modified xsi:type="dcterms:W3CDTF">2026-07-02T14:51:13Z</dcterms:modified>
  <cp:lastModifiedBy>정희영/구독운영그룹(한국)/삼성전자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NSCPROP" fmtid="{D5CDD505-2E9C-101B-9397-08002B2CF9AE}" pid="2">
    <vt:lpwstr>NSCCustomProperty</vt:lpwstr>
  </property>
  <property name="FLCMData" fmtid="{D5CDD505-2E9C-101B-9397-08002B2CF9AE}" pid="3">
    <vt:lpwstr>B187D8A0DF333CEAD13DCDE239AF0E48F1D9E8E2335F55F3B86B7A0C3E30686E8DED8A3D7097E9312AE5EFAC912F4F8FA3880C02E4923DC74BDE02B160620C35</vt:lpwstr>
  </property>
  <property name="DocumentId" fmtid="{D5CDD505-2E9C-101B-9397-08002B2CF9AE}" pid="4">
    <vt:lpwstr>efe7565b-ad17-401e-b82e-539f928009e5</vt:lpwstr>
  </property>
</Properties>
</file>
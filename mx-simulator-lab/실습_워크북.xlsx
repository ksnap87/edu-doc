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사용법" sheetId="1" state="visible" r:id="rId1"/>
    <sheet name="🔢 공통입력" sheetId="2" state="visible" r:id="rId2"/>
    <sheet name="실습1 할인6단계" sheetId="3" state="visible" r:id="rId3"/>
    <sheet name="실습2 정상청구" sheetId="4" state="visible" r:id="rId4"/>
    <sheet name="실습3 중도해지" sheetId="5" state="visible" r:id="rId5"/>
    <sheet name="실습4 중도완납" sheetId="6" state="visible" r:id="rId6"/>
    <sheet name="실습5 연체강제해지" sheetId="7" state="visible" r:id="rId7"/>
    <sheet name="실습6 할인원복" sheetId="8" state="visible" r:id="rId8"/>
    <sheet name="실습7 AS보상" sheetId="9" state="visible" r:id="rId9"/>
    <sheet name="📝 시나리오문제" sheetId="10" state="visible" r:id="rId10"/>
    <sheet name="✅정답_수식" sheetId="11" state="visible" r:id="rId11"/>
    <sheet name="✅정답_숫자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222222"/>
      <sz val="10"/>
    </font>
    <font>
      <name val="맑은 고딕"/>
      <b val="1"/>
      <color rgb="00FFFFFF"/>
      <sz val="11"/>
    </font>
    <font>
      <name val="Consolas"/>
      <color rgb="001F3864"/>
      <sz val="10"/>
    </font>
    <font>
      <name val="맑은 고딕"/>
      <b val="1"/>
      <color rgb="00FFFFFF"/>
      <sz val="10"/>
    </font>
    <font>
      <name val="맑은 고딕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6CC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EDF2FB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 indent="1"/>
    </xf>
    <xf numFmtId="0" fontId="2" fillId="0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0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8" customWidth="1" min="3" max="3"/>
    <col width="46" customWidth="1" min="4" max="4"/>
  </cols>
  <sheetData>
    <row r="1" ht="28" customHeight="1">
      <c r="A1" s="1" t="inlineStr">
        <is>
          <t>수식 빈칸 채우기 실습 — 사용법</t>
        </is>
      </c>
    </row>
    <row r="3" ht="16" customHeight="1">
      <c r="A3" s="2" t="inlineStr">
        <is>
          <t>목표: 원본 시뮬레이터의 '함수(수식)'를 직접 복원해본다. 노란칸에 엑셀 수식을 손으로 적고, '✅정답_수식' 탭과 대조.</t>
        </is>
      </c>
    </row>
    <row r="4" ht="22" customHeight="1">
      <c r="A4" s="3" t="inlineStr">
        <is>
          <t>진행 방법</t>
        </is>
      </c>
    </row>
    <row r="5" ht="75" customHeight="1">
      <c r="A5" s="4" t="inlineStr">
        <is>
          <t>1) '공통입력' 탭의 주어진 값을 본다 (C7,C8,C10~C16 등)
2) 각 실습 탭에서 '결과값'은 주어짐 → 그 값을 만드는 '엑셀 수식'을 노란칸에 직접 적기
3) 다 적으면 '✅정답_수식' 탭에서 채점
4) '📝시나리오문제'는 숫자 답을 손계산 → '✅정답_숫자'로 확인</t>
        </is>
      </c>
    </row>
    <row r="6" ht="22" customHeight="1">
      <c r="A6" s="3" t="inlineStr">
        <is>
          <t>실습 구성 (전 이벤트)</t>
        </is>
      </c>
    </row>
    <row r="7" ht="16" customHeight="1">
      <c r="A7" s="4" t="inlineStr">
        <is>
          <t>실습1 할인 6단계 · 실습2 정상청구 · 실습3 중도해지 · 실습4 중도완납 · 실습5 연체강제해지 · 실습6 할인원복 · 실습7 AS보상</t>
        </is>
      </c>
    </row>
    <row r="8" ht="22" customHeight="1">
      <c r="A8" s="3" t="inlineStr">
        <is>
          <t>핵심 함수 미리보기</t>
        </is>
      </c>
    </row>
    <row r="9" ht="30" customHeight="1">
      <c r="A9" s="5" t="inlineStr">
        <is>
          <t>ROUNDDOWN(x,-2)=100원 내림 · ROUNDUP=올림 · EOMONTH(날짜,0)=그달말일 · EDATE(날짜,1)=한달뒤 · DAY()=일수 · RATE()=내재이자율 · PV()=현재가치</t>
        </is>
      </c>
    </row>
  </sheetData>
  <mergeCells count="8">
    <mergeCell ref="A1:D1"/>
    <mergeCell ref="A5:D5"/>
    <mergeCell ref="A9:D9"/>
    <mergeCell ref="A8:D8"/>
    <mergeCell ref="A6:D6"/>
    <mergeCell ref="A4:D4"/>
    <mergeCell ref="A3:D3"/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</cols>
  <sheetData>
    <row r="1" ht="28" customHeight="1">
      <c r="A1" s="1" t="inlineStr">
        <is>
          <t>공통 입력 (CE 에어컨 예제)</t>
        </is>
      </c>
    </row>
    <row r="3" ht="22" customHeight="1">
      <c r="A3" s="3" t="inlineStr">
        <is>
          <t>기본 값</t>
        </is>
      </c>
    </row>
    <row r="4">
      <c r="A4" s="6" t="inlineStr">
        <is>
          <t>항목</t>
        </is>
      </c>
      <c r="B4" s="6" t="inlineStr">
        <is>
          <t>셀</t>
        </is>
      </c>
      <c r="C4" s="6" t="inlineStr">
        <is>
          <t>값</t>
        </is>
      </c>
    </row>
    <row r="5">
      <c r="A5" s="7" t="inlineStr">
        <is>
          <t>구독기간(개월)</t>
        </is>
      </c>
      <c r="B5" s="8" t="inlineStr">
        <is>
          <t>C7</t>
        </is>
      </c>
      <c r="C5" s="8" t="inlineStr">
        <is>
          <t>72</t>
        </is>
      </c>
    </row>
    <row r="6">
      <c r="A6" s="7" t="inlineStr">
        <is>
          <t>구독기간(일)</t>
        </is>
      </c>
      <c r="B6" s="8" t="inlineStr">
        <is>
          <t>C8</t>
        </is>
      </c>
      <c r="C6" s="8" t="inlineStr">
        <is>
          <t>2,191</t>
        </is>
      </c>
    </row>
    <row r="7">
      <c r="A7" s="7" t="inlineStr">
        <is>
          <t>혜택가(v-)</t>
        </is>
      </c>
      <c r="B7" s="8" t="inlineStr">
        <is>
          <t>C10</t>
        </is>
      </c>
      <c r="C7" s="8" t="inlineStr">
        <is>
          <t>6,936,364</t>
        </is>
      </c>
    </row>
    <row r="8">
      <c r="A8" s="7" t="inlineStr">
        <is>
          <t>케어서비스(v-)</t>
        </is>
      </c>
      <c r="B8" s="8" t="inlineStr">
        <is>
          <t>C11</t>
        </is>
      </c>
      <c r="C8" s="8" t="inlineStr">
        <is>
          <t>1,087,200</t>
        </is>
      </c>
    </row>
    <row r="9">
      <c r="A9" s="7" t="inlineStr">
        <is>
          <t>보증연장(v-)</t>
        </is>
      </c>
      <c r="B9" s="8" t="inlineStr">
        <is>
          <t>C12</t>
        </is>
      </c>
      <c r="C9" s="8" t="inlineStr">
        <is>
          <t>129,600</t>
        </is>
      </c>
    </row>
    <row r="10">
      <c r="A10" s="7" t="inlineStr">
        <is>
          <t>매출인식기준구독료(v-)</t>
        </is>
      </c>
      <c r="B10" s="8" t="inlineStr">
        <is>
          <t>C13</t>
        </is>
      </c>
      <c r="C10" s="8" t="inlineStr">
        <is>
          <t>10,540,800</t>
        </is>
      </c>
    </row>
    <row r="11">
      <c r="A11" s="7" t="inlineStr">
        <is>
          <t>총구독료(v-)</t>
        </is>
      </c>
      <c r="B11" s="8" t="inlineStr">
        <is>
          <t>C14</t>
        </is>
      </c>
      <c r="C11" s="8" t="inlineStr">
        <is>
          <t>11,757,600</t>
        </is>
      </c>
    </row>
    <row r="12">
      <c r="A12" s="7" t="inlineStr">
        <is>
          <t>월구독료(v-)</t>
        </is>
      </c>
      <c r="B12" s="8" t="inlineStr">
        <is>
          <t>C15</t>
        </is>
      </c>
      <c r="C12" s="8" t="inlineStr">
        <is>
          <t>163,300</t>
        </is>
      </c>
    </row>
    <row r="13">
      <c r="A13" s="7" t="inlineStr">
        <is>
          <t>총구독료(v+)</t>
        </is>
      </c>
      <c r="B13" s="8" t="inlineStr">
        <is>
          <t>C16</t>
        </is>
      </c>
      <c r="C13" s="8" t="inlineStr">
        <is>
          <t>12,933,360</t>
        </is>
      </c>
    </row>
    <row r="14">
      <c r="A14" s="7" t="inlineStr">
        <is>
          <t>선납금 %</t>
        </is>
      </c>
      <c r="B14" s="8" t="inlineStr">
        <is>
          <t>C18</t>
        </is>
      </c>
      <c r="C14" s="8" t="inlineStr">
        <is>
          <t>30%</t>
        </is>
      </c>
    </row>
    <row r="15">
      <c r="A15" s="7" t="inlineStr">
        <is>
          <t>선납금 최종(V-)</t>
        </is>
      </c>
      <c r="B15" s="8" t="inlineStr">
        <is>
          <t>C22</t>
        </is>
      </c>
      <c r="C15" s="8" t="inlineStr">
        <is>
          <t>3,528,000</t>
        </is>
      </c>
    </row>
    <row r="16">
      <c r="A16" s="7" t="inlineStr">
        <is>
          <t>선납금 최종(V+)</t>
        </is>
      </c>
      <c r="B16" s="8" t="inlineStr">
        <is>
          <t>C26</t>
        </is>
      </c>
      <c r="C16" s="8" t="inlineStr">
        <is>
          <t>3,880,800</t>
        </is>
      </c>
    </row>
    <row r="17">
      <c r="A17" s="7" t="inlineStr">
        <is>
          <t>선납할인 최종(V-)</t>
        </is>
      </c>
      <c r="B17" s="8" t="inlineStr">
        <is>
          <t>C31</t>
        </is>
      </c>
      <c r="C17" s="8" t="inlineStr">
        <is>
          <t>475,200</t>
        </is>
      </c>
    </row>
    <row r="18">
      <c r="A18" s="7" t="inlineStr">
        <is>
          <t>단품할인 최종(V-)</t>
        </is>
      </c>
      <c r="B18" s="8" t="inlineStr">
        <is>
          <t>C41</t>
        </is>
      </c>
      <c r="C18" s="8" t="inlineStr">
        <is>
          <t>590,400</t>
        </is>
      </c>
    </row>
    <row r="19">
      <c r="A19" s="7" t="inlineStr">
        <is>
          <t>결합할인 최종(V-)</t>
        </is>
      </c>
      <c r="B19" s="8" t="inlineStr">
        <is>
          <t>C51</t>
        </is>
      </c>
      <c r="C19" s="8" t="inlineStr">
        <is>
          <t>540,000</t>
        </is>
      </c>
    </row>
    <row r="20">
      <c r="A20" s="7" t="inlineStr">
        <is>
          <t>반영 월구독료(전체할인)</t>
        </is>
      </c>
      <c r="B20" s="8" t="inlineStr">
        <is>
          <t>C57</t>
        </is>
      </c>
      <c r="C20" s="8" t="inlineStr">
        <is>
          <t>92,000</t>
        </is>
      </c>
    </row>
    <row r="22" ht="16" customHeight="1">
      <c r="A22" s="2" t="inlineStr">
        <is>
          <t>할인율: 선납할인 4% · 단품 5% · 결합(다품목) 5%</t>
        </is>
      </c>
    </row>
    <row r="23" ht="16" customHeight="1">
      <c r="A23" s="4" t="inlineStr">
        <is>
          <t>부가세: v+ = v- × 1.1 (단 파손보험·위약금·연체이자·분실/파손료는 비과세)</t>
        </is>
      </c>
    </row>
  </sheetData>
  <mergeCells count="4">
    <mergeCell ref="A22:D22"/>
    <mergeCell ref="A1:D1"/>
    <mergeCell ref="A23:D23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8" customWidth="1" min="3" max="3"/>
    <col width="52" customWidth="1" min="4" max="4"/>
  </cols>
  <sheetData>
    <row r="1" ht="28" customHeight="1">
      <c r="A1" s="1" t="inlineStr">
        <is>
          <t>할인 6단계 (단품 5% 예시)</t>
        </is>
      </c>
    </row>
    <row r="3" ht="16" customHeight="1">
      <c r="A3" s="2" t="inlineStr">
        <is>
          <t>구독료에서 할인을 빼는 6단계. 같은 패턴이 선납할인·단품·결합 모두 동일.</t>
        </is>
      </c>
    </row>
    <row r="5" ht="20" customHeight="1">
      <c r="A5" s="6" t="inlineStr">
        <is>
          <t>항목</t>
        </is>
      </c>
      <c r="B5" s="6" t="inlineStr">
        <is>
          <t>셀</t>
        </is>
      </c>
      <c r="C5" s="6" t="inlineStr">
        <is>
          <t>결과값(주어짐)</t>
        </is>
      </c>
      <c r="D5" s="6" t="inlineStr">
        <is>
          <t>✍️ 내가 쓸 엑셀 수식</t>
        </is>
      </c>
    </row>
    <row r="6" ht="18" customHeight="1">
      <c r="A6" s="7" t="inlineStr">
        <is>
          <t>①(계산용)할인금(V+)</t>
        </is>
      </c>
      <c r="B6" s="8" t="inlineStr">
        <is>
          <t>C37</t>
        </is>
      </c>
      <c r="C6" s="8" t="inlineStr">
        <is>
          <t>646,668</t>
        </is>
      </c>
      <c r="D6" s="9" t="inlineStr"/>
    </row>
    <row r="7" ht="18" customHeight="1">
      <c r="A7" s="10" t="inlineStr">
        <is>
          <t>②(계산용)할인금(V-)</t>
        </is>
      </c>
      <c r="B7" s="11" t="inlineStr">
        <is>
          <t>C38</t>
        </is>
      </c>
      <c r="C7" s="11" t="inlineStr">
        <is>
          <t>587,880</t>
        </is>
      </c>
      <c r="D7" s="9" t="inlineStr"/>
    </row>
    <row r="8" ht="18" customHeight="1">
      <c r="A8" s="7" t="inlineStr">
        <is>
          <t>③(계산용)월할인금(V-)</t>
        </is>
      </c>
      <c r="B8" s="8" t="inlineStr">
        <is>
          <t>C39</t>
        </is>
      </c>
      <c r="C8" s="8" t="inlineStr">
        <is>
          <t>8,200</t>
        </is>
      </c>
      <c r="D8" s="9" t="inlineStr"/>
    </row>
    <row r="9" ht="18" customHeight="1">
      <c r="A9" s="10" t="inlineStr">
        <is>
          <t>④(계산용)월할인금(V+)</t>
        </is>
      </c>
      <c r="B9" s="11" t="inlineStr">
        <is>
          <t>C40</t>
        </is>
      </c>
      <c r="C9" s="11" t="inlineStr">
        <is>
          <t>9,020</t>
        </is>
      </c>
      <c r="D9" s="9" t="inlineStr"/>
    </row>
    <row r="10" ht="18" customHeight="1">
      <c r="A10" s="7" t="inlineStr">
        <is>
          <t>⑤(최종)할인금(V-)</t>
        </is>
      </c>
      <c r="B10" s="8" t="inlineStr">
        <is>
          <t>C41</t>
        </is>
      </c>
      <c r="C10" s="8" t="inlineStr">
        <is>
          <t>590,400</t>
        </is>
      </c>
      <c r="D10" s="9" t="inlineStr"/>
    </row>
    <row r="11" ht="18" customHeight="1">
      <c r="A11" s="10" t="inlineStr">
        <is>
          <t>⑥단품반영 월구독료(V-)</t>
        </is>
      </c>
      <c r="B11" s="11" t="inlineStr">
        <is>
          <t>C43</t>
        </is>
      </c>
      <c r="C11" s="11" t="inlineStr">
        <is>
          <t>155,100</t>
        </is>
      </c>
      <c r="D11" s="9" t="inlineStr"/>
    </row>
    <row r="13" ht="16" customHeight="1">
      <c r="A13" s="12" t="inlineStr">
        <is>
          <t>→ 다 적었으면 '✅정답_수식' 탭에서 대조하세요.</t>
        </is>
      </c>
    </row>
  </sheetData>
  <mergeCells count="3">
    <mergeCell ref="A1:D1"/>
    <mergeCell ref="A13:D13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8" customWidth="1" min="3" max="3"/>
    <col width="52" customWidth="1" min="4" max="4"/>
  </cols>
  <sheetData>
    <row r="1" ht="28" customHeight="1">
      <c r="A1" s="1" t="inlineStr">
        <is>
          <t>정상만기 청구표</t>
        </is>
      </c>
    </row>
    <row r="3" ht="16" customHeight="1">
      <c r="A3" s="2" t="inlineStr">
        <is>
          <t>청구일·일할·제품/케어/보증 분해. 1회차는 일할, 2회차~는 월정액.</t>
        </is>
      </c>
    </row>
    <row r="5" ht="20" customHeight="1">
      <c r="A5" s="6" t="inlineStr">
        <is>
          <t>항목</t>
        </is>
      </c>
      <c r="B5" s="6" t="inlineStr">
        <is>
          <t>셀</t>
        </is>
      </c>
      <c r="C5" s="6" t="inlineStr">
        <is>
          <t>결과값(주어짐)</t>
        </is>
      </c>
      <c r="D5" s="6" t="inlineStr">
        <is>
          <t>✍️ 내가 쓸 엑셀 수식</t>
        </is>
      </c>
    </row>
    <row r="6" ht="18" customHeight="1">
      <c r="A6" s="7" t="inlineStr">
        <is>
          <t>청구일(첫달)</t>
        </is>
      </c>
      <c r="B6" s="8" t="inlineStr">
        <is>
          <t>I5</t>
        </is>
      </c>
      <c r="C6" s="8" t="inlineStr">
        <is>
          <t>2025-10-15</t>
        </is>
      </c>
      <c r="D6" s="9" t="inlineStr"/>
    </row>
    <row r="7" ht="18" customHeight="1">
      <c r="A7" s="10" t="inlineStr">
        <is>
          <t>다음 청구일</t>
        </is>
      </c>
      <c r="B7" s="11" t="inlineStr">
        <is>
          <t>I6</t>
        </is>
      </c>
      <c r="C7" s="11" t="inlineStr">
        <is>
          <t>2025-11-15</t>
        </is>
      </c>
      <c r="D7" s="9" t="inlineStr"/>
    </row>
    <row r="8" ht="18" customHeight="1">
      <c r="A8" s="7" t="inlineStr">
        <is>
          <t>1회차 구독료(일할)</t>
        </is>
      </c>
      <c r="B8" s="8" t="inlineStr">
        <is>
          <t>J5</t>
        </is>
      </c>
      <c r="C8" s="8" t="inlineStr">
        <is>
          <t>103,400</t>
        </is>
      </c>
      <c r="D8" s="9" t="inlineStr"/>
    </row>
    <row r="9" ht="18" customHeight="1">
      <c r="A9" s="10" t="inlineStr">
        <is>
          <t>2회차~ 구독료</t>
        </is>
      </c>
      <c r="B9" s="11" t="inlineStr">
        <is>
          <t>J6</t>
        </is>
      </c>
      <c r="C9" s="11" t="inlineStr">
        <is>
          <t>163,300</t>
        </is>
      </c>
      <c r="D9" s="9" t="inlineStr"/>
    </row>
    <row r="10" ht="18" customHeight="1">
      <c r="A10" s="7" t="inlineStr">
        <is>
          <t>제품(차액)</t>
        </is>
      </c>
      <c r="B10" s="8" t="inlineStr">
        <is>
          <t>K6</t>
        </is>
      </c>
      <c r="C10" s="8" t="inlineStr">
        <is>
          <t>146,400</t>
        </is>
      </c>
      <c r="D10" s="9" t="inlineStr"/>
    </row>
    <row r="11" ht="18" customHeight="1">
      <c r="A11" s="10" t="inlineStr">
        <is>
          <t>케어</t>
        </is>
      </c>
      <c r="B11" s="11" t="inlineStr">
        <is>
          <t>L6</t>
        </is>
      </c>
      <c r="C11" s="11" t="inlineStr">
        <is>
          <t>15,100</t>
        </is>
      </c>
      <c r="D11" s="9" t="inlineStr"/>
    </row>
    <row r="12" ht="18" customHeight="1">
      <c r="A12" s="7" t="inlineStr">
        <is>
          <t>보증</t>
        </is>
      </c>
      <c r="B12" s="8" t="inlineStr">
        <is>
          <t>M6</t>
        </is>
      </c>
      <c r="C12" s="8" t="inlineStr">
        <is>
          <t>1,800</t>
        </is>
      </c>
      <c r="D12" s="9" t="inlineStr"/>
    </row>
    <row r="13" ht="18" customHeight="1">
      <c r="A13" s="10" t="inlineStr">
        <is>
          <t>1회차 제품(차액금)</t>
        </is>
      </c>
      <c r="B13" s="11" t="inlineStr">
        <is>
          <t>K5</t>
        </is>
      </c>
      <c r="C13" s="11" t="inlineStr">
        <is>
          <t>92,800</t>
        </is>
      </c>
      <c r="D13" s="9" t="inlineStr"/>
    </row>
    <row r="15" ht="16" customHeight="1">
      <c r="A15" s="12" t="inlineStr">
        <is>
          <t>→ 다 적었으면 '✅정답_수식' 탭에서 대조하세요.</t>
        </is>
      </c>
    </row>
  </sheetData>
  <mergeCells count="3">
    <mergeCell ref="A1:D1"/>
    <mergeCell ref="A3:D3"/>
    <mergeCell ref="A15:D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8" customWidth="1" min="3" max="3"/>
    <col width="52" customWidth="1" min="4" max="4"/>
  </cols>
  <sheetData>
    <row r="1" ht="28" customHeight="1">
      <c r="A1" s="1" t="inlineStr">
        <is>
          <t>중도해지 정산 5종</t>
        </is>
      </c>
    </row>
    <row r="3" ht="16" customHeight="1">
      <c r="A3" s="2" t="inlineStr">
        <is>
          <t>제품판정일 기준. 경과비율=Σ경과일/2191, 잔여비율=(2191−Σ)/2191. (예시: 20회차)</t>
        </is>
      </c>
    </row>
    <row r="5" ht="20" customHeight="1">
      <c r="A5" s="6" t="inlineStr">
        <is>
          <t>항목</t>
        </is>
      </c>
      <c r="B5" s="6" t="inlineStr">
        <is>
          <t>셀</t>
        </is>
      </c>
      <c r="C5" s="6" t="inlineStr">
        <is>
          <t>결과값(주어짐)</t>
        </is>
      </c>
      <c r="D5" s="6" t="inlineStr">
        <is>
          <t>✍️ 내가 쓸 엑셀 수식</t>
        </is>
      </c>
    </row>
    <row r="6" ht="18" customHeight="1">
      <c r="A6" s="7" t="inlineStr">
        <is>
          <t>경과일(매행)</t>
        </is>
      </c>
      <c r="B6" s="8" t="inlineStr">
        <is>
          <t>W6</t>
        </is>
      </c>
      <c r="C6" s="8" t="inlineStr">
        <is>
          <t>31</t>
        </is>
      </c>
      <c r="D6" s="9" t="inlineStr"/>
    </row>
    <row r="7" ht="18" customHeight="1">
      <c r="A7" s="10" t="inlineStr">
        <is>
          <t>경과일(해지월)</t>
        </is>
      </c>
      <c r="B7" s="11" t="inlineStr">
        <is>
          <t>W24</t>
        </is>
      </c>
      <c r="C7" s="11" t="inlineStr">
        <is>
          <t>16</t>
        </is>
      </c>
      <c r="D7" s="9" t="inlineStr"/>
    </row>
    <row r="8" ht="18" customHeight="1">
      <c r="A8" s="7" t="inlineStr">
        <is>
          <t>① 위약금</t>
        </is>
      </c>
      <c r="B8" s="8" t="inlineStr">
        <is>
          <t>X24</t>
        </is>
      </c>
      <c r="C8" s="8" t="inlineStr">
        <is>
          <t>1,899,560</t>
        </is>
      </c>
      <c r="D8" s="9" t="inlineStr"/>
    </row>
    <row r="9" ht="18" customHeight="1">
      <c r="A9" s="10" t="inlineStr">
        <is>
          <t>② 사용분 청구</t>
        </is>
      </c>
      <c r="B9" s="11" t="inlineStr">
        <is>
          <t>Y24</t>
        </is>
      </c>
      <c r="C9" s="11" t="inlineStr">
        <is>
          <t>49,000</t>
        </is>
      </c>
      <c r="D9" s="9" t="inlineStr"/>
    </row>
    <row r="10" ht="18" customHeight="1">
      <c r="A10" s="7" t="inlineStr">
        <is>
          <t>③ 할인금 회수</t>
        </is>
      </c>
      <c r="B10" s="8" t="inlineStr">
        <is>
          <t>Z24</t>
        </is>
      </c>
      <c r="C10" s="8" t="inlineStr">
        <is>
          <t>426,400</t>
        </is>
      </c>
      <c r="D10" s="9" t="inlineStr"/>
    </row>
    <row r="11" ht="18" customHeight="1">
      <c r="A11" s="10" t="inlineStr">
        <is>
          <t>④ 선납잔액 환불</t>
        </is>
      </c>
      <c r="B11" s="11" t="inlineStr">
        <is>
          <t>AA24</t>
        </is>
      </c>
      <c r="C11" s="11" t="inlineStr">
        <is>
          <t>-2,590,900</t>
        </is>
      </c>
      <c r="D11" s="9" t="inlineStr"/>
    </row>
    <row r="12" ht="18" customHeight="1">
      <c r="A12" s="7" t="inlineStr">
        <is>
          <t>⑤ 등록비 청구</t>
        </is>
      </c>
      <c r="B12" s="8" t="inlineStr">
        <is>
          <t>AB24</t>
        </is>
      </c>
      <c r="C12" s="8" t="inlineStr">
        <is>
          <t>24,100</t>
        </is>
      </c>
      <c r="D12" s="9" t="inlineStr"/>
    </row>
    <row r="13" ht="18" customHeight="1">
      <c r="A13" s="10" t="inlineStr">
        <is>
          <t>위약금 v+(비과세)</t>
        </is>
      </c>
      <c r="B13" s="11" t="inlineStr">
        <is>
          <t>AC24</t>
        </is>
      </c>
      <c r="C13" s="11" t="inlineStr">
        <is>
          <t>1,899,560</t>
        </is>
      </c>
      <c r="D13" s="9" t="inlineStr"/>
    </row>
    <row r="14" ht="18" customHeight="1">
      <c r="A14" s="7" t="inlineStr">
        <is>
          <t>사용분 v+</t>
        </is>
      </c>
      <c r="B14" s="8" t="inlineStr">
        <is>
          <t>AD24</t>
        </is>
      </c>
      <c r="C14" s="8" t="inlineStr">
        <is>
          <t>53,900</t>
        </is>
      </c>
      <c r="D14" s="9" t="inlineStr"/>
    </row>
    <row r="16" ht="16" customHeight="1">
      <c r="A16" s="12" t="inlineStr">
        <is>
          <t>→ 다 적었으면 '✅정답_수식' 탭에서 대조하세요.</t>
        </is>
      </c>
    </row>
  </sheetData>
  <mergeCells count="3">
    <mergeCell ref="A1:D1"/>
    <mergeCell ref="A3:D3"/>
    <mergeCell ref="A16:D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8" customWidth="1" min="3" max="3"/>
    <col width="52" customWidth="1" min="4" max="4"/>
  </cols>
  <sheetData>
    <row r="1" ht="28" customHeight="1">
      <c r="A1" s="1" t="inlineStr">
        <is>
          <t>중도완납 정산</t>
        </is>
      </c>
    </row>
    <row r="3" ht="16" customHeight="1">
      <c r="A3" s="2" t="inlineStr">
        <is>
          <t>남은 구독료를 한 번에 완납. 케어·보증 제외 매출인식기준 + 선납 차감.</t>
        </is>
      </c>
    </row>
    <row r="5" ht="20" customHeight="1">
      <c r="A5" s="6" t="inlineStr">
        <is>
          <t>항목</t>
        </is>
      </c>
      <c r="B5" s="6" t="inlineStr">
        <is>
          <t>셀</t>
        </is>
      </c>
      <c r="C5" s="6" t="inlineStr">
        <is>
          <t>결과값(주어짐)</t>
        </is>
      </c>
      <c r="D5" s="6" t="inlineStr">
        <is>
          <t>✍️ 내가 쓸 엑셀 수식</t>
        </is>
      </c>
    </row>
    <row r="6" ht="18" customHeight="1">
      <c r="A6" s="7" t="inlineStr">
        <is>
          <t>경과일</t>
        </is>
      </c>
      <c r="B6" s="8" t="inlineStr">
        <is>
          <t>S24</t>
        </is>
      </c>
      <c r="C6" s="8" t="inlineStr">
        <is>
          <t>16</t>
        </is>
      </c>
      <c r="D6" s="9" t="inlineStr"/>
    </row>
    <row r="7" ht="18" customHeight="1">
      <c r="A7" s="10" t="inlineStr">
        <is>
          <t>미사용일(해지월)</t>
        </is>
      </c>
      <c r="B7" s="11" t="inlineStr">
        <is>
          <t>T24</t>
        </is>
      </c>
      <c r="C7" s="11" t="inlineStr">
        <is>
          <t>14</t>
        </is>
      </c>
      <c r="D7" s="9" t="inlineStr"/>
    </row>
    <row r="8" ht="18" customHeight="1">
      <c r="A8" s="7" t="inlineStr">
        <is>
          <t>미사용일(이후월)</t>
        </is>
      </c>
      <c r="B8" s="8" t="inlineStr">
        <is>
          <t>T25</t>
        </is>
      </c>
      <c r="C8" s="8" t="inlineStr">
        <is>
          <t>31</t>
        </is>
      </c>
      <c r="D8" s="9" t="inlineStr"/>
    </row>
    <row r="9" ht="18" customHeight="1">
      <c r="A9" s="10" t="inlineStr">
        <is>
          <t>① 중도완납금</t>
        </is>
      </c>
      <c r="B9" s="11" t="inlineStr">
        <is>
          <t>U24</t>
        </is>
      </c>
      <c r="C9" s="11" t="inlineStr">
        <is>
          <t>7,740,800</t>
        </is>
      </c>
      <c r="D9" s="9" t="inlineStr"/>
    </row>
    <row r="10" ht="18" customHeight="1">
      <c r="A10" s="7" t="inlineStr">
        <is>
          <t>② 사용분 청구</t>
        </is>
      </c>
      <c r="B10" s="8" t="inlineStr">
        <is>
          <t>V24</t>
        </is>
      </c>
      <c r="C10" s="8" t="inlineStr">
        <is>
          <t>57,400</t>
        </is>
      </c>
      <c r="D10" s="9" t="inlineStr"/>
    </row>
    <row r="11" ht="18" customHeight="1">
      <c r="A11" s="10" t="inlineStr">
        <is>
          <t>③ 선납액 차감</t>
        </is>
      </c>
      <c r="B11" s="11" t="inlineStr">
        <is>
          <t>W24</t>
        </is>
      </c>
      <c r="C11" s="11" t="inlineStr">
        <is>
          <t>-2,590,900</t>
        </is>
      </c>
      <c r="D11" s="9" t="inlineStr"/>
    </row>
    <row r="13" ht="16" customHeight="1">
      <c r="A13" s="12" t="inlineStr">
        <is>
          <t>→ 다 적었으면 '✅정답_수식' 탭에서 대조하세요.</t>
        </is>
      </c>
    </row>
  </sheetData>
  <mergeCells count="3">
    <mergeCell ref="A1:D1"/>
    <mergeCell ref="A13:D13"/>
    <mergeCell ref="A3:D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8" customWidth="1" min="3" max="3"/>
    <col width="52" customWidth="1" min="4" max="4"/>
  </cols>
  <sheetData>
    <row r="1" ht="28" customHeight="1">
      <c r="A1" s="1" t="inlineStr">
        <is>
          <t>연체미납 강제해지</t>
        </is>
      </c>
    </row>
    <row r="3" ht="16" customHeight="1">
      <c r="A3" s="2" t="inlineStr">
        <is>
          <t>연체이자 가산(6%,365일할) → 3회 초과 강제해지. 위약금+밀린미납 정산.</t>
        </is>
      </c>
    </row>
    <row r="5" ht="20" customHeight="1">
      <c r="A5" s="6" t="inlineStr">
        <is>
          <t>항목</t>
        </is>
      </c>
      <c r="B5" s="6" t="inlineStr">
        <is>
          <t>셀</t>
        </is>
      </c>
      <c r="C5" s="6" t="inlineStr">
        <is>
          <t>결과값(주어짐)</t>
        </is>
      </c>
      <c r="D5" s="6" t="inlineStr">
        <is>
          <t>✍️ 내가 쓸 엑셀 수식</t>
        </is>
      </c>
    </row>
    <row r="6" ht="18" customHeight="1">
      <c r="A6" s="7" t="inlineStr">
        <is>
          <t>연체 1회 가산이자</t>
        </is>
      </c>
      <c r="B6" s="8" t="inlineStr">
        <is>
          <t>U21</t>
        </is>
      </c>
      <c r="C6" s="8" t="inlineStr">
        <is>
          <t>580</t>
        </is>
      </c>
      <c r="D6" s="9" t="inlineStr"/>
    </row>
    <row r="7" ht="18" customHeight="1">
      <c r="A7" s="10" t="inlineStr">
        <is>
          <t>누적 연체이자</t>
        </is>
      </c>
      <c r="B7" s="11" t="inlineStr">
        <is>
          <t>T22</t>
        </is>
      </c>
      <c r="C7" s="11" t="inlineStr">
        <is>
          <t>1,640</t>
        </is>
      </c>
      <c r="D7" s="9" t="inlineStr"/>
    </row>
    <row r="8" ht="18" customHeight="1">
      <c r="A8" s="7" t="inlineStr">
        <is>
          <t>연체 누적 청구</t>
        </is>
      </c>
      <c r="B8" s="8" t="inlineStr">
        <is>
          <t>R22</t>
        </is>
      </c>
      <c r="C8" s="8" t="inlineStr">
        <is>
          <t>109,340</t>
        </is>
      </c>
      <c r="D8" s="9" t="inlineStr"/>
    </row>
    <row r="9" ht="18" customHeight="1">
      <c r="A9" s="10" t="inlineStr">
        <is>
          <t>계약중지일</t>
        </is>
      </c>
      <c r="B9" s="11" t="inlineStr">
        <is>
          <t>X24</t>
        </is>
      </c>
      <c r="C9" s="11" t="inlineStr">
        <is>
          <t>2027-04-17</t>
        </is>
      </c>
      <c r="D9" s="9" t="inlineStr"/>
    </row>
    <row r="10" ht="18" customHeight="1">
      <c r="A10" s="7" t="inlineStr">
        <is>
          <t>① 위약금</t>
        </is>
      </c>
      <c r="B10" s="8" t="inlineStr">
        <is>
          <t>Z24</t>
        </is>
      </c>
      <c r="C10" s="8" t="inlineStr">
        <is>
          <t>1,899,560</t>
        </is>
      </c>
      <c r="D10" s="9" t="inlineStr"/>
    </row>
    <row r="11" ht="18" customHeight="1">
      <c r="A11" s="10" t="inlineStr">
        <is>
          <t>② 사용분(밀린것 합산)</t>
        </is>
      </c>
      <c r="B11" s="11" t="inlineStr">
        <is>
          <t>AA24</t>
        </is>
      </c>
      <c r="C11" s="11" t="inlineStr">
        <is>
          <t>488,200</t>
        </is>
      </c>
      <c r="D11" s="9" t="inlineStr"/>
    </row>
    <row r="12" ht="18" customHeight="1">
      <c r="A12" s="7" t="inlineStr">
        <is>
          <t>③ 할인금 회수</t>
        </is>
      </c>
      <c r="B12" s="8" t="inlineStr">
        <is>
          <t>AB24</t>
        </is>
      </c>
      <c r="C12" s="8" t="inlineStr">
        <is>
          <t>126,200</t>
        </is>
      </c>
      <c r="D12" s="9" t="inlineStr"/>
    </row>
    <row r="13" ht="18" customHeight="1">
      <c r="A13" s="10" t="inlineStr">
        <is>
          <t>④ 연체이자</t>
        </is>
      </c>
      <c r="B13" s="11" t="inlineStr">
        <is>
          <t>AC24</t>
        </is>
      </c>
      <c r="C13" s="11" t="inlineStr">
        <is>
          <t>3,430</t>
        </is>
      </c>
      <c r="D13" s="9" t="inlineStr"/>
    </row>
    <row r="14" ht="18" customHeight="1">
      <c r="A14" s="7" t="inlineStr">
        <is>
          <t>⑤ 선납잔액 환불</t>
        </is>
      </c>
      <c r="B14" s="8" t="inlineStr">
        <is>
          <t>AD24</t>
        </is>
      </c>
      <c r="C14" s="8" t="inlineStr">
        <is>
          <t>-2,590,900</t>
        </is>
      </c>
      <c r="D14" s="9" t="inlineStr"/>
    </row>
    <row r="15" ht="18" customHeight="1">
      <c r="A15" s="10" t="inlineStr">
        <is>
          <t>⑥ 등록비</t>
        </is>
      </c>
      <c r="B15" s="11" t="inlineStr">
        <is>
          <t>AE24</t>
        </is>
      </c>
      <c r="C15" s="11" t="inlineStr">
        <is>
          <t>24,100</t>
        </is>
      </c>
      <c r="D15" s="9" t="inlineStr"/>
    </row>
    <row r="17" ht="16" customHeight="1">
      <c r="A17" s="12" t="inlineStr">
        <is>
          <t>→ 다 적었으면 '✅정답_수식' 탭에서 대조하세요.</t>
        </is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8" customWidth="1" min="3" max="3"/>
    <col width="52" customWidth="1" min="4" max="4"/>
  </cols>
  <sheetData>
    <row r="1" ht="28" customHeight="1">
      <c r="A1" s="1" t="inlineStr">
        <is>
          <t>할인원복 (결합 깨짐, 익익월)</t>
        </is>
      </c>
    </row>
    <row r="3" ht="16" customHeight="1">
      <c r="A3" s="2" t="inlineStr">
        <is>
          <t>묶음 중 해지로 결합 조건 깨짐 → 다품목할인 회수 + 익익월(21회차)부터 정상가.</t>
        </is>
      </c>
    </row>
    <row r="5" ht="20" customHeight="1">
      <c r="A5" s="6" t="inlineStr">
        <is>
          <t>항목</t>
        </is>
      </c>
      <c r="B5" s="6" t="inlineStr">
        <is>
          <t>셀</t>
        </is>
      </c>
      <c r="C5" s="6" t="inlineStr">
        <is>
          <t>결과값(주어짐)</t>
        </is>
      </c>
      <c r="D5" s="6" t="inlineStr">
        <is>
          <t>✍️ 내가 쓸 엑셀 수식</t>
        </is>
      </c>
    </row>
    <row r="6" ht="18" customHeight="1">
      <c r="A6" s="7" t="inlineStr">
        <is>
          <t>경과일</t>
        </is>
      </c>
      <c r="B6" s="8" t="inlineStr">
        <is>
          <t>AA5</t>
        </is>
      </c>
      <c r="C6" s="8" t="inlineStr">
        <is>
          <t>19</t>
        </is>
      </c>
      <c r="D6" s="9" t="inlineStr"/>
    </row>
    <row r="7" ht="18" customHeight="1">
      <c r="A7" s="10" t="inlineStr">
        <is>
          <t>원복 후 월구독료</t>
        </is>
      </c>
      <c r="B7" s="11" t="inlineStr">
        <is>
          <t>V25</t>
        </is>
      </c>
      <c r="C7" s="11" t="inlineStr">
        <is>
          <t>107,700</t>
        </is>
      </c>
      <c r="D7" s="9" t="inlineStr"/>
    </row>
    <row r="8" ht="18" customHeight="1">
      <c r="A8" s="7" t="inlineStr">
        <is>
          <t>원복 후 제품</t>
        </is>
      </c>
      <c r="B8" s="8" t="inlineStr">
        <is>
          <t>W25</t>
        </is>
      </c>
      <c r="C8" s="8" t="inlineStr">
        <is>
          <t>90,800</t>
        </is>
      </c>
      <c r="D8" s="9" t="inlineStr"/>
    </row>
    <row r="9" ht="18" customHeight="1">
      <c r="A9" s="10" t="inlineStr">
        <is>
          <t>사용분(결합적용분)</t>
        </is>
      </c>
      <c r="B9" s="11" t="inlineStr">
        <is>
          <t>AB24</t>
        </is>
      </c>
      <c r="C9" s="11" t="inlineStr">
        <is>
          <t>99,500</t>
        </is>
      </c>
      <c r="D9" s="9" t="inlineStr"/>
    </row>
    <row r="10" ht="18" customHeight="1">
      <c r="A10" s="7" t="inlineStr">
        <is>
          <t>할인금 회수</t>
        </is>
      </c>
      <c r="B10" s="8" t="inlineStr">
        <is>
          <t>AC24</t>
        </is>
      </c>
      <c r="C10" s="8" t="inlineStr">
        <is>
          <t>(경과비율×다품목할인)</t>
        </is>
      </c>
      <c r="D10" s="9" t="inlineStr"/>
    </row>
    <row r="12" ht="16" customHeight="1">
      <c r="A12" s="12" t="inlineStr">
        <is>
          <t>→ 다 적었으면 '✅정답_수식' 탭에서 대조하세요.</t>
        </is>
      </c>
    </row>
  </sheetData>
  <mergeCells count="3">
    <mergeCell ref="A1:D1"/>
    <mergeCell ref="A12:D12"/>
    <mergeCell ref="A3:D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8" customWidth="1" min="3" max="3"/>
    <col width="52" customWidth="1" min="4" max="4"/>
  </cols>
  <sheetData>
    <row r="1" ht="28" customHeight="1">
      <c r="A1" s="1" t="inlineStr">
        <is>
          <t>AS 미사용 기간 보상</t>
        </is>
      </c>
    </row>
    <row r="3" ht="16" customHeight="1">
      <c r="A3" s="2" t="inlineStr">
        <is>
          <t>AS 미제공 기간만큼 고객에게 보상금 환급. 기본구독료 기준, ROUNDUP(고객 유리).</t>
        </is>
      </c>
    </row>
    <row r="5" ht="20" customHeight="1">
      <c r="A5" s="6" t="inlineStr">
        <is>
          <t>항목</t>
        </is>
      </c>
      <c r="B5" s="6" t="inlineStr">
        <is>
          <t>셀</t>
        </is>
      </c>
      <c r="C5" s="6" t="inlineStr">
        <is>
          <t>결과값(주어짐)</t>
        </is>
      </c>
      <c r="D5" s="6" t="inlineStr">
        <is>
          <t>✍️ 내가 쓸 엑셀 수식</t>
        </is>
      </c>
    </row>
    <row r="6" ht="18" customHeight="1">
      <c r="A6" s="7" t="inlineStr">
        <is>
          <t>AS 경과일</t>
        </is>
      </c>
      <c r="B6" s="8" t="inlineStr">
        <is>
          <t>S23</t>
        </is>
      </c>
      <c r="C6" s="8" t="inlineStr">
        <is>
          <t>30</t>
        </is>
      </c>
      <c r="D6" s="9" t="inlineStr"/>
    </row>
    <row r="7" ht="18" customHeight="1">
      <c r="A7" s="10" t="inlineStr">
        <is>
          <t>미사용기간분</t>
        </is>
      </c>
      <c r="B7" s="11" t="inlineStr">
        <is>
          <t>T23</t>
        </is>
      </c>
      <c r="C7" s="11" t="inlineStr">
        <is>
          <t>158,100</t>
        </is>
      </c>
      <c r="D7" s="9" t="inlineStr"/>
    </row>
    <row r="8" ht="18" customHeight="1">
      <c r="A8" s="7" t="inlineStr">
        <is>
          <t>최종 보상금</t>
        </is>
      </c>
      <c r="B8" s="8" t="inlineStr">
        <is>
          <t>V23</t>
        </is>
      </c>
      <c r="C8" s="8" t="inlineStr">
        <is>
          <t>158,100</t>
        </is>
      </c>
      <c r="D8" s="9" t="inlineStr"/>
    </row>
    <row r="9" ht="18" customHeight="1">
      <c r="A9" s="10" t="inlineStr">
        <is>
          <t>누적 보상</t>
        </is>
      </c>
      <c r="B9" s="11" t="inlineStr">
        <is>
          <t>W23</t>
        </is>
      </c>
      <c r="C9" s="11" t="inlineStr">
        <is>
          <t>185,400</t>
        </is>
      </c>
      <c r="D9" s="9" t="inlineStr"/>
    </row>
    <row r="10" ht="18" customHeight="1">
      <c r="A10" s="7" t="inlineStr">
        <is>
          <t>검증(총액기준)</t>
        </is>
      </c>
      <c r="B10" s="8" t="inlineStr">
        <is>
          <t>X23</t>
        </is>
      </c>
      <c r="C10" s="8" t="inlineStr">
        <is>
          <t>187,900</t>
        </is>
      </c>
      <c r="D10" s="9" t="inlineStr"/>
    </row>
    <row r="12" ht="16" customHeight="1">
      <c r="A12" s="12" t="inlineStr">
        <is>
          <t>→ 다 적었으면 '✅정답_수식' 탭에서 대조하세요.</t>
        </is>
      </c>
    </row>
  </sheetData>
  <mergeCells count="3">
    <mergeCell ref="A1:D1"/>
    <mergeCell ref="A12:D12"/>
    <mergeCell ref="A3:D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4" customWidth="1" min="2" max="2"/>
    <col width="28" customWidth="1" min="3" max="3"/>
  </cols>
  <sheetData>
    <row r="1" ht="28" customHeight="1">
      <c r="A1" s="1" t="inlineStr">
        <is>
          <t>시나리오 문제 — 직접 풀어보기</t>
        </is>
      </c>
    </row>
    <row r="3" ht="16" customHeight="1">
      <c r="A3" s="2" t="inlineStr">
        <is>
          <t>아래 상황에서 고객이 '내야 할 것'과 '돌려받을 것'을 계산하세요. 답은 '✅정답_숫자' 탭.</t>
        </is>
      </c>
    </row>
    <row r="4" ht="46" customHeight="1">
      <c r="A4" s="13" t="inlineStr">
        <is>
          <t>Q1</t>
        </is>
      </c>
      <c r="B4" s="14" t="inlineStr">
        <is>
          <t>선납30%+선납할인+단품+결합 전체할인 고객이 20회차(약1년8개월)에 중도해지. 위약금·사용분·할인회수·선납환불·등록비와 순부담은?</t>
        </is>
      </c>
      <c r="C4" s="8" t="inlineStr">
        <is>
          <t>→ ✅정답_숫자 Q1</t>
        </is>
      </c>
    </row>
    <row r="5" ht="46" customHeight="1">
      <c r="A5" s="13" t="inlineStr">
        <is>
          <t>Q2</t>
        </is>
      </c>
      <c r="B5" s="14" t="inlineStr">
        <is>
          <t>★선납할인+다품목(결합)만 받은 고객이 37개월차에 중도해지. 5종 정산과 순부담은?</t>
        </is>
      </c>
      <c r="C5" s="8" t="inlineStr">
        <is>
          <t>→ ✅정답_숫자 Q2</t>
        </is>
      </c>
    </row>
    <row r="6" ht="46" customHeight="1">
      <c r="A6" s="13" t="inlineStr">
        <is>
          <t>Q3</t>
        </is>
      </c>
      <c r="B6" s="14" t="inlineStr">
        <is>
          <t>전체할인 고객이 12회차(딱 1년)에 중도해지하면? (해지 빠를수록 선납환불↑, 할인회수↓)</t>
        </is>
      </c>
      <c r="C6" s="8" t="inlineStr">
        <is>
          <t>→ ✅정답_숫자 Q3</t>
        </is>
      </c>
    </row>
    <row r="7" ht="46" customHeight="1">
      <c r="A7" s="13" t="inlineStr">
        <is>
          <t>Q4</t>
        </is>
      </c>
      <c r="B7" s="14" t="inlineStr">
        <is>
          <t>전체할인 고객이 60회차(5년, 거의 만기)에 중도해지하면? (위약금↓, 할인회수↑)</t>
        </is>
      </c>
      <c r="C7" s="8" t="inlineStr">
        <is>
          <t>→ ✅정답_숫자 Q4</t>
        </is>
      </c>
    </row>
    <row r="9" ht="16" customHeight="1">
      <c r="A9" s="5" t="inlineStr">
        <is>
          <t>힌트: 경과비율=Σ경과일/2191, 잔여비율=(2191−Σ)/2191. 위약금=총구독료v+×잔여×20%, 할인회수=할인×경과, 선납환불=−선납금×잔여.</t>
        </is>
      </c>
    </row>
  </sheetData>
  <mergeCells count="7">
    <mergeCell ref="A6"/>
    <mergeCell ref="A4"/>
    <mergeCell ref="A1:C1"/>
    <mergeCell ref="A7"/>
    <mergeCell ref="A9:C9"/>
    <mergeCell ref="A3:C3"/>
    <mergeCell ref="A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8" customWidth="1" min="3" max="3"/>
    <col width="52" customWidth="1" min="4" max="4"/>
  </cols>
  <sheetData>
    <row r="1" ht="28" customHeight="1">
      <c r="A1" s="1" t="inlineStr">
        <is>
          <t>정답 — 엑셀 수식</t>
        </is>
      </c>
    </row>
    <row r="3" ht="22" customHeight="1">
      <c r="A3" s="3" t="inlineStr">
        <is>
          <t>할인 6단계 (단품 5% 예시)</t>
        </is>
      </c>
    </row>
    <row r="4" ht="20" customHeight="1">
      <c r="A4" s="6" t="inlineStr">
        <is>
          <t>항목</t>
        </is>
      </c>
      <c r="B4" s="6" t="inlineStr">
        <is>
          <t>셀</t>
        </is>
      </c>
      <c r="C4" s="6" t="inlineStr">
        <is>
          <t>결과값(주어짐)</t>
        </is>
      </c>
      <c r="D4" s="6" t="inlineStr">
        <is>
          <t>✅ 정답 수식</t>
        </is>
      </c>
    </row>
    <row r="5" ht="18" customHeight="1">
      <c r="A5" s="7" t="inlineStr">
        <is>
          <t>①(계산용)할인금(V+)</t>
        </is>
      </c>
      <c r="B5" s="8" t="inlineStr">
        <is>
          <t>C37</t>
        </is>
      </c>
      <c r="C5" s="8" t="inlineStr">
        <is>
          <t>646,668</t>
        </is>
      </c>
      <c r="D5" s="15">
        <f>C16*5%</f>
        <v/>
      </c>
    </row>
    <row r="6" ht="18" customHeight="1">
      <c r="A6" s="10" t="inlineStr">
        <is>
          <t>②(계산용)할인금(V-)</t>
        </is>
      </c>
      <c r="B6" s="11" t="inlineStr">
        <is>
          <t>C38</t>
        </is>
      </c>
      <c r="C6" s="11" t="inlineStr">
        <is>
          <t>587,880</t>
        </is>
      </c>
      <c r="D6" s="16">
        <f>C37/1.1</f>
        <v/>
      </c>
    </row>
    <row r="7" ht="18" customHeight="1">
      <c r="A7" s="7" t="inlineStr">
        <is>
          <t>③(계산용)월할인금(V-)</t>
        </is>
      </c>
      <c r="B7" s="8" t="inlineStr">
        <is>
          <t>C39</t>
        </is>
      </c>
      <c r="C7" s="8" t="inlineStr">
        <is>
          <t>8,200</t>
        </is>
      </c>
      <c r="D7" s="15">
        <f>ROUND(C38/C7,-2)</f>
        <v/>
      </c>
    </row>
    <row r="8" ht="18" customHeight="1">
      <c r="A8" s="10" t="inlineStr">
        <is>
          <t>④(계산용)월할인금(V+)</t>
        </is>
      </c>
      <c r="B8" s="11" t="inlineStr">
        <is>
          <t>C40</t>
        </is>
      </c>
      <c r="C8" s="11" t="inlineStr">
        <is>
          <t>9,020</t>
        </is>
      </c>
      <c r="D8" s="16">
        <f>C39*1.1</f>
        <v/>
      </c>
    </row>
    <row r="9" ht="18" customHeight="1">
      <c r="A9" s="7" t="inlineStr">
        <is>
          <t>⑤(최종)할인금(V-)</t>
        </is>
      </c>
      <c r="B9" s="8" t="inlineStr">
        <is>
          <t>C41</t>
        </is>
      </c>
      <c r="C9" s="8" t="inlineStr">
        <is>
          <t>590,400</t>
        </is>
      </c>
      <c r="D9" s="15">
        <f>C39*C7</f>
        <v/>
      </c>
    </row>
    <row r="10" ht="18" customHeight="1">
      <c r="A10" s="10" t="inlineStr">
        <is>
          <t>⑥단품반영 월구독료(V-)</t>
        </is>
      </c>
      <c r="B10" s="11" t="inlineStr">
        <is>
          <t>C43</t>
        </is>
      </c>
      <c r="C10" s="11" t="inlineStr">
        <is>
          <t>155,100</t>
        </is>
      </c>
      <c r="D10" s="16">
        <f>(C14-C41)/C7</f>
        <v/>
      </c>
    </row>
    <row r="12" ht="22" customHeight="1">
      <c r="A12" s="3" t="inlineStr">
        <is>
          <t>정상만기 청구표</t>
        </is>
      </c>
    </row>
    <row r="13" ht="20" customHeight="1">
      <c r="A13" s="6" t="inlineStr">
        <is>
          <t>항목</t>
        </is>
      </c>
      <c r="B13" s="6" t="inlineStr">
        <is>
          <t>셀</t>
        </is>
      </c>
      <c r="C13" s="6" t="inlineStr">
        <is>
          <t>결과값(주어짐)</t>
        </is>
      </c>
      <c r="D13" s="6" t="inlineStr">
        <is>
          <t>✅ 정답 수식</t>
        </is>
      </c>
    </row>
    <row r="14" ht="18" customHeight="1">
      <c r="A14" s="7" t="inlineStr">
        <is>
          <t>청구일(첫달)</t>
        </is>
      </c>
      <c r="B14" s="8" t="inlineStr">
        <is>
          <t>I5</t>
        </is>
      </c>
      <c r="C14" s="8" t="inlineStr">
        <is>
          <t>2025-10-15</t>
        </is>
      </c>
      <c r="D14" s="15">
        <f>EOMONTH(G5,0)+15</f>
        <v/>
      </c>
    </row>
    <row r="15" ht="18" customHeight="1">
      <c r="A15" s="10" t="inlineStr">
        <is>
          <t>다음 청구일</t>
        </is>
      </c>
      <c r="B15" s="11" t="inlineStr">
        <is>
          <t>I6</t>
        </is>
      </c>
      <c r="C15" s="11" t="inlineStr">
        <is>
          <t>2025-11-15</t>
        </is>
      </c>
      <c r="D15" s="16">
        <f>EDATE(I5,1)</f>
        <v/>
      </c>
    </row>
    <row r="16" ht="18" customHeight="1">
      <c r="A16" s="7" t="inlineStr">
        <is>
          <t>1회차 구독료(일할)</t>
        </is>
      </c>
      <c r="B16" s="8" t="inlineStr">
        <is>
          <t>J5</t>
        </is>
      </c>
      <c r="C16" s="8" t="inlineStr">
        <is>
          <t>103,400</t>
        </is>
      </c>
      <c r="D16" s="15">
        <f>ROUNDDOWN((C14/C7)*(H5-G5+1)/DAY(H5),-2)</f>
        <v/>
      </c>
    </row>
    <row r="17" ht="18" customHeight="1">
      <c r="A17" s="10" t="inlineStr">
        <is>
          <t>2회차~ 구독료</t>
        </is>
      </c>
      <c r="B17" s="11" t="inlineStr">
        <is>
          <t>J6</t>
        </is>
      </c>
      <c r="C17" s="11" t="inlineStr">
        <is>
          <t>163,300</t>
        </is>
      </c>
      <c r="D17" s="16">
        <f>$C$15</f>
        <v/>
      </c>
    </row>
    <row r="18" ht="18" customHeight="1">
      <c r="A18" s="7" t="inlineStr">
        <is>
          <t>제품(차액)</t>
        </is>
      </c>
      <c r="B18" s="8" t="inlineStr">
        <is>
          <t>K6</t>
        </is>
      </c>
      <c r="C18" s="8" t="inlineStr">
        <is>
          <t>146,400</t>
        </is>
      </c>
      <c r="D18" s="15">
        <f>$C$13/$C$7</f>
        <v/>
      </c>
    </row>
    <row r="19" ht="18" customHeight="1">
      <c r="A19" s="10" t="inlineStr">
        <is>
          <t>케어</t>
        </is>
      </c>
      <c r="B19" s="11" t="inlineStr">
        <is>
          <t>L6</t>
        </is>
      </c>
      <c r="C19" s="11" t="inlineStr">
        <is>
          <t>15,100</t>
        </is>
      </c>
      <c r="D19" s="16">
        <f>$C$11/$C$7</f>
        <v/>
      </c>
    </row>
    <row r="20" ht="18" customHeight="1">
      <c r="A20" s="7" t="inlineStr">
        <is>
          <t>보증</t>
        </is>
      </c>
      <c r="B20" s="8" t="inlineStr">
        <is>
          <t>M6</t>
        </is>
      </c>
      <c r="C20" s="8" t="inlineStr">
        <is>
          <t>1,800</t>
        </is>
      </c>
      <c r="D20" s="15">
        <f>$C$12/$C$7</f>
        <v/>
      </c>
    </row>
    <row r="21" ht="18" customHeight="1">
      <c r="A21" s="10" t="inlineStr">
        <is>
          <t>1회차 제품(차액금)</t>
        </is>
      </c>
      <c r="B21" s="11" t="inlineStr">
        <is>
          <t>K5</t>
        </is>
      </c>
      <c r="C21" s="11" t="inlineStr">
        <is>
          <t>92,800</t>
        </is>
      </c>
      <c r="D21" s="16">
        <f>J5-L5-M5</f>
        <v/>
      </c>
    </row>
    <row r="23" ht="22" customHeight="1">
      <c r="A23" s="3" t="inlineStr">
        <is>
          <t>중도해지 정산 5종</t>
        </is>
      </c>
    </row>
    <row r="24" ht="20" customHeight="1">
      <c r="A24" s="6" t="inlineStr">
        <is>
          <t>항목</t>
        </is>
      </c>
      <c r="B24" s="6" t="inlineStr">
        <is>
          <t>셀</t>
        </is>
      </c>
      <c r="C24" s="6" t="inlineStr">
        <is>
          <t>결과값(주어짐)</t>
        </is>
      </c>
      <c r="D24" s="6" t="inlineStr">
        <is>
          <t>✅ 정답 수식</t>
        </is>
      </c>
    </row>
    <row r="25" ht="18" customHeight="1">
      <c r="A25" s="7" t="inlineStr">
        <is>
          <t>경과일(매행)</t>
        </is>
      </c>
      <c r="B25" s="8" t="inlineStr">
        <is>
          <t>W6</t>
        </is>
      </c>
      <c r="C25" s="8" t="inlineStr">
        <is>
          <t>31</t>
        </is>
      </c>
      <c r="D25" s="15">
        <f>H6-G6+1</f>
        <v/>
      </c>
    </row>
    <row r="26" ht="18" customHeight="1">
      <c r="A26" s="10" t="inlineStr">
        <is>
          <t>경과일(해지월)</t>
        </is>
      </c>
      <c r="B26" s="11" t="inlineStr">
        <is>
          <t>W24</t>
        </is>
      </c>
      <c r="C26" s="11" t="inlineStr">
        <is>
          <t>16</t>
        </is>
      </c>
      <c r="D26" s="16">
        <f>V24-G24</f>
        <v/>
      </c>
    </row>
    <row r="27" ht="18" customHeight="1">
      <c r="A27" s="7" t="inlineStr">
        <is>
          <t>① 위약금</t>
        </is>
      </c>
      <c r="B27" s="8" t="inlineStr">
        <is>
          <t>X24</t>
        </is>
      </c>
      <c r="C27" s="8" t="inlineStr">
        <is>
          <t>1,899,560</t>
        </is>
      </c>
      <c r="D27" s="15">
        <f>ROUNDDOWN(C16*(C8-SUM(W5:W24))/C8*20%,-1)</f>
        <v/>
      </c>
    </row>
    <row r="28" ht="18" customHeight="1">
      <c r="A28" s="10" t="inlineStr">
        <is>
          <t>② 사용분 청구</t>
        </is>
      </c>
      <c r="B28" s="11" t="inlineStr">
        <is>
          <t>Y24</t>
        </is>
      </c>
      <c r="C28" s="11" t="inlineStr">
        <is>
          <t>49,000</t>
        </is>
      </c>
      <c r="D28" s="16">
        <f>ROUNDDOWN(R24*W24/DAY(H24),-2)</f>
        <v/>
      </c>
    </row>
    <row r="29" ht="18" customHeight="1">
      <c r="A29" s="7" t="inlineStr">
        <is>
          <t>③ 할인금 회수</t>
        </is>
      </c>
      <c r="B29" s="8" t="inlineStr">
        <is>
          <t>Z24</t>
        </is>
      </c>
      <c r="C29" s="8" t="inlineStr">
        <is>
          <t>426,400</t>
        </is>
      </c>
      <c r="D29" s="15">
        <f>ROUNDDOWN(C31*SUM(W5:W24)/C8,-2)+ROUNDDOWN(C51*SUM(W5:W24)/C8,-2)+ROUNDDOWN(C41*SUM(W5:W24)/C8,-2)</f>
        <v/>
      </c>
    </row>
    <row r="30" ht="18" customHeight="1">
      <c r="A30" s="10" t="inlineStr">
        <is>
          <t>④ 선납잔액 환불</t>
        </is>
      </c>
      <c r="B30" s="11" t="inlineStr">
        <is>
          <t>AA24</t>
        </is>
      </c>
      <c r="C30" s="11" t="inlineStr">
        <is>
          <t>-2,590,900</t>
        </is>
      </c>
      <c r="D30" s="16">
        <f>-ROUNDUP(C22*(C8-SUM(W5:W24))/C8,-2)</f>
        <v/>
      </c>
    </row>
    <row r="31" ht="18" customHeight="1">
      <c r="A31" s="7" t="inlineStr">
        <is>
          <t>⑤ 등록비 청구</t>
        </is>
      </c>
      <c r="B31" s="8" t="inlineStr">
        <is>
          <t>AB24</t>
        </is>
      </c>
      <c r="C31" s="8" t="inlineStr">
        <is>
          <t>24,100</t>
        </is>
      </c>
      <c r="D31" s="15">
        <f>ROUNDDOWN(100000/1.1*SUM(W5:W24)/C8,-2)</f>
        <v/>
      </c>
    </row>
    <row r="32" ht="18" customHeight="1">
      <c r="A32" s="10" t="inlineStr">
        <is>
          <t>위약금 v+(비과세)</t>
        </is>
      </c>
      <c r="B32" s="11" t="inlineStr">
        <is>
          <t>AC24</t>
        </is>
      </c>
      <c r="C32" s="11" t="inlineStr">
        <is>
          <t>1,899,560</t>
        </is>
      </c>
      <c r="D32" s="16">
        <f>X24</f>
        <v/>
      </c>
    </row>
    <row r="33" ht="18" customHeight="1">
      <c r="A33" s="7" t="inlineStr">
        <is>
          <t>사용분 v+</t>
        </is>
      </c>
      <c r="B33" s="8" t="inlineStr">
        <is>
          <t>AD24</t>
        </is>
      </c>
      <c r="C33" s="8" t="inlineStr">
        <is>
          <t>53,900</t>
        </is>
      </c>
      <c r="D33" s="15">
        <f>Y24*1.1</f>
        <v/>
      </c>
    </row>
    <row r="35" ht="22" customHeight="1">
      <c r="A35" s="3" t="inlineStr">
        <is>
          <t>중도완납 정산</t>
        </is>
      </c>
    </row>
    <row r="36" ht="20" customHeight="1">
      <c r="A36" s="6" t="inlineStr">
        <is>
          <t>항목</t>
        </is>
      </c>
      <c r="B36" s="6" t="inlineStr">
        <is>
          <t>셀</t>
        </is>
      </c>
      <c r="C36" s="6" t="inlineStr">
        <is>
          <t>결과값(주어짐)</t>
        </is>
      </c>
      <c r="D36" s="6" t="inlineStr">
        <is>
          <t>✅ 정답 수식</t>
        </is>
      </c>
    </row>
    <row r="37" ht="18" customHeight="1">
      <c r="A37" s="7" t="inlineStr">
        <is>
          <t>경과일</t>
        </is>
      </c>
      <c r="B37" s="8" t="inlineStr">
        <is>
          <t>S24</t>
        </is>
      </c>
      <c r="C37" s="8" t="inlineStr">
        <is>
          <t>16</t>
        </is>
      </c>
      <c r="D37" s="15">
        <f>R24-G24</f>
        <v/>
      </c>
    </row>
    <row r="38" ht="18" customHeight="1">
      <c r="A38" s="10" t="inlineStr">
        <is>
          <t>미사용일(해지월)</t>
        </is>
      </c>
      <c r="B38" s="11" t="inlineStr">
        <is>
          <t>T24</t>
        </is>
      </c>
      <c r="C38" s="11" t="inlineStr">
        <is>
          <t>14</t>
        </is>
      </c>
      <c r="D38" s="16">
        <f>(H24-G24+1)-S24</f>
        <v/>
      </c>
    </row>
    <row r="39" ht="18" customHeight="1">
      <c r="A39" s="7" t="inlineStr">
        <is>
          <t>미사용일(이후월)</t>
        </is>
      </c>
      <c r="B39" s="8" t="inlineStr">
        <is>
          <t>T25</t>
        </is>
      </c>
      <c r="C39" s="8" t="inlineStr">
        <is>
          <t>31</t>
        </is>
      </c>
      <c r="D39" s="15">
        <f>H25-G25+1</f>
        <v/>
      </c>
    </row>
    <row r="40" ht="18" customHeight="1">
      <c r="A40" s="10" t="inlineStr">
        <is>
          <t>① 중도완납금</t>
        </is>
      </c>
      <c r="B40" s="11" t="inlineStr">
        <is>
          <t>U24</t>
        </is>
      </c>
      <c r="C40" s="11" t="inlineStr">
        <is>
          <t>7,740,800</t>
        </is>
      </c>
      <c r="D40" s="16">
        <f>ROUNDDOWN($C$13*(SUM(T24:T77)/$C$8),-2)</f>
        <v/>
      </c>
    </row>
    <row r="41" ht="18" customHeight="1">
      <c r="A41" s="7" t="inlineStr">
        <is>
          <t>② 사용분 청구</t>
        </is>
      </c>
      <c r="B41" s="8" t="inlineStr">
        <is>
          <t>V24</t>
        </is>
      </c>
      <c r="C41" s="8" t="inlineStr">
        <is>
          <t>57,400</t>
        </is>
      </c>
      <c r="D41" s="15">
        <f>ROUNDDOWN(N24*S24/DAY(H24),-2)</f>
        <v/>
      </c>
    </row>
    <row r="42" ht="18" customHeight="1">
      <c r="A42" s="10" t="inlineStr">
        <is>
          <t>③ 선납액 차감</t>
        </is>
      </c>
      <c r="B42" s="11" t="inlineStr">
        <is>
          <t>W24</t>
        </is>
      </c>
      <c r="C42" s="11" t="inlineStr">
        <is>
          <t>-2,590,900</t>
        </is>
      </c>
      <c r="D42" s="16">
        <f>-ROUNDUP(C26*(C8-SUM(S5:S24))/C8,-2)</f>
        <v/>
      </c>
    </row>
    <row r="44" ht="22" customHeight="1">
      <c r="A44" s="3" t="inlineStr">
        <is>
          <t>연체미납 강제해지</t>
        </is>
      </c>
    </row>
    <row r="45" ht="20" customHeight="1">
      <c r="A45" s="6" t="inlineStr">
        <is>
          <t>항목</t>
        </is>
      </c>
      <c r="B45" s="6" t="inlineStr">
        <is>
          <t>셀</t>
        </is>
      </c>
      <c r="C45" s="6" t="inlineStr">
        <is>
          <t>결과값(주어짐)</t>
        </is>
      </c>
      <c r="D45" s="6" t="inlineStr">
        <is>
          <t>✅ 정답 수식</t>
        </is>
      </c>
    </row>
    <row r="46" ht="18" customHeight="1">
      <c r="A46" s="7" t="inlineStr">
        <is>
          <t>연체 1회 가산이자</t>
        </is>
      </c>
      <c r="B46" s="8" t="inlineStr">
        <is>
          <t>U21</t>
        </is>
      </c>
      <c r="C46" s="8" t="inlineStr">
        <is>
          <t>580</t>
        </is>
      </c>
      <c r="D46" s="15">
        <f>ROUNDDOWN((N20*1.1)*6%*(I21-I20-1)/365,-1)</f>
        <v/>
      </c>
    </row>
    <row r="47" ht="18" customHeight="1">
      <c r="A47" s="10" t="inlineStr">
        <is>
          <t>누적 연체이자</t>
        </is>
      </c>
      <c r="B47" s="11" t="inlineStr">
        <is>
          <t>T22</t>
        </is>
      </c>
      <c r="C47" s="11" t="inlineStr">
        <is>
          <t>1,640</t>
        </is>
      </c>
      <c r="D47" s="16">
        <f>SUM(U22:W22)</f>
        <v/>
      </c>
    </row>
    <row r="48" ht="18" customHeight="1">
      <c r="A48" s="7" t="inlineStr">
        <is>
          <t>연체 누적 청구</t>
        </is>
      </c>
      <c r="B48" s="8" t="inlineStr">
        <is>
          <t>R22</t>
        </is>
      </c>
      <c r="C48" s="8" t="inlineStr">
        <is>
          <t>109,340</t>
        </is>
      </c>
      <c r="D48" s="15">
        <f>N22+T22</f>
        <v/>
      </c>
    </row>
    <row r="49" ht="18" customHeight="1">
      <c r="A49" s="10" t="inlineStr">
        <is>
          <t>계약중지일</t>
        </is>
      </c>
      <c r="B49" s="11" t="inlineStr">
        <is>
          <t>X24</t>
        </is>
      </c>
      <c r="C49" s="11" t="inlineStr">
        <is>
          <t>2027-04-17</t>
        </is>
      </c>
      <c r="D49" s="16">
        <f>I23+DAY(2)</f>
        <v/>
      </c>
    </row>
    <row r="50" ht="18" customHeight="1">
      <c r="A50" s="7" t="inlineStr">
        <is>
          <t>① 위약금</t>
        </is>
      </c>
      <c r="B50" s="8" t="inlineStr">
        <is>
          <t>Z24</t>
        </is>
      </c>
      <c r="C50" s="8" t="inlineStr">
        <is>
          <t>1,899,560</t>
        </is>
      </c>
      <c r="D50" s="15">
        <f>ROUNDDOWN(C16*(C8-SUM(Y5:Y24))/C8*20%,-1)</f>
        <v/>
      </c>
    </row>
    <row r="51" ht="18" customHeight="1">
      <c r="A51" s="10" t="inlineStr">
        <is>
          <t>② 사용분(밀린것 합산)</t>
        </is>
      </c>
      <c r="B51" s="11" t="inlineStr">
        <is>
          <t>AA24</t>
        </is>
      </c>
      <c r="C51" s="11" t="inlineStr">
        <is>
          <t>488,200</t>
        </is>
      </c>
      <c r="D51" s="16">
        <f>SUM(AA20:AA23)+ROUNDDOWN(N24*Y24/DAY(H24),-2)</f>
        <v/>
      </c>
    </row>
    <row r="52" ht="18" customHeight="1">
      <c r="A52" s="7" t="inlineStr">
        <is>
          <t>③ 할인금 회수</t>
        </is>
      </c>
      <c r="B52" s="8" t="inlineStr">
        <is>
          <t>AB24</t>
        </is>
      </c>
      <c r="C52" s="8" t="inlineStr">
        <is>
          <t>126,200</t>
        </is>
      </c>
      <c r="D52" s="15">
        <f>ROUNDDOWN(C30*SUM(Y5:Y24)/C8,-2)</f>
        <v/>
      </c>
    </row>
    <row r="53" ht="18" customHeight="1">
      <c r="A53" s="10" t="inlineStr">
        <is>
          <t>④ 연체이자</t>
        </is>
      </c>
      <c r="B53" s="11" t="inlineStr">
        <is>
          <t>AC24</t>
        </is>
      </c>
      <c r="C53" s="11" t="inlineStr">
        <is>
          <t>3,430</t>
        </is>
      </c>
      <c r="D53" s="16">
        <f>AC23</f>
        <v/>
      </c>
    </row>
    <row r="54" ht="18" customHeight="1">
      <c r="A54" s="7" t="inlineStr">
        <is>
          <t>⑤ 선납잔액 환불</t>
        </is>
      </c>
      <c r="B54" s="8" t="inlineStr">
        <is>
          <t>AD24</t>
        </is>
      </c>
      <c r="C54" s="8" t="inlineStr">
        <is>
          <t>-2,590,900</t>
        </is>
      </c>
      <c r="D54" s="15">
        <f>-ROUNDUP(C26*(C8-SUM(Y5:Y24))/C8,-2)</f>
        <v/>
      </c>
    </row>
    <row r="55" ht="18" customHeight="1">
      <c r="A55" s="10" t="inlineStr">
        <is>
          <t>⑥ 등록비</t>
        </is>
      </c>
      <c r="B55" s="11" t="inlineStr">
        <is>
          <t>AE24</t>
        </is>
      </c>
      <c r="C55" s="11" t="inlineStr">
        <is>
          <t>24,100</t>
        </is>
      </c>
      <c r="D55" s="16">
        <f>ROUNDDOWN(C40/1.1*SUM(Y5:Y24)/C8,-2)</f>
        <v/>
      </c>
    </row>
    <row r="57" ht="22" customHeight="1">
      <c r="A57" s="3" t="inlineStr">
        <is>
          <t>할인원복 (결합 깨짐, 익익월)</t>
        </is>
      </c>
    </row>
    <row r="58" ht="20" customHeight="1">
      <c r="A58" s="6" t="inlineStr">
        <is>
          <t>항목</t>
        </is>
      </c>
      <c r="B58" s="6" t="inlineStr">
        <is>
          <t>셀</t>
        </is>
      </c>
      <c r="C58" s="6" t="inlineStr">
        <is>
          <t>결과값(주어짐)</t>
        </is>
      </c>
      <c r="D58" s="6" t="inlineStr">
        <is>
          <t>✅ 정답 수식</t>
        </is>
      </c>
    </row>
    <row r="59" ht="18" customHeight="1">
      <c r="A59" s="7" t="inlineStr">
        <is>
          <t>경과일</t>
        </is>
      </c>
      <c r="B59" s="8" t="inlineStr">
        <is>
          <t>AA5</t>
        </is>
      </c>
      <c r="C59" s="8" t="inlineStr">
        <is>
          <t>19</t>
        </is>
      </c>
      <c r="D59" s="15">
        <f>H5-G5+1</f>
        <v/>
      </c>
    </row>
    <row r="60" ht="18" customHeight="1">
      <c r="A60" s="10" t="inlineStr">
        <is>
          <t>원복 후 월구독료</t>
        </is>
      </c>
      <c r="B60" s="11" t="inlineStr">
        <is>
          <t>V25</t>
        </is>
      </c>
      <c r="C60" s="11" t="inlineStr">
        <is>
          <t>107,700</t>
        </is>
      </c>
      <c r="D60" s="16">
        <f>N25</f>
        <v/>
      </c>
    </row>
    <row r="61" ht="18" customHeight="1">
      <c r="A61" s="7" t="inlineStr">
        <is>
          <t>원복 후 제품</t>
        </is>
      </c>
      <c r="B61" s="8" t="inlineStr">
        <is>
          <t>W25</t>
        </is>
      </c>
      <c r="C61" s="8" t="inlineStr">
        <is>
          <t>90,800</t>
        </is>
      </c>
      <c r="D61" s="15">
        <f>O25</f>
        <v/>
      </c>
    </row>
    <row r="62" ht="18" customHeight="1">
      <c r="A62" s="10" t="inlineStr">
        <is>
          <t>사용분(결합적용분)</t>
        </is>
      </c>
      <c r="B62" s="11" t="inlineStr">
        <is>
          <t>AB24</t>
        </is>
      </c>
      <c r="C62" s="11" t="inlineStr">
        <is>
          <t>99,500</t>
        </is>
      </c>
      <c r="D62" s="16">
        <f>R24</f>
        <v/>
      </c>
    </row>
    <row r="63" ht="18" customHeight="1">
      <c r="A63" s="7" t="inlineStr">
        <is>
          <t>할인금 회수</t>
        </is>
      </c>
      <c r="B63" s="8" t="inlineStr">
        <is>
          <t>AC24</t>
        </is>
      </c>
      <c r="C63" s="8" t="inlineStr">
        <is>
          <t>(경과비율×다품목할인)</t>
        </is>
      </c>
      <c r="D63" s="15">
        <f>ROUNDDOWN(결합할인*SUM(경과)/C8,-2)</f>
        <v/>
      </c>
    </row>
    <row r="65" ht="22" customHeight="1">
      <c r="A65" s="3" t="inlineStr">
        <is>
          <t>AS 미사용 기간 보상</t>
        </is>
      </c>
    </row>
    <row r="66" ht="20" customHeight="1">
      <c r="A66" s="6" t="inlineStr">
        <is>
          <t>항목</t>
        </is>
      </c>
      <c r="B66" s="6" t="inlineStr">
        <is>
          <t>셀</t>
        </is>
      </c>
      <c r="C66" s="6" t="inlineStr">
        <is>
          <t>결과값(주어짐)</t>
        </is>
      </c>
      <c r="D66" s="6" t="inlineStr">
        <is>
          <t>✅ 정답 수식</t>
        </is>
      </c>
    </row>
    <row r="67" ht="18" customHeight="1">
      <c r="A67" s="7" t="inlineStr">
        <is>
          <t>AS 경과일</t>
        </is>
      </c>
      <c r="B67" s="8" t="inlineStr">
        <is>
          <t>S23</t>
        </is>
      </c>
      <c r="C67" s="8" t="inlineStr">
        <is>
          <t>30</t>
        </is>
      </c>
      <c r="D67" s="15">
        <f>H23-R23+1</f>
        <v/>
      </c>
    </row>
    <row r="68" ht="18" customHeight="1">
      <c r="A68" s="10" t="inlineStr">
        <is>
          <t>미사용기간분</t>
        </is>
      </c>
      <c r="B68" s="11" t="inlineStr">
        <is>
          <t>T23</t>
        </is>
      </c>
      <c r="C68" s="11" t="inlineStr">
        <is>
          <t>158,100</t>
        </is>
      </c>
      <c r="D68" s="16">
        <f>ROUNDUP($J$23*S23/DAY(H23),-2)</f>
        <v/>
      </c>
    </row>
    <row r="69" ht="18" customHeight="1">
      <c r="A69" s="7" t="inlineStr">
        <is>
          <t>최종 보상금</t>
        </is>
      </c>
      <c r="B69" s="8" t="inlineStr">
        <is>
          <t>V23</t>
        </is>
      </c>
      <c r="C69" s="8" t="inlineStr">
        <is>
          <t>158,100</t>
        </is>
      </c>
      <c r="D69" s="15">
        <f>T23</f>
        <v/>
      </c>
    </row>
    <row r="70" ht="18" customHeight="1">
      <c r="A70" s="10" t="inlineStr">
        <is>
          <t>누적 보상</t>
        </is>
      </c>
      <c r="B70" s="11" t="inlineStr">
        <is>
          <t>W23</t>
        </is>
      </c>
      <c r="C70" s="11" t="inlineStr">
        <is>
          <t>185,400</t>
        </is>
      </c>
      <c r="D70" s="16">
        <f>SUM(T23:T24)</f>
        <v/>
      </c>
    </row>
    <row r="71" ht="18" customHeight="1">
      <c r="A71" s="7" t="inlineStr">
        <is>
          <t>검증(총액기준)</t>
        </is>
      </c>
      <c r="B71" s="8" t="inlineStr">
        <is>
          <t>X23</t>
        </is>
      </c>
      <c r="C71" s="8" t="inlineStr">
        <is>
          <t>187,900</t>
        </is>
      </c>
      <c r="D71" s="15">
        <f>ROUNDUP(C14*(S23+S24)/C8,-2)</f>
        <v/>
      </c>
    </row>
  </sheetData>
  <mergeCells count="8">
    <mergeCell ref="A1:D1"/>
    <mergeCell ref="A23:D23"/>
    <mergeCell ref="A12:D12"/>
    <mergeCell ref="A35:D35"/>
    <mergeCell ref="A3:D3"/>
    <mergeCell ref="A65:D65"/>
    <mergeCell ref="A57:D57"/>
    <mergeCell ref="A44:D4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정답 — 시나리오 숫자</t>
        </is>
      </c>
    </row>
    <row r="3" ht="22" customHeight="1">
      <c r="A3" s="3" t="inlineStr">
        <is>
          <t>Q1: 20회차 전체할인</t>
        </is>
      </c>
    </row>
    <row r="4">
      <c r="A4" s="6" t="inlineStr">
        <is>
          <t>항목</t>
        </is>
      </c>
      <c r="B4" s="6" t="inlineStr">
        <is>
          <t>위약금</t>
        </is>
      </c>
      <c r="C4" s="6" t="inlineStr">
        <is>
          <t>사용분</t>
        </is>
      </c>
      <c r="D4" s="6" t="inlineStr">
        <is>
          <t>할인회수</t>
        </is>
      </c>
      <c r="E4" s="6" t="inlineStr">
        <is>
          <t>선납환불</t>
        </is>
      </c>
      <c r="F4" s="6" t="inlineStr">
        <is>
          <t>등록비</t>
        </is>
      </c>
    </row>
    <row r="5">
      <c r="A5" s="8" t="inlineStr">
        <is>
          <t>금액(원)</t>
        </is>
      </c>
      <c r="B5" s="8" t="inlineStr">
        <is>
          <t>1,899,560</t>
        </is>
      </c>
      <c r="C5" s="8" t="inlineStr">
        <is>
          <t>49,000</t>
        </is>
      </c>
      <c r="D5" s="8" t="inlineStr">
        <is>
          <t>426,400</t>
        </is>
      </c>
      <c r="E5" s="8" t="inlineStr">
        <is>
          <t>-2,590,900</t>
        </is>
      </c>
      <c r="F5" s="8" t="inlineStr">
        <is>
          <t>24,100</t>
        </is>
      </c>
    </row>
    <row r="6" ht="18" customHeight="1">
      <c r="A6" s="17" t="inlineStr">
        <is>
          <t xml:space="preserve">   고객 순부담 = -191,840원  (양수=고객이 더 냄 / 음수=고객이 돌려받음)  · 반영월구독료 92,000 · Σ경과일 582일</t>
        </is>
      </c>
    </row>
    <row r="8" ht="22" customHeight="1">
      <c r="A8" s="3" t="inlineStr">
        <is>
          <t>Q2: 37회차 선납할인+다품목</t>
        </is>
      </c>
    </row>
    <row r="9">
      <c r="A9" s="6" t="inlineStr">
        <is>
          <t>항목</t>
        </is>
      </c>
      <c r="B9" s="6" t="inlineStr">
        <is>
          <t>위약금</t>
        </is>
      </c>
      <c r="C9" s="6" t="inlineStr">
        <is>
          <t>사용분</t>
        </is>
      </c>
      <c r="D9" s="6" t="inlineStr">
        <is>
          <t>할인회수</t>
        </is>
      </c>
      <c r="E9" s="6" t="inlineStr">
        <is>
          <t>선납환불</t>
        </is>
      </c>
      <c r="F9" s="6" t="inlineStr">
        <is>
          <t>등록비</t>
        </is>
      </c>
    </row>
    <row r="10">
      <c r="A10" s="8" t="inlineStr">
        <is>
          <t>금액(원)</t>
        </is>
      </c>
      <c r="B10" s="8" t="inlineStr">
        <is>
          <t>1,286,840</t>
        </is>
      </c>
      <c r="C10" s="8" t="inlineStr">
        <is>
          <t>53,400</t>
        </is>
      </c>
      <c r="D10" s="8" t="inlineStr">
        <is>
          <t>510,000</t>
        </is>
      </c>
      <c r="E10" s="8" t="inlineStr">
        <is>
          <t>-1,755,200</t>
        </is>
      </c>
      <c r="F10" s="8" t="inlineStr">
        <is>
          <t>45,600</t>
        </is>
      </c>
    </row>
    <row r="11" ht="18" customHeight="1">
      <c r="A11" s="17" t="inlineStr">
        <is>
          <t xml:space="preserve">   고객 순부담 = 140,640원  (양수=고객이 더 냄 / 음수=고객이 돌려받음)  · 반영월구독료 100,200 · Σ경과일 1101일</t>
        </is>
      </c>
    </row>
    <row r="13" ht="22" customHeight="1">
      <c r="A13" s="3" t="inlineStr">
        <is>
          <t>Q3: 12회차 전체할인</t>
        </is>
      </c>
    </row>
    <row r="14">
      <c r="A14" s="6" t="inlineStr">
        <is>
          <t>항목</t>
        </is>
      </c>
      <c r="B14" s="6" t="inlineStr">
        <is>
          <t>위약금</t>
        </is>
      </c>
      <c r="C14" s="6" t="inlineStr">
        <is>
          <t>사용분</t>
        </is>
      </c>
      <c r="D14" s="6" t="inlineStr">
        <is>
          <t>할인회수</t>
        </is>
      </c>
      <c r="E14" s="6" t="inlineStr">
        <is>
          <t>선납환불</t>
        </is>
      </c>
      <c r="F14" s="6" t="inlineStr">
        <is>
          <t>등록비</t>
        </is>
      </c>
    </row>
    <row r="15">
      <c r="A15" s="8" t="inlineStr">
        <is>
          <t>금액(원)</t>
        </is>
      </c>
      <c r="B15" s="8" t="inlineStr">
        <is>
          <t>2,186,450</t>
        </is>
      </c>
      <c r="C15" s="8" t="inlineStr">
        <is>
          <t>47,400</t>
        </is>
      </c>
      <c r="D15" s="8" t="inlineStr">
        <is>
          <t>248,300</t>
        </is>
      </c>
      <c r="E15" s="8" t="inlineStr">
        <is>
          <t>-2,982,200</t>
        </is>
      </c>
      <c r="F15" s="8" t="inlineStr">
        <is>
          <t>14,000</t>
        </is>
      </c>
    </row>
    <row r="16" ht="18" customHeight="1">
      <c r="A16" s="17" t="inlineStr">
        <is>
          <t xml:space="preserve">   고객 순부담 = -486,050원  (양수=고객이 더 냄 / 음수=고객이 돌려받음)  · 반영월구독료 92,000 · Σ경과일 339일</t>
        </is>
      </c>
    </row>
    <row r="18" ht="22" customHeight="1">
      <c r="A18" s="3" t="inlineStr">
        <is>
          <t>Q4: 60회차 전체할인</t>
        </is>
      </c>
    </row>
    <row r="19">
      <c r="A19" s="6" t="inlineStr">
        <is>
          <t>항목</t>
        </is>
      </c>
      <c r="B19" s="6" t="inlineStr">
        <is>
          <t>위약금</t>
        </is>
      </c>
      <c r="C19" s="6" t="inlineStr">
        <is>
          <t>사용분</t>
        </is>
      </c>
      <c r="D19" s="6" t="inlineStr">
        <is>
          <t>할인회수</t>
        </is>
      </c>
      <c r="E19" s="6" t="inlineStr">
        <is>
          <t>선납환불</t>
        </is>
      </c>
      <c r="F19" s="6" t="inlineStr">
        <is>
          <t>등록비</t>
        </is>
      </c>
    </row>
    <row r="20">
      <c r="A20" s="8" t="inlineStr">
        <is>
          <t>금액(원)</t>
        </is>
      </c>
      <c r="B20" s="8" t="inlineStr">
        <is>
          <t>461,610</t>
        </is>
      </c>
      <c r="C20" s="8" t="inlineStr">
        <is>
          <t>47,400</t>
        </is>
      </c>
      <c r="D20" s="8" t="inlineStr">
        <is>
          <t>1,318,900</t>
        </is>
      </c>
      <c r="E20" s="8" t="inlineStr">
        <is>
          <t>-629,600</t>
        </is>
      </c>
      <c r="F20" s="8" t="inlineStr">
        <is>
          <t>74,600</t>
        </is>
      </c>
    </row>
    <row r="21" ht="18" customHeight="1">
      <c r="A21" s="17" t="inlineStr">
        <is>
          <t xml:space="preserve">   고객 순부담 = 1,272,910원  (양수=고객이 더 냄 / 음수=고객이 돌려받음)  · 반영월구독료 92,000 · Σ경과일 1800일</t>
        </is>
      </c>
    </row>
  </sheetData>
  <mergeCells count="9">
    <mergeCell ref="A16:F16"/>
    <mergeCell ref="A11:F11"/>
    <mergeCell ref="A13:F13"/>
    <mergeCell ref="A1:F1"/>
    <mergeCell ref="A8:F8"/>
    <mergeCell ref="A6:F6"/>
    <mergeCell ref="A18:F18"/>
    <mergeCell ref="A3:F3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2026-06-13T18:25:20Z</dcterms:created>
  <dcterms:modified xsi:type="dcterms:W3CDTF">2026-06-13T18:25:20Z</dcterms:modified>
</cp:coreProperties>
</file>
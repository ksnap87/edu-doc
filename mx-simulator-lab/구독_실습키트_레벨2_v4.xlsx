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체강제해지 (CE)" sheetId="1" state="visible" r:id="rId1"/>
    <sheet name="연체강제해지 (MX)" sheetId="2" state="visible" r:id="rId2"/>
    <sheet name="AS보상 (CE vs MX)" sheetId="3" state="visible" r:id="rId3"/>
    <sheet name="할인원복 (익익월)" sheetId="4" state="visible" r:id="rId4"/>
    <sheet name="할인원복 상각표 (A해지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864"/>
      <sz val="10"/>
    </font>
    <font>
      <name val="맑은 고딕"/>
      <color rgb="00666666"/>
      <sz val="9"/>
    </font>
    <font>
      <name val="맑은 고딕"/>
      <b val="1"/>
      <color rgb="00FFFFFF"/>
      <sz val="9"/>
    </font>
    <font>
      <name val="Consolas"/>
      <color rgb="001F3864"/>
      <sz val="9"/>
    </font>
    <font>
      <name val="맑은 고딕"/>
      <b val="1"/>
      <color rgb="00C0392B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/>
      <right/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 style="thin">
        <color rgb="00C9D2E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3" fillId="6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7" borderId="1" pivotButton="0" quotePrefix="0" xfId="0"/>
    <xf numFmtId="3" fontId="4" fillId="8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4" fillId="7" borderId="1" pivotButton="0" quotePrefix="0" xfId="0"/>
    <xf numFmtId="3" fontId="8" fillId="7" borderId="1" applyAlignment="1" pivotButton="0" quotePrefix="0" xfId="0">
      <alignment horizontal="right" vertical="center"/>
    </xf>
    <xf numFmtId="0" fontId="5" fillId="0" borderId="0" pivotButton="0" quotePrefix="0" xfId="0"/>
    <xf numFmtId="10" fontId="3" fillId="4" borderId="0" applyAlignment="1" pivotButton="0" quotePrefix="0" xfId="0">
      <alignment horizontal="right" vertical="center"/>
    </xf>
    <xf numFmtId="0" fontId="0" fillId="0" borderId="4" pivotButton="0" quotePrefix="0" xfId="0"/>
    <xf numFmtId="166" fontId="4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(CE) — 날짜 입력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92000</v>
      </c>
    </row>
    <row r="5">
      <c r="A5" s="3" t="inlineStr">
        <is>
          <t>총구독료(v+)</t>
        </is>
      </c>
      <c r="B5" s="4" t="n">
        <v>12933360</v>
      </c>
    </row>
    <row r="6">
      <c r="A6" s="3" t="inlineStr">
        <is>
          <t>구독기간(일)</t>
        </is>
      </c>
      <c r="B6" s="4" t="n">
        <v>2191</v>
      </c>
    </row>
    <row r="7">
      <c r="A7" s="3" t="inlineStr">
        <is>
          <t>선납금(v−)</t>
        </is>
      </c>
      <c r="B7" s="4" t="n">
        <v>3528000</v>
      </c>
    </row>
    <row r="8">
      <c r="A8" s="3" t="inlineStr">
        <is>
          <t>선납할인+단품+결합(v−)</t>
        </is>
      </c>
      <c r="B8" s="4" t="n">
        <v>1605600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시나리오 (파란칸: 날짜 + 연체)</t>
        </is>
      </c>
    </row>
    <row r="12">
      <c r="A12" s="5" t="inlineStr">
        <is>
          <t>계약일자</t>
        </is>
      </c>
      <c r="B12" s="6" t="n">
        <v>45912</v>
      </c>
    </row>
    <row r="13">
      <c r="A13" s="5" t="inlineStr">
        <is>
          <t>강제해지일(계약중지일)</t>
        </is>
      </c>
      <c r="B13" s="6" t="n">
        <v>47712</v>
      </c>
    </row>
    <row r="14">
      <c r="A14" s="5" t="inlineStr">
        <is>
          <t>밀린 월구독료(v−)</t>
        </is>
      </c>
      <c r="B14" s="7" t="n">
        <v>92000</v>
      </c>
    </row>
    <row r="15">
      <c r="A15" s="5" t="inlineStr">
        <is>
          <t>연체1 일수(해지까지)</t>
        </is>
      </c>
      <c r="B15" s="7" t="n">
        <v>90</v>
      </c>
    </row>
    <row r="16">
      <c r="A16" s="5" t="inlineStr">
        <is>
          <t>연체2 일수</t>
        </is>
      </c>
      <c r="B16" s="7" t="n">
        <v>60</v>
      </c>
    </row>
    <row r="17">
      <c r="A17" s="5" t="inlineStr">
        <is>
          <t>연체3 일수</t>
        </is>
      </c>
      <c r="B17" s="7" t="n">
        <v>30</v>
      </c>
    </row>
    <row r="18">
      <c r="A18" s="8" t="inlineStr">
        <is>
          <t>Σ경과일 (자동)</t>
        </is>
      </c>
      <c r="B18" s="9">
        <f>B13-B12</f>
        <v/>
      </c>
    </row>
    <row r="19">
      <c r="A19" s="8" t="inlineStr">
        <is>
          <t>당월 사용일 (자동)</t>
        </is>
      </c>
      <c r="B19" s="9">
        <f>DAY(B13)-1</f>
        <v/>
      </c>
    </row>
    <row r="20">
      <c r="A20" s="8" t="inlineStr">
        <is>
          <t>그달 일수 (자동)</t>
        </is>
      </c>
      <c r="B20" s="9">
        <f>DAY(EOMONTH(B13,0))</f>
        <v/>
      </c>
    </row>
    <row r="21">
      <c r="A21" s="8" t="inlineStr">
        <is>
          <t>경과비율 (자동)</t>
        </is>
      </c>
      <c r="B21" s="10">
        <f>B18/B6</f>
        <v/>
      </c>
    </row>
    <row r="22">
      <c r="A22" s="8" t="inlineStr">
        <is>
          <t>잔여비율 (자동)</t>
        </is>
      </c>
      <c r="B22" s="10">
        <f>(B6-B18)/B6</f>
        <v/>
      </c>
    </row>
    <row r="23"/>
    <row r="24" ht="20" customHeight="1">
      <c r="A24" s="2" t="inlineStr">
        <is>
          <t>① 연체이자 (구독료 × 1.1 × 6% × 일수/365)</t>
        </is>
      </c>
    </row>
    <row r="25">
      <c r="A25" s="11" t="inlineStr">
        <is>
          <t>항목</t>
        </is>
      </c>
      <c r="B25" s="11" t="inlineStr">
        <is>
          <t>✍️ 내 답</t>
        </is>
      </c>
      <c r="C25" s="11" t="inlineStr">
        <is>
          <t>✅ 정답</t>
        </is>
      </c>
      <c r="E25" s="11" t="inlineStr">
        <is>
          <t>수식 설명</t>
        </is>
      </c>
    </row>
    <row r="26">
      <c r="A26" s="12" t="inlineStr">
        <is>
          <t>연체1 이자</t>
        </is>
      </c>
      <c r="B26" s="13" t="n"/>
      <c r="C26" s="14">
        <f>ROUNDDOWN(B14*1.1*0.06*B15/365,-1)</f>
        <v/>
      </c>
      <c r="D26" s="15" t="n"/>
      <c r="E26" s="16" t="inlineStr">
        <is>
          <t>ROUNDDOWN(밀린×1.1×6%×일수/365, −1)</t>
        </is>
      </c>
    </row>
    <row r="27">
      <c r="A27" s="12" t="inlineStr">
        <is>
          <t>연체2 이자</t>
        </is>
      </c>
      <c r="B27" s="13" t="n"/>
      <c r="C27" s="14">
        <f>ROUNDDOWN(B14*1.1*0.06*B16/365,-1)</f>
        <v/>
      </c>
      <c r="D27" s="15" t="n"/>
      <c r="E27" s="16" t="inlineStr">
        <is>
          <t>〃 (연체2)</t>
        </is>
      </c>
    </row>
    <row r="28">
      <c r="A28" s="12" t="inlineStr">
        <is>
          <t>연체3 이자</t>
        </is>
      </c>
      <c r="B28" s="13" t="n"/>
      <c r="C28" s="14">
        <f>ROUNDDOWN(B14*1.1*0.06*B17/365,-1)</f>
        <v/>
      </c>
      <c r="D28" s="15" t="n"/>
      <c r="E28" s="16" t="inlineStr">
        <is>
          <t>〃 (연체3)</t>
        </is>
      </c>
    </row>
    <row r="29">
      <c r="A29" s="12" t="inlineStr">
        <is>
          <t>누적 연체이자</t>
        </is>
      </c>
      <c r="B29" s="13" t="n"/>
      <c r="C29" s="14">
        <f>C26+C27+C28</f>
        <v/>
      </c>
      <c r="D29" s="15" t="n"/>
      <c r="E29" s="16" t="inlineStr">
        <is>
          <t>합계</t>
        </is>
      </c>
    </row>
    <row r="30"/>
    <row r="31" ht="20" customHeight="1">
      <c r="A31" s="2" t="inlineStr">
        <is>
          <t>② 강제해지 정산</t>
        </is>
      </c>
    </row>
    <row r="32">
      <c r="A32" s="11" t="inlineStr">
        <is>
          <t>항목</t>
        </is>
      </c>
      <c r="B32" s="11" t="inlineStr">
        <is>
          <t>✍️ 내 답</t>
        </is>
      </c>
      <c r="C32" s="11" t="inlineStr">
        <is>
          <t>✅ 정답</t>
        </is>
      </c>
      <c r="E32" s="11" t="inlineStr">
        <is>
          <t>수식 설명</t>
        </is>
      </c>
    </row>
    <row r="33">
      <c r="A33" s="12" t="inlineStr">
        <is>
          <t>위약금</t>
        </is>
      </c>
      <c r="B33" s="13" t="n"/>
      <c r="C33" s="14">
        <f>ROUNDDOWN(B5*B22*0.2,-1)</f>
        <v/>
      </c>
      <c r="D33" s="15" t="n"/>
      <c r="E33" s="16" t="inlineStr">
        <is>
          <t>ROUNDDOWN(총v+ × 잔여 × 20%, −1)</t>
        </is>
      </c>
    </row>
    <row r="34">
      <c r="A34" s="12" t="inlineStr">
        <is>
          <t>사용분(밀린 합산)</t>
        </is>
      </c>
      <c r="B34" s="13" t="n"/>
      <c r="C34" s="14">
        <f>B14*3+ROUNDDOWN(B4*B19/B20,-2)</f>
        <v/>
      </c>
      <c r="D34" s="15" t="n"/>
      <c r="E34" s="16" t="inlineStr">
        <is>
          <t>밀린 3개월 + 당월 일할</t>
        </is>
      </c>
    </row>
    <row r="35">
      <c r="A35" s="12" t="inlineStr">
        <is>
          <t>할인금 회수</t>
        </is>
      </c>
      <c r="B35" s="13" t="n"/>
      <c r="C35" s="14">
        <f>ROUNDDOWN(B8*B21,-2)</f>
        <v/>
      </c>
      <c r="D35" s="15" t="n"/>
      <c r="E35" s="16" t="inlineStr">
        <is>
          <t>ROUNDDOWN(할인 × 경과, −2)</t>
        </is>
      </c>
    </row>
    <row r="36">
      <c r="A36" s="12" t="inlineStr">
        <is>
          <t>연체이자</t>
        </is>
      </c>
      <c r="B36" s="13" t="n"/>
      <c r="C36" s="14">
        <f>C29</f>
        <v/>
      </c>
      <c r="D36" s="15" t="n"/>
      <c r="E36" s="16" t="inlineStr">
        <is>
          <t>누적 연체이자</t>
        </is>
      </c>
    </row>
    <row r="37">
      <c r="A37" s="12" t="inlineStr">
        <is>
          <t>선납잔액 환불</t>
        </is>
      </c>
      <c r="B37" s="13" t="n"/>
      <c r="C37" s="14">
        <f>-ROUNDUP(B7*B22,-2)</f>
        <v/>
      </c>
      <c r="D37" s="15" t="n"/>
      <c r="E37" s="16" t="inlineStr">
        <is>
          <t>−ROUNDUP(선납금 × 잔여, −2)</t>
        </is>
      </c>
    </row>
    <row r="38">
      <c r="A38" s="12" t="inlineStr">
        <is>
          <t>등록비</t>
        </is>
      </c>
      <c r="B38" s="13" t="n"/>
      <c r="C38" s="14">
        <f>ROUNDDOWN(B9/1.1*B21,-2)</f>
        <v/>
      </c>
      <c r="D38" s="15" t="n"/>
      <c r="E38" s="16" t="inlineStr">
        <is>
          <t>ROUNDDOWN(등록비/1.1 × 경과, −2)</t>
        </is>
      </c>
    </row>
    <row r="39">
      <c r="A39" s="17" t="inlineStr">
        <is>
          <t>합계</t>
        </is>
      </c>
      <c r="B39" s="15" t="n"/>
      <c r="C39" s="18">
        <f>SUM(C33:C38)</f>
        <v/>
      </c>
      <c r="D39" s="15" t="n"/>
      <c r="E39" s="15" t="n"/>
    </row>
  </sheetData>
  <mergeCells count="5">
    <mergeCell ref="A24:E24"/>
    <mergeCell ref="A11:E11"/>
    <mergeCell ref="A1:E1"/>
    <mergeCell ref="A31:E3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(MX) — 날짜 + ★파손 분리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23500</v>
      </c>
    </row>
    <row r="5">
      <c r="A5" s="3" t="inlineStr">
        <is>
          <t>총구독료(v+)</t>
        </is>
      </c>
      <c r="B5" s="4" t="n">
        <v>2200800</v>
      </c>
    </row>
    <row r="6">
      <c r="A6" s="3" t="inlineStr">
        <is>
          <t>구독기간(일)</t>
        </is>
      </c>
      <c r="B6" s="4" t="n">
        <v>1461</v>
      </c>
    </row>
    <row r="7">
      <c r="A7" s="3" t="inlineStr">
        <is>
          <t>선납금(v−)</t>
        </is>
      </c>
      <c r="B7" s="4" t="n">
        <v>604800</v>
      </c>
    </row>
    <row r="8">
      <c r="A8" s="3" t="inlineStr">
        <is>
          <t>선납할인+단품+결합(v−)</t>
        </is>
      </c>
      <c r="B8" s="4" t="n">
        <v>278400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시나리오 (파란칸: 날짜 + 연체, 파손 분리)</t>
        </is>
      </c>
    </row>
    <row r="12">
      <c r="A12" s="5" t="inlineStr">
        <is>
          <t>계약일자</t>
        </is>
      </c>
      <c r="B12" s="6" t="n">
        <v>45912</v>
      </c>
    </row>
    <row r="13">
      <c r="A13" s="5" t="inlineStr">
        <is>
          <t>강제해지일(계약중지일)</t>
        </is>
      </c>
      <c r="B13" s="6" t="n">
        <v>47013</v>
      </c>
    </row>
    <row r="14">
      <c r="A14" s="5" t="inlineStr">
        <is>
          <t>밀린 파손제외 구독료(과세,v−)</t>
        </is>
      </c>
      <c r="B14" s="7" t="n">
        <v>21100</v>
      </c>
    </row>
    <row r="15">
      <c r="A15" s="5" t="inlineStr">
        <is>
          <t>밀린 파손보험(비과세,월)</t>
        </is>
      </c>
      <c r="B15" s="7" t="n">
        <v>2400</v>
      </c>
    </row>
    <row r="16">
      <c r="A16" s="5" t="inlineStr">
        <is>
          <t>연체1 일수</t>
        </is>
      </c>
      <c r="B16" s="7" t="n">
        <v>90</v>
      </c>
    </row>
    <row r="17">
      <c r="A17" s="5" t="inlineStr">
        <is>
          <t>연체2 일수</t>
        </is>
      </c>
      <c r="B17" s="7" t="n">
        <v>60</v>
      </c>
    </row>
    <row r="18">
      <c r="A18" s="5" t="inlineStr">
        <is>
          <t>연체3 일수</t>
        </is>
      </c>
      <c r="B18" s="7" t="n">
        <v>30</v>
      </c>
    </row>
    <row r="19">
      <c r="A19" s="8" t="inlineStr">
        <is>
          <t>Σ경과일 (자동)</t>
        </is>
      </c>
      <c r="B19" s="9">
        <f>B13-B12</f>
        <v/>
      </c>
    </row>
    <row r="20">
      <c r="A20" s="8" t="inlineStr">
        <is>
          <t>당월 사용일 (자동)</t>
        </is>
      </c>
      <c r="B20" s="9">
        <f>DAY(B13)-1</f>
        <v/>
      </c>
    </row>
    <row r="21">
      <c r="A21" s="8" t="inlineStr">
        <is>
          <t>그달 일수 (자동)</t>
        </is>
      </c>
      <c r="B21" s="9">
        <f>DAY(EOMONTH(B13,0))</f>
        <v/>
      </c>
    </row>
    <row r="22">
      <c r="A22" s="8" t="inlineStr">
        <is>
          <t>경과비율 (자동)</t>
        </is>
      </c>
      <c r="B22" s="10">
        <f>B19/B6</f>
        <v/>
      </c>
    </row>
    <row r="23">
      <c r="A23" s="8" t="inlineStr">
        <is>
          <t>잔여비율 (자동)</t>
        </is>
      </c>
      <c r="B23" s="10">
        <f>(B6-B19)/B6</f>
        <v/>
      </c>
    </row>
    <row r="24"/>
    <row r="25" ht="20" customHeight="1">
      <c r="A25" s="2" t="inlineStr">
        <is>
          <t>① 연체이자 ((파손제외×1.1 + 파손) × 6% × 일수/365)</t>
        </is>
      </c>
    </row>
    <row r="26">
      <c r="A26" s="11" t="inlineStr">
        <is>
          <t>항목</t>
        </is>
      </c>
      <c r="B26" s="11" t="inlineStr">
        <is>
          <t>✍️ 내 답</t>
        </is>
      </c>
      <c r="C26" s="11" t="inlineStr">
        <is>
          <t>✅ 정답</t>
        </is>
      </c>
      <c r="E26" s="11" t="inlineStr">
        <is>
          <t>수식 설명</t>
        </is>
      </c>
    </row>
    <row r="27">
      <c r="A27" s="12" t="inlineStr">
        <is>
          <t>연체1 이자</t>
        </is>
      </c>
      <c r="B27" s="13" t="n"/>
      <c r="C27" s="14">
        <f>ROUNDDOWN((B14*1.1+B15)*0.06*B16/365,-1)</f>
        <v/>
      </c>
      <c r="D27" s="15" t="n"/>
      <c r="E27" s="16" t="inlineStr">
        <is>
          <t>ROUNDDOWN((파손제외×1.1 + 파손)×6%×일수/365, −1)</t>
        </is>
      </c>
    </row>
    <row r="28">
      <c r="A28" s="12" t="inlineStr">
        <is>
          <t>연체2 이자</t>
        </is>
      </c>
      <c r="B28" s="13" t="n"/>
      <c r="C28" s="14">
        <f>ROUNDDOWN((B14*1.1+B15)*0.06*B17/365,-1)</f>
        <v/>
      </c>
      <c r="D28" s="15" t="n"/>
      <c r="E28" s="16" t="inlineStr">
        <is>
          <t>〃 (연체2)</t>
        </is>
      </c>
    </row>
    <row r="29">
      <c r="A29" s="12" t="inlineStr">
        <is>
          <t>연체3 이자</t>
        </is>
      </c>
      <c r="B29" s="13" t="n"/>
      <c r="C29" s="14">
        <f>ROUNDDOWN((B14*1.1+B15)*0.06*B18/365,-1)</f>
        <v/>
      </c>
      <c r="D29" s="15" t="n"/>
      <c r="E29" s="16" t="inlineStr">
        <is>
          <t>〃 (연체3)</t>
        </is>
      </c>
    </row>
    <row r="30">
      <c r="A30" s="12" t="inlineStr">
        <is>
          <t>누적 연체이자</t>
        </is>
      </c>
      <c r="B30" s="13" t="n"/>
      <c r="C30" s="14">
        <f>C27+C28+C29</f>
        <v/>
      </c>
      <c r="D30" s="15" t="n"/>
      <c r="E30" s="16" t="inlineStr">
        <is>
          <t>합계 — ★파손은 ×1.1 안 함</t>
        </is>
      </c>
    </row>
    <row r="31"/>
    <row r="32" ht="20" customHeight="1">
      <c r="A32" s="2" t="inlineStr">
        <is>
          <t>② 강제해지 정산</t>
        </is>
      </c>
    </row>
    <row r="33">
      <c r="A33" s="11" t="inlineStr">
        <is>
          <t>항목</t>
        </is>
      </c>
      <c r="B33" s="11" t="inlineStr">
        <is>
          <t>✍️ 내 답</t>
        </is>
      </c>
      <c r="C33" s="11" t="inlineStr">
        <is>
          <t>✅ 정답</t>
        </is>
      </c>
      <c r="E33" s="11" t="inlineStr">
        <is>
          <t>수식 설명</t>
        </is>
      </c>
    </row>
    <row r="34">
      <c r="A34" s="12" t="inlineStr">
        <is>
          <t>위약금</t>
        </is>
      </c>
      <c r="B34" s="13" t="n"/>
      <c r="C34" s="14">
        <f>ROUNDDOWN(B5*B23*0.2,-1)</f>
        <v/>
      </c>
      <c r="D34" s="15" t="n"/>
      <c r="E34" s="16" t="inlineStr">
        <is>
          <t>ROUNDDOWN(총v+ × 잔여 × 20%, −1)</t>
        </is>
      </c>
    </row>
    <row r="35">
      <c r="A35" s="12" t="inlineStr">
        <is>
          <t>사용분(밀린 합산)</t>
        </is>
      </c>
      <c r="B35" s="13" t="n"/>
      <c r="C35" s="14">
        <f>(B14+B15)*3+ROUNDDOWN(B4*B20/B21,-2)</f>
        <v/>
      </c>
      <c r="D35" s="15" t="n"/>
      <c r="E35" s="16" t="inlineStr">
        <is>
          <t>밀린 3개월(파손제외+파손) + 당월 일할</t>
        </is>
      </c>
    </row>
    <row r="36">
      <c r="A36" s="12" t="inlineStr">
        <is>
          <t>할인금 회수</t>
        </is>
      </c>
      <c r="B36" s="13" t="n"/>
      <c r="C36" s="14">
        <f>ROUNDDOWN(B8*B22,-2)</f>
        <v/>
      </c>
      <c r="D36" s="15" t="n"/>
      <c r="E36" s="16" t="inlineStr">
        <is>
          <t>ROUNDDOWN(할인 × 경과, −2)</t>
        </is>
      </c>
    </row>
    <row r="37">
      <c r="A37" s="12" t="inlineStr">
        <is>
          <t>연체이자</t>
        </is>
      </c>
      <c r="B37" s="13" t="n"/>
      <c r="C37" s="14">
        <f>C30</f>
        <v/>
      </c>
      <c r="D37" s="15" t="n"/>
      <c r="E37" s="16" t="inlineStr">
        <is>
          <t>누적 연체이자</t>
        </is>
      </c>
    </row>
    <row r="38">
      <c r="A38" s="12" t="inlineStr">
        <is>
          <t>선납잔액 환불</t>
        </is>
      </c>
      <c r="B38" s="13" t="n"/>
      <c r="C38" s="14">
        <f>-ROUNDUP(B7*B23,-2)</f>
        <v/>
      </c>
      <c r="D38" s="15" t="n"/>
      <c r="E38" s="16" t="inlineStr">
        <is>
          <t>−ROUNDUP(선납금 × 잔여, −2)</t>
        </is>
      </c>
    </row>
    <row r="39">
      <c r="A39" s="12" t="inlineStr">
        <is>
          <t>등록비</t>
        </is>
      </c>
      <c r="B39" s="13" t="n"/>
      <c r="C39" s="14">
        <f>ROUNDDOWN(B9/1.1*B22,-2)</f>
        <v/>
      </c>
      <c r="D39" s="15" t="n"/>
      <c r="E39" s="16" t="inlineStr">
        <is>
          <t>ROUNDDOWN(등록비/1.1 × 경과, −2)</t>
        </is>
      </c>
    </row>
    <row r="40">
      <c r="A40" s="17" t="inlineStr">
        <is>
          <t>합계</t>
        </is>
      </c>
      <c r="B40" s="15" t="n"/>
      <c r="C40" s="18">
        <f>SUM(C34:C39)</f>
        <v/>
      </c>
      <c r="D40" s="15" t="n"/>
      <c r="E40" s="15" t="n"/>
    </row>
    <row r="41"/>
    <row r="42">
      <c r="A42" s="19" t="inlineStr">
        <is>
          <t>※ CE와 차이는 단 하나: 연체이자에서 파손보험을 ×1.1 안 하고 그대로 더함.</t>
        </is>
      </c>
    </row>
  </sheetData>
  <mergeCells count="6">
    <mergeCell ref="A25:E25"/>
    <mergeCell ref="A42:E42"/>
    <mergeCell ref="A11:E11"/>
    <mergeCell ref="A1:E1"/>
    <mergeCell ref="A32:E3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3" customWidth="1" min="5" max="5"/>
    <col width="40" customWidth="1" min="6" max="6"/>
  </cols>
  <sheetData>
    <row r="1">
      <c r="A1" s="1" t="inlineStr">
        <is>
          <t>AS 미사용 보상 — CE vs MX (날짜 입력)</t>
        </is>
      </c>
    </row>
    <row r="2"/>
    <row r="3" ht="20" customHeight="1">
      <c r="A3" s="2" t="inlineStr">
        <is>
          <t>■ 주어진 값 / 시나리오</t>
        </is>
      </c>
    </row>
    <row r="4">
      <c r="A4" s="3" t="inlineStr">
        <is>
          <t>기본 월구독료(v−)</t>
        </is>
      </c>
      <c r="B4" s="4" t="n">
        <v>163300</v>
      </c>
    </row>
    <row r="5">
      <c r="A5" s="3" t="inlineStr">
        <is>
          <t>매출인식기준 월액(v−)</t>
        </is>
      </c>
      <c r="B5" s="4" t="n">
        <v>146400</v>
      </c>
    </row>
    <row r="6">
      <c r="A6" s="3" t="inlineStr">
        <is>
          <t>파손보험(월)</t>
        </is>
      </c>
      <c r="B6" s="4" t="n">
        <v>2400</v>
      </c>
    </row>
    <row r="7">
      <c r="A7" s="5" t="inlineStr">
        <is>
          <t>AS 미사용 시작일</t>
        </is>
      </c>
      <c r="B7" s="6" t="n">
        <v>46447</v>
      </c>
    </row>
    <row r="8">
      <c r="A8" s="5" t="inlineStr">
        <is>
          <t>AS 미사용 종료일</t>
        </is>
      </c>
      <c r="B8" s="6" t="n">
        <v>46476</v>
      </c>
    </row>
    <row r="9">
      <c r="A9" s="8" t="inlineStr">
        <is>
          <t>미사용일 (자동)</t>
        </is>
      </c>
      <c r="B9" s="9">
        <f>B8-B7+1</f>
        <v/>
      </c>
    </row>
    <row r="10">
      <c r="A10" s="8" t="inlineStr">
        <is>
          <t>그달 일수 (자동)</t>
        </is>
      </c>
      <c r="B10" s="9">
        <f>DAY(EOMONTH(B8,0))</f>
        <v/>
      </c>
    </row>
    <row r="11"/>
    <row r="12" ht="20" customHeight="1">
      <c r="A12" s="2" t="inlineStr">
        <is>
          <t>■ 보상금 계산 (둘 다 ROUNDUP)</t>
        </is>
      </c>
    </row>
    <row r="13">
      <c r="A13" s="11" t="inlineStr">
        <is>
          <t>항목</t>
        </is>
      </c>
      <c r="B13" s="11" t="inlineStr">
        <is>
          <t>✍️ 내 답</t>
        </is>
      </c>
      <c r="C13" s="11" t="inlineStr">
        <is>
          <t>✅ CE</t>
        </is>
      </c>
      <c r="D13" s="11" t="inlineStr">
        <is>
          <t>✅ MX</t>
        </is>
      </c>
      <c r="F13" s="11" t="inlineStr">
        <is>
          <t>수식 설명</t>
        </is>
      </c>
    </row>
    <row r="14">
      <c r="A14" s="12" t="inlineStr">
        <is>
          <t>과세분 보상</t>
        </is>
      </c>
      <c r="B14" s="13" t="n"/>
      <c r="C14" s="14">
        <f>ROUNDUP(B4*B9/B10,-2)</f>
        <v/>
      </c>
      <c r="D14" s="14">
        <f>ROUNDUP((B5/1.1)*B9/B10,-2)</f>
        <v/>
      </c>
      <c r="E14" s="15" t="n"/>
      <c r="F14" s="16" t="inlineStr">
        <is>
          <t>CE: 기본구독료 일할 / MX: 매출인식기준 ÷1.1 일할</t>
        </is>
      </c>
    </row>
    <row r="15">
      <c r="A15" s="12" t="inlineStr">
        <is>
          <t>파손 보상(MX만)</t>
        </is>
      </c>
      <c r="B15" s="13" t="n"/>
      <c r="C15" s="15" t="n"/>
      <c r="D15" s="14">
        <f>ROUNDUP(B6*B9/B10,-2)</f>
        <v/>
      </c>
      <c r="E15" s="15" t="n"/>
      <c r="F15" s="16" t="inlineStr">
        <is>
          <t>MX: 파손 × 일할 (비과세)</t>
        </is>
      </c>
    </row>
    <row r="16">
      <c r="A16" s="12" t="inlineStr">
        <is>
          <t>최종 보상금</t>
        </is>
      </c>
      <c r="B16" s="13" t="n"/>
      <c r="C16" s="14">
        <f>C14</f>
        <v/>
      </c>
      <c r="D16" s="14">
        <f>D14+D15</f>
        <v/>
      </c>
      <c r="E16" s="15" t="n"/>
      <c r="F16" s="16" t="inlineStr">
        <is>
          <t>CE=과세분 / MX=과세분+파손</t>
        </is>
      </c>
    </row>
    <row r="17"/>
    <row r="18">
      <c r="A18" s="19" t="inlineStr">
        <is>
          <t>※ CE는 기본구독료 한 덩이. MX는 과세분(÷1.1)+파손(그대로) 분리 합산.</t>
        </is>
      </c>
    </row>
  </sheetData>
  <mergeCells count="4">
    <mergeCell ref="A3:F3"/>
    <mergeCell ref="A1:F1"/>
    <mergeCell ref="A12:F12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할인원복 — 결합 깨짐 → 회수 + 익익월 정상가 (날짜 입력)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다품목(결합) 할인 최종(v−)</t>
        </is>
      </c>
      <c r="B4" s="4" t="n">
        <v>540000</v>
      </c>
    </row>
    <row r="5">
      <c r="A5" s="3" t="inlineStr">
        <is>
          <t>구독기간(일)</t>
        </is>
      </c>
      <c r="B5" s="4" t="n">
        <v>2191</v>
      </c>
    </row>
    <row r="6">
      <c r="A6" s="3" t="inlineStr">
        <is>
          <t>결합적용 월구독료(v−)</t>
        </is>
      </c>
      <c r="B6" s="4" t="n">
        <v>92000</v>
      </c>
    </row>
    <row r="7">
      <c r="A7" s="3" t="inlineStr">
        <is>
          <t>정상(원복) 월구독료(v−)</t>
        </is>
      </c>
      <c r="B7" s="4" t="n">
        <v>107700</v>
      </c>
    </row>
    <row r="8"/>
    <row r="9" ht="20" customHeight="1">
      <c r="A9" s="2" t="inlineStr">
        <is>
          <t>■ 시나리오 (파란칸: 날짜)</t>
        </is>
      </c>
    </row>
    <row r="10">
      <c r="A10" s="5" t="inlineStr">
        <is>
          <t>계약일자</t>
        </is>
      </c>
      <c r="B10" s="6" t="n">
        <v>45912</v>
      </c>
    </row>
    <row r="11">
      <c r="A11" s="5" t="inlineStr">
        <is>
          <t>결합 해지일(A제품 해지)</t>
        </is>
      </c>
      <c r="B11" s="6" t="n">
        <v>46512</v>
      </c>
    </row>
    <row r="12">
      <c r="A12" s="8" t="inlineStr">
        <is>
          <t>경과일 (자동)</t>
        </is>
      </c>
      <c r="B12" s="9">
        <f>B11-B10</f>
        <v/>
      </c>
    </row>
    <row r="13">
      <c r="A13" s="8" t="inlineStr">
        <is>
          <t>당월 사용일 (자동)</t>
        </is>
      </c>
      <c r="B13" s="9">
        <f>DAY(B11)-1</f>
        <v/>
      </c>
    </row>
    <row r="14">
      <c r="A14" s="8" t="inlineStr">
        <is>
          <t>그달 일수 (자동)</t>
        </is>
      </c>
      <c r="B14" s="9">
        <f>DAY(EOMONTH(B11,0))</f>
        <v/>
      </c>
    </row>
    <row r="15">
      <c r="A15" s="8" t="inlineStr">
        <is>
          <t>경과비율 (자동)</t>
        </is>
      </c>
      <c r="B15" s="10">
        <f>B12/B5</f>
        <v/>
      </c>
    </row>
    <row r="16"/>
    <row r="17" ht="20" customHeight="1">
      <c r="A17" s="2" t="inlineStr">
        <is>
          <t>① 원복 정산</t>
        </is>
      </c>
    </row>
    <row r="18">
      <c r="A18" s="11" t="inlineStr">
        <is>
          <t>항목</t>
        </is>
      </c>
      <c r="B18" s="11" t="inlineStr">
        <is>
          <t>✍️ 내 답</t>
        </is>
      </c>
      <c r="C18" s="11" t="inlineStr">
        <is>
          <t>✅ 정답</t>
        </is>
      </c>
      <c r="E18" s="11" t="inlineStr">
        <is>
          <t>수식 설명</t>
        </is>
      </c>
    </row>
    <row r="19">
      <c r="A19" s="12" t="inlineStr">
        <is>
          <t>사용분 청구</t>
        </is>
      </c>
      <c r="B19" s="13" t="n"/>
      <c r="C19" s="14">
        <f>ROUNDDOWN(B6*B13/B14,-2)</f>
        <v/>
      </c>
      <c r="D19" s="15" t="n"/>
      <c r="E19" s="16" t="inlineStr">
        <is>
          <t>ROUNDDOWN(결합적용 월구독료 × 사용일/그달, −2)</t>
        </is>
      </c>
    </row>
    <row r="20">
      <c r="A20" s="12" t="inlineStr">
        <is>
          <t>다품목 할인 회수</t>
        </is>
      </c>
      <c r="B20" s="13" t="n"/>
      <c r="C20" s="14">
        <f>ROUNDDOWN(B4*B15,-2)</f>
        <v/>
      </c>
      <c r="D20" s="15" t="n"/>
      <c r="E20" s="16" t="inlineStr">
        <is>
          <t>ROUNDDOWN(다품목 할인 × 경과비율, −2)</t>
        </is>
      </c>
    </row>
    <row r="21"/>
    <row r="22" ht="20" customHeight="1">
      <c r="A22" s="2" t="inlineStr">
        <is>
          <t>② 원복 효과</t>
        </is>
      </c>
    </row>
    <row r="23">
      <c r="A23" s="12" t="inlineStr">
        <is>
          <t>익익월부터 월구독료</t>
        </is>
      </c>
      <c r="B23" s="13" t="n"/>
      <c r="C23" s="14">
        <f>B7</f>
        <v/>
      </c>
      <c r="D23" s="15" t="n"/>
      <c r="E23" s="16" t="inlineStr">
        <is>
          <t>원복 후 = 정상(선납·선납할인만) 월구독료</t>
        </is>
      </c>
    </row>
    <row r="24"/>
    <row r="25">
      <c r="A25" s="19" t="inlineStr">
        <is>
          <t>※ A제품 해지→다품목 할인 경과분 회수 + 익익월(다다음달)부터 정상가 원복.</t>
        </is>
      </c>
    </row>
  </sheetData>
  <mergeCells count="6">
    <mergeCell ref="A25:E25"/>
    <mergeCell ref="A1:E1"/>
    <mergeCell ref="A22:E22"/>
    <mergeCell ref="A17:E17"/>
    <mergeCell ref="A9:E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할인원복 상각표 — A제품 해지 → 정상가 원복</t>
        </is>
      </c>
    </row>
    <row r="2">
      <c r="A2" s="19" t="inlineStr">
        <is>
          <t>결합 묶음 중 A제품 해지→정상가 원복. 리스료 109,800→116,000 점프 + 잔여기간 IRR 재계산.</t>
        </is>
      </c>
    </row>
    <row r="3"/>
    <row r="4" ht="20" customHeight="1">
      <c r="A4" s="2" t="inlineStr">
        <is>
          <t>■ 주어진 값</t>
        </is>
      </c>
    </row>
    <row r="5">
      <c r="A5" s="3" t="inlineStr">
        <is>
          <t>구독기간 N(개월)</t>
        </is>
      </c>
      <c r="B5" s="4" t="n">
        <v>60</v>
      </c>
    </row>
    <row r="6">
      <c r="A6" s="3" t="inlineStr">
        <is>
          <t>현할차 K</t>
        </is>
      </c>
      <c r="B6" s="20" t="n">
        <v>0.0357</v>
      </c>
    </row>
    <row r="7">
      <c r="A7" s="3" t="inlineStr">
        <is>
          <t>총구독료(v−)</t>
        </is>
      </c>
      <c r="B7" s="4" t="n">
        <v>7428000</v>
      </c>
    </row>
    <row r="8">
      <c r="A8" s="3" t="inlineStr">
        <is>
          <t>케어(v−)</t>
        </is>
      </c>
      <c r="B8" s="4" t="n">
        <v>414000</v>
      </c>
    </row>
    <row r="9">
      <c r="A9" s="3" t="inlineStr">
        <is>
          <t>보증(v−)</t>
        </is>
      </c>
      <c r="B9" s="4" t="n">
        <v>54000</v>
      </c>
    </row>
    <row r="10">
      <c r="A10" s="3" t="inlineStr">
        <is>
          <t>결합(다품목) 할인(v−)</t>
        </is>
      </c>
      <c r="B10" s="4" t="n">
        <v>372000</v>
      </c>
    </row>
    <row r="11">
      <c r="A11" s="3" t="inlineStr">
        <is>
          <t>제품(v+)</t>
        </is>
      </c>
      <c r="B11" s="4" t="n">
        <v>5290000</v>
      </c>
    </row>
    <row r="12"/>
    <row r="13" ht="20" customHeight="1">
      <c r="A13" s="2" t="inlineStr">
        <is>
          <t>■ 엔진 (노란칸 직접)</t>
        </is>
      </c>
    </row>
    <row r="14">
      <c r="A14" s="11" t="inlineStr">
        <is>
          <t>항목</t>
        </is>
      </c>
      <c r="B14" s="11" t="inlineStr">
        <is>
          <t>✍️ 내 답</t>
        </is>
      </c>
      <c r="C14" s="11" t="inlineStr">
        <is>
          <t>✅ 정답</t>
        </is>
      </c>
      <c r="D14" s="11" t="inlineStr">
        <is>
          <t>수식 설명</t>
        </is>
      </c>
      <c r="E14" s="21" t="n"/>
    </row>
    <row r="15">
      <c r="A15" s="12" t="inlineStr">
        <is>
          <t>할인 순수구독료</t>
        </is>
      </c>
      <c r="B15" s="13" t="n"/>
      <c r="C15" s="14">
        <f>B7-B8-B9-B10</f>
        <v/>
      </c>
      <c r="D15" s="16" t="inlineStr">
        <is>
          <t>총−케어−보증−결합</t>
        </is>
      </c>
    </row>
    <row r="16">
      <c r="A16" s="12" t="inlineStr">
        <is>
          <t>할인 리스료(월)</t>
        </is>
      </c>
      <c r="B16" s="13" t="n"/>
      <c r="C16" s="22">
        <f>C15/B5</f>
        <v/>
      </c>
      <c r="D16" s="16" t="inlineStr">
        <is>
          <t>할인순수 / N</t>
        </is>
      </c>
    </row>
    <row r="17">
      <c r="A17" s="12" t="inlineStr">
        <is>
          <t>정상 리스료(월)</t>
        </is>
      </c>
      <c r="B17" s="13" t="n"/>
      <c r="C17" s="22">
        <f>(B7-B8-B9)/B5</f>
        <v/>
      </c>
      <c r="D17" s="16" t="inlineStr">
        <is>
          <t>(총−케어−보증)/N</t>
        </is>
      </c>
    </row>
    <row r="18">
      <c r="A18" s="12" t="inlineStr">
        <is>
          <t>리스채권</t>
        </is>
      </c>
      <c r="B18" s="13" t="n"/>
      <c r="C18" s="22">
        <f>MIN(ROUND(B11/1.1,0),PV(B6/12,B5,-C15/B5))</f>
        <v/>
      </c>
      <c r="D18" s="16" t="inlineStr">
        <is>
          <t>MIN(제품, PV(K/12,N,−할인순수))</t>
        </is>
      </c>
    </row>
    <row r="19">
      <c r="A19" s="12" t="inlineStr">
        <is>
          <t>할인 이자율(월)</t>
        </is>
      </c>
      <c r="B19" s="13" t="n"/>
      <c r="C19" s="23">
        <f>RATE(B5,-C16,C18)</f>
        <v/>
      </c>
      <c r="D19" s="16" t="inlineStr">
        <is>
          <t>RATE(N, −할인리스료, 채권)</t>
        </is>
      </c>
    </row>
    <row r="20"/>
    <row r="21" ht="20" customHeight="1">
      <c r="A21" s="2" t="inlineStr">
        <is>
          <t>■ 원복 시나리오 (파란칸: A해지 회차)</t>
        </is>
      </c>
    </row>
    <row r="22">
      <c r="A22" s="5" t="inlineStr">
        <is>
          <t>A해지(원복) 회차</t>
        </is>
      </c>
      <c r="B22" s="7" t="n">
        <v>20</v>
      </c>
    </row>
    <row r="23"/>
    <row r="24" ht="20" customHeight="1">
      <c r="A24" s="2" t="inlineStr">
        <is>
          <t>■ 원복 계산 (노란칸 직접) — ★IRR 재계산</t>
        </is>
      </c>
    </row>
    <row r="25">
      <c r="A25" s="11" t="inlineStr">
        <is>
          <t>항목</t>
        </is>
      </c>
      <c r="B25" s="11" t="inlineStr">
        <is>
          <t>✍️ 내 답</t>
        </is>
      </c>
      <c r="C25" s="11" t="inlineStr">
        <is>
          <t>✅ 정답</t>
        </is>
      </c>
      <c r="D25" s="11" t="inlineStr">
        <is>
          <t>수식 설명</t>
        </is>
      </c>
      <c r="E25" s="21" t="n"/>
    </row>
    <row r="26">
      <c r="A26" s="12" t="inlineStr">
        <is>
          <t>잔여채권(해지시점 기말)</t>
        </is>
      </c>
      <c r="B26" s="13" t="n"/>
      <c r="C26" s="22">
        <f>INDEX(J32:J92,B22+1)</f>
        <v/>
      </c>
      <c r="D26" s="16" t="inlineStr">
        <is>
          <t>해지 회차의 기말채권</t>
        </is>
      </c>
    </row>
    <row r="27">
      <c r="A27" s="12" t="inlineStr">
        <is>
          <t>잔여기간</t>
        </is>
      </c>
      <c r="B27" s="13" t="n"/>
      <c r="C27" s="14">
        <f>B5-B22</f>
        <v/>
      </c>
      <c r="D27" s="16" t="inlineStr">
        <is>
          <t>N − 해지회차</t>
        </is>
      </c>
    </row>
    <row r="28">
      <c r="A28" s="12" t="inlineStr">
        <is>
          <t>원복 이자율(월)</t>
        </is>
      </c>
      <c r="B28" s="13" t="n"/>
      <c r="C28" s="23">
        <f>RATE(C27,-C17,C26)</f>
        <v/>
      </c>
      <c r="D28" s="16" t="inlineStr">
        <is>
          <t>RATE(잔여기간, −정상리스료, 잔여채권) ★재계산</t>
        </is>
      </c>
    </row>
    <row r="29"/>
    <row r="30" ht="20" customHeight="1">
      <c r="A30" s="2" t="inlineStr">
        <is>
          <t>■ 상각표 (자동) — 회차≤해지: 할인 / 이후: 원복</t>
        </is>
      </c>
    </row>
    <row r="31">
      <c r="A31" s="11" t="inlineStr">
        <is>
          <t>회차</t>
        </is>
      </c>
      <c r="B31" s="24" t="inlineStr">
        <is>
          <t>(단순 월상각: 전환 효과 집중)</t>
        </is>
      </c>
      <c r="G31" s="11" t="inlineStr">
        <is>
          <t>기초</t>
        </is>
      </c>
      <c r="H31" s="11" t="inlineStr">
        <is>
          <t>이자</t>
        </is>
      </c>
      <c r="I31" s="11" t="inlineStr">
        <is>
          <t>리스료</t>
        </is>
      </c>
      <c r="J31" s="11" t="inlineStr">
        <is>
          <t>기말</t>
        </is>
      </c>
    </row>
    <row r="32">
      <c r="A32" s="25" t="n">
        <v>0</v>
      </c>
      <c r="G32" s="26" t="n"/>
      <c r="H32" s="26" t="n"/>
      <c r="I32" s="26" t="n"/>
      <c r="J32" s="26">
        <f>C18</f>
        <v/>
      </c>
    </row>
    <row r="33">
      <c r="A33" s="25" t="n">
        <v>1</v>
      </c>
      <c r="G33" s="27">
        <f>J32</f>
        <v/>
      </c>
      <c r="H33" s="27">
        <f>ROUND(G33*IF(A33&lt;=$B$22,$C$19,$C$28),0)</f>
        <v/>
      </c>
      <c r="I33" s="27">
        <f>IF(A33&lt;=$B$22,-$C$16,-$C$17)</f>
        <v/>
      </c>
      <c r="J33" s="27">
        <f>G33+H33+I33</f>
        <v/>
      </c>
    </row>
    <row r="34">
      <c r="A34" s="25" t="n">
        <v>2</v>
      </c>
      <c r="G34" s="26">
        <f>J33</f>
        <v/>
      </c>
      <c r="H34" s="26">
        <f>ROUND(G34*IF(A34&lt;=$B$22,$C$19,$C$28),0)</f>
        <v/>
      </c>
      <c r="I34" s="26">
        <f>IF(A34&lt;=$B$22,-$C$16,-$C$17)</f>
        <v/>
      </c>
      <c r="J34" s="26">
        <f>G34+H34+I34</f>
        <v/>
      </c>
    </row>
    <row r="35">
      <c r="A35" s="25" t="n">
        <v>3</v>
      </c>
      <c r="G35" s="27">
        <f>J34</f>
        <v/>
      </c>
      <c r="H35" s="27">
        <f>ROUND(G35*IF(A35&lt;=$B$22,$C$19,$C$28),0)</f>
        <v/>
      </c>
      <c r="I35" s="27">
        <f>IF(A35&lt;=$B$22,-$C$16,-$C$17)</f>
        <v/>
      </c>
      <c r="J35" s="27">
        <f>G35+H35+I35</f>
        <v/>
      </c>
    </row>
    <row r="36">
      <c r="A36" s="25" t="n">
        <v>4</v>
      </c>
      <c r="G36" s="26">
        <f>J35</f>
        <v/>
      </c>
      <c r="H36" s="26">
        <f>ROUND(G36*IF(A36&lt;=$B$22,$C$19,$C$28),0)</f>
        <v/>
      </c>
      <c r="I36" s="26">
        <f>IF(A36&lt;=$B$22,-$C$16,-$C$17)</f>
        <v/>
      </c>
      <c r="J36" s="26">
        <f>G36+H36+I36</f>
        <v/>
      </c>
    </row>
    <row r="37">
      <c r="A37" s="25" t="n">
        <v>5</v>
      </c>
      <c r="G37" s="27">
        <f>J36</f>
        <v/>
      </c>
      <c r="H37" s="27">
        <f>ROUND(G37*IF(A37&lt;=$B$22,$C$19,$C$28),0)</f>
        <v/>
      </c>
      <c r="I37" s="27">
        <f>IF(A37&lt;=$B$22,-$C$16,-$C$17)</f>
        <v/>
      </c>
      <c r="J37" s="27">
        <f>G37+H37+I37</f>
        <v/>
      </c>
    </row>
    <row r="38">
      <c r="A38" s="25" t="n">
        <v>6</v>
      </c>
      <c r="G38" s="26">
        <f>J37</f>
        <v/>
      </c>
      <c r="H38" s="26">
        <f>ROUND(G38*IF(A38&lt;=$B$22,$C$19,$C$28),0)</f>
        <v/>
      </c>
      <c r="I38" s="26">
        <f>IF(A38&lt;=$B$22,-$C$16,-$C$17)</f>
        <v/>
      </c>
      <c r="J38" s="26">
        <f>G38+H38+I38</f>
        <v/>
      </c>
    </row>
    <row r="39">
      <c r="A39" s="25" t="n">
        <v>7</v>
      </c>
      <c r="G39" s="27">
        <f>J38</f>
        <v/>
      </c>
      <c r="H39" s="27">
        <f>ROUND(G39*IF(A39&lt;=$B$22,$C$19,$C$28),0)</f>
        <v/>
      </c>
      <c r="I39" s="27">
        <f>IF(A39&lt;=$B$22,-$C$16,-$C$17)</f>
        <v/>
      </c>
      <c r="J39" s="27">
        <f>G39+H39+I39</f>
        <v/>
      </c>
    </row>
    <row r="40">
      <c r="A40" s="25" t="n">
        <v>8</v>
      </c>
      <c r="G40" s="26">
        <f>J39</f>
        <v/>
      </c>
      <c r="H40" s="26">
        <f>ROUND(G40*IF(A40&lt;=$B$22,$C$19,$C$28),0)</f>
        <v/>
      </c>
      <c r="I40" s="26">
        <f>IF(A40&lt;=$B$22,-$C$16,-$C$17)</f>
        <v/>
      </c>
      <c r="J40" s="26">
        <f>G40+H40+I40</f>
        <v/>
      </c>
    </row>
    <row r="41">
      <c r="A41" s="25" t="n">
        <v>9</v>
      </c>
      <c r="G41" s="27">
        <f>J40</f>
        <v/>
      </c>
      <c r="H41" s="27">
        <f>ROUND(G41*IF(A41&lt;=$B$22,$C$19,$C$28),0)</f>
        <v/>
      </c>
      <c r="I41" s="27">
        <f>IF(A41&lt;=$B$22,-$C$16,-$C$17)</f>
        <v/>
      </c>
      <c r="J41" s="27">
        <f>G41+H41+I41</f>
        <v/>
      </c>
    </row>
    <row r="42">
      <c r="A42" s="25" t="n">
        <v>10</v>
      </c>
      <c r="G42" s="26">
        <f>J41</f>
        <v/>
      </c>
      <c r="H42" s="26">
        <f>ROUND(G42*IF(A42&lt;=$B$22,$C$19,$C$28),0)</f>
        <v/>
      </c>
      <c r="I42" s="26">
        <f>IF(A42&lt;=$B$22,-$C$16,-$C$17)</f>
        <v/>
      </c>
      <c r="J42" s="26">
        <f>G42+H42+I42</f>
        <v/>
      </c>
    </row>
    <row r="43">
      <c r="A43" s="25" t="n">
        <v>11</v>
      </c>
      <c r="G43" s="27">
        <f>J42</f>
        <v/>
      </c>
      <c r="H43" s="27">
        <f>ROUND(G43*IF(A43&lt;=$B$22,$C$19,$C$28),0)</f>
        <v/>
      </c>
      <c r="I43" s="27">
        <f>IF(A43&lt;=$B$22,-$C$16,-$C$17)</f>
        <v/>
      </c>
      <c r="J43" s="27">
        <f>G43+H43+I43</f>
        <v/>
      </c>
    </row>
    <row r="44">
      <c r="A44" s="25" t="n">
        <v>12</v>
      </c>
      <c r="G44" s="26">
        <f>J43</f>
        <v/>
      </c>
      <c r="H44" s="26">
        <f>ROUND(G44*IF(A44&lt;=$B$22,$C$19,$C$28),0)</f>
        <v/>
      </c>
      <c r="I44" s="26">
        <f>IF(A44&lt;=$B$22,-$C$16,-$C$17)</f>
        <v/>
      </c>
      <c r="J44" s="26">
        <f>G44+H44+I44</f>
        <v/>
      </c>
    </row>
    <row r="45">
      <c r="A45" s="25" t="n">
        <v>13</v>
      </c>
      <c r="G45" s="27">
        <f>J44</f>
        <v/>
      </c>
      <c r="H45" s="27">
        <f>ROUND(G45*IF(A45&lt;=$B$22,$C$19,$C$28),0)</f>
        <v/>
      </c>
      <c r="I45" s="27">
        <f>IF(A45&lt;=$B$22,-$C$16,-$C$17)</f>
        <v/>
      </c>
      <c r="J45" s="27">
        <f>G45+H45+I45</f>
        <v/>
      </c>
    </row>
    <row r="46">
      <c r="A46" s="25" t="n">
        <v>14</v>
      </c>
      <c r="G46" s="26">
        <f>J45</f>
        <v/>
      </c>
      <c r="H46" s="26">
        <f>ROUND(G46*IF(A46&lt;=$B$22,$C$19,$C$28),0)</f>
        <v/>
      </c>
      <c r="I46" s="26">
        <f>IF(A46&lt;=$B$22,-$C$16,-$C$17)</f>
        <v/>
      </c>
      <c r="J46" s="26">
        <f>G46+H46+I46</f>
        <v/>
      </c>
    </row>
    <row r="47">
      <c r="A47" s="25" t="n">
        <v>15</v>
      </c>
      <c r="G47" s="27">
        <f>J46</f>
        <v/>
      </c>
      <c r="H47" s="27">
        <f>ROUND(G47*IF(A47&lt;=$B$22,$C$19,$C$28),0)</f>
        <v/>
      </c>
      <c r="I47" s="27">
        <f>IF(A47&lt;=$B$22,-$C$16,-$C$17)</f>
        <v/>
      </c>
      <c r="J47" s="27">
        <f>G47+H47+I47</f>
        <v/>
      </c>
    </row>
    <row r="48">
      <c r="A48" s="25" t="n">
        <v>16</v>
      </c>
      <c r="G48" s="26">
        <f>J47</f>
        <v/>
      </c>
      <c r="H48" s="26">
        <f>ROUND(G48*IF(A48&lt;=$B$22,$C$19,$C$28),0)</f>
        <v/>
      </c>
      <c r="I48" s="26">
        <f>IF(A48&lt;=$B$22,-$C$16,-$C$17)</f>
        <v/>
      </c>
      <c r="J48" s="26">
        <f>G48+H48+I48</f>
        <v/>
      </c>
    </row>
    <row r="49">
      <c r="A49" s="25" t="n">
        <v>17</v>
      </c>
      <c r="G49" s="27">
        <f>J48</f>
        <v/>
      </c>
      <c r="H49" s="27">
        <f>ROUND(G49*IF(A49&lt;=$B$22,$C$19,$C$28),0)</f>
        <v/>
      </c>
      <c r="I49" s="27">
        <f>IF(A49&lt;=$B$22,-$C$16,-$C$17)</f>
        <v/>
      </c>
      <c r="J49" s="27">
        <f>G49+H49+I49</f>
        <v/>
      </c>
    </row>
    <row r="50">
      <c r="A50" s="25" t="n">
        <v>18</v>
      </c>
      <c r="G50" s="26">
        <f>J49</f>
        <v/>
      </c>
      <c r="H50" s="26">
        <f>ROUND(G50*IF(A50&lt;=$B$22,$C$19,$C$28),0)</f>
        <v/>
      </c>
      <c r="I50" s="26">
        <f>IF(A50&lt;=$B$22,-$C$16,-$C$17)</f>
        <v/>
      </c>
      <c r="J50" s="26">
        <f>G50+H50+I50</f>
        <v/>
      </c>
    </row>
    <row r="51">
      <c r="A51" s="25" t="n">
        <v>19</v>
      </c>
      <c r="G51" s="27">
        <f>J50</f>
        <v/>
      </c>
      <c r="H51" s="27">
        <f>ROUND(G51*IF(A51&lt;=$B$22,$C$19,$C$28),0)</f>
        <v/>
      </c>
      <c r="I51" s="27">
        <f>IF(A51&lt;=$B$22,-$C$16,-$C$17)</f>
        <v/>
      </c>
      <c r="J51" s="27">
        <f>G51+H51+I51</f>
        <v/>
      </c>
    </row>
    <row r="52">
      <c r="A52" s="25" t="n">
        <v>20</v>
      </c>
      <c r="G52" s="26">
        <f>J51</f>
        <v/>
      </c>
      <c r="H52" s="26">
        <f>ROUND(G52*IF(A52&lt;=$B$22,$C$19,$C$28),0)</f>
        <v/>
      </c>
      <c r="I52" s="26">
        <f>IF(A52&lt;=$B$22,-$C$16,-$C$17)</f>
        <v/>
      </c>
      <c r="J52" s="26">
        <f>G52+H52+I52</f>
        <v/>
      </c>
    </row>
    <row r="53">
      <c r="A53" s="25" t="n">
        <v>21</v>
      </c>
      <c r="G53" s="27">
        <f>J52</f>
        <v/>
      </c>
      <c r="H53" s="27">
        <f>ROUND(G53*IF(A53&lt;=$B$22,$C$19,$C$28),0)</f>
        <v/>
      </c>
      <c r="I53" s="27">
        <f>IF(A53&lt;=$B$22,-$C$16,-$C$17)</f>
        <v/>
      </c>
      <c r="J53" s="27">
        <f>G53+H53+I53</f>
        <v/>
      </c>
    </row>
    <row r="54">
      <c r="A54" s="25" t="n">
        <v>22</v>
      </c>
      <c r="G54" s="26">
        <f>J53</f>
        <v/>
      </c>
      <c r="H54" s="26">
        <f>ROUND(G54*IF(A54&lt;=$B$22,$C$19,$C$28),0)</f>
        <v/>
      </c>
      <c r="I54" s="26">
        <f>IF(A54&lt;=$B$22,-$C$16,-$C$17)</f>
        <v/>
      </c>
      <c r="J54" s="26">
        <f>G54+H54+I54</f>
        <v/>
      </c>
    </row>
    <row r="55">
      <c r="A55" s="25" t="n">
        <v>23</v>
      </c>
      <c r="G55" s="27">
        <f>J54</f>
        <v/>
      </c>
      <c r="H55" s="27">
        <f>ROUND(G55*IF(A55&lt;=$B$22,$C$19,$C$28),0)</f>
        <v/>
      </c>
      <c r="I55" s="27">
        <f>IF(A55&lt;=$B$22,-$C$16,-$C$17)</f>
        <v/>
      </c>
      <c r="J55" s="27">
        <f>G55+H55+I55</f>
        <v/>
      </c>
    </row>
    <row r="56">
      <c r="A56" s="25" t="n">
        <v>24</v>
      </c>
      <c r="G56" s="26">
        <f>J55</f>
        <v/>
      </c>
      <c r="H56" s="26">
        <f>ROUND(G56*IF(A56&lt;=$B$22,$C$19,$C$28),0)</f>
        <v/>
      </c>
      <c r="I56" s="26">
        <f>IF(A56&lt;=$B$22,-$C$16,-$C$17)</f>
        <v/>
      </c>
      <c r="J56" s="26">
        <f>G56+H56+I56</f>
        <v/>
      </c>
    </row>
    <row r="57">
      <c r="A57" s="25" t="n">
        <v>25</v>
      </c>
      <c r="G57" s="27">
        <f>J56</f>
        <v/>
      </c>
      <c r="H57" s="27">
        <f>ROUND(G57*IF(A57&lt;=$B$22,$C$19,$C$28),0)</f>
        <v/>
      </c>
      <c r="I57" s="27">
        <f>IF(A57&lt;=$B$22,-$C$16,-$C$17)</f>
        <v/>
      </c>
      <c r="J57" s="27">
        <f>G57+H57+I57</f>
        <v/>
      </c>
    </row>
    <row r="58">
      <c r="A58" s="25" t="n">
        <v>26</v>
      </c>
      <c r="G58" s="26">
        <f>J57</f>
        <v/>
      </c>
      <c r="H58" s="26">
        <f>ROUND(G58*IF(A58&lt;=$B$22,$C$19,$C$28),0)</f>
        <v/>
      </c>
      <c r="I58" s="26">
        <f>IF(A58&lt;=$B$22,-$C$16,-$C$17)</f>
        <v/>
      </c>
      <c r="J58" s="26">
        <f>G58+H58+I58</f>
        <v/>
      </c>
    </row>
    <row r="59">
      <c r="A59" s="25" t="n">
        <v>27</v>
      </c>
      <c r="G59" s="27">
        <f>J58</f>
        <v/>
      </c>
      <c r="H59" s="27">
        <f>ROUND(G59*IF(A59&lt;=$B$22,$C$19,$C$28),0)</f>
        <v/>
      </c>
      <c r="I59" s="27">
        <f>IF(A59&lt;=$B$22,-$C$16,-$C$17)</f>
        <v/>
      </c>
      <c r="J59" s="27">
        <f>G59+H59+I59</f>
        <v/>
      </c>
    </row>
    <row r="60">
      <c r="A60" s="25" t="n">
        <v>28</v>
      </c>
      <c r="G60" s="26">
        <f>J59</f>
        <v/>
      </c>
      <c r="H60" s="26">
        <f>ROUND(G60*IF(A60&lt;=$B$22,$C$19,$C$28),0)</f>
        <v/>
      </c>
      <c r="I60" s="26">
        <f>IF(A60&lt;=$B$22,-$C$16,-$C$17)</f>
        <v/>
      </c>
      <c r="J60" s="26">
        <f>G60+H60+I60</f>
        <v/>
      </c>
    </row>
    <row r="61">
      <c r="A61" s="25" t="n">
        <v>29</v>
      </c>
      <c r="G61" s="27">
        <f>J60</f>
        <v/>
      </c>
      <c r="H61" s="27">
        <f>ROUND(G61*IF(A61&lt;=$B$22,$C$19,$C$28),0)</f>
        <v/>
      </c>
      <c r="I61" s="27">
        <f>IF(A61&lt;=$B$22,-$C$16,-$C$17)</f>
        <v/>
      </c>
      <c r="J61" s="27">
        <f>G61+H61+I61</f>
        <v/>
      </c>
    </row>
    <row r="62">
      <c r="A62" s="25" t="n">
        <v>30</v>
      </c>
      <c r="G62" s="26">
        <f>J61</f>
        <v/>
      </c>
      <c r="H62" s="26">
        <f>ROUND(G62*IF(A62&lt;=$B$22,$C$19,$C$28),0)</f>
        <v/>
      </c>
      <c r="I62" s="26">
        <f>IF(A62&lt;=$B$22,-$C$16,-$C$17)</f>
        <v/>
      </c>
      <c r="J62" s="26">
        <f>G62+H62+I62</f>
        <v/>
      </c>
    </row>
    <row r="63">
      <c r="A63" s="25" t="n">
        <v>31</v>
      </c>
      <c r="G63" s="27">
        <f>J62</f>
        <v/>
      </c>
      <c r="H63" s="27">
        <f>ROUND(G63*IF(A63&lt;=$B$22,$C$19,$C$28),0)</f>
        <v/>
      </c>
      <c r="I63" s="27">
        <f>IF(A63&lt;=$B$22,-$C$16,-$C$17)</f>
        <v/>
      </c>
      <c r="J63" s="27">
        <f>G63+H63+I63</f>
        <v/>
      </c>
    </row>
    <row r="64">
      <c r="A64" s="25" t="n">
        <v>32</v>
      </c>
      <c r="G64" s="26">
        <f>J63</f>
        <v/>
      </c>
      <c r="H64" s="26">
        <f>ROUND(G64*IF(A64&lt;=$B$22,$C$19,$C$28),0)</f>
        <v/>
      </c>
      <c r="I64" s="26">
        <f>IF(A64&lt;=$B$22,-$C$16,-$C$17)</f>
        <v/>
      </c>
      <c r="J64" s="26">
        <f>G64+H64+I64</f>
        <v/>
      </c>
    </row>
    <row r="65">
      <c r="A65" s="25" t="n">
        <v>33</v>
      </c>
      <c r="G65" s="27">
        <f>J64</f>
        <v/>
      </c>
      <c r="H65" s="27">
        <f>ROUND(G65*IF(A65&lt;=$B$22,$C$19,$C$28),0)</f>
        <v/>
      </c>
      <c r="I65" s="27">
        <f>IF(A65&lt;=$B$22,-$C$16,-$C$17)</f>
        <v/>
      </c>
      <c r="J65" s="27">
        <f>G65+H65+I65</f>
        <v/>
      </c>
    </row>
    <row r="66">
      <c r="A66" s="25" t="n">
        <v>34</v>
      </c>
      <c r="G66" s="26">
        <f>J65</f>
        <v/>
      </c>
      <c r="H66" s="26">
        <f>ROUND(G66*IF(A66&lt;=$B$22,$C$19,$C$28),0)</f>
        <v/>
      </c>
      <c r="I66" s="26">
        <f>IF(A66&lt;=$B$22,-$C$16,-$C$17)</f>
        <v/>
      </c>
      <c r="J66" s="26">
        <f>G66+H66+I66</f>
        <v/>
      </c>
    </row>
    <row r="67">
      <c r="A67" s="25" t="n">
        <v>35</v>
      </c>
      <c r="G67" s="27">
        <f>J66</f>
        <v/>
      </c>
      <c r="H67" s="27">
        <f>ROUND(G67*IF(A67&lt;=$B$22,$C$19,$C$28),0)</f>
        <v/>
      </c>
      <c r="I67" s="27">
        <f>IF(A67&lt;=$B$22,-$C$16,-$C$17)</f>
        <v/>
      </c>
      <c r="J67" s="27">
        <f>G67+H67+I67</f>
        <v/>
      </c>
    </row>
    <row r="68">
      <c r="A68" s="25" t="n">
        <v>36</v>
      </c>
      <c r="G68" s="26">
        <f>J67</f>
        <v/>
      </c>
      <c r="H68" s="26">
        <f>ROUND(G68*IF(A68&lt;=$B$22,$C$19,$C$28),0)</f>
        <v/>
      </c>
      <c r="I68" s="26">
        <f>IF(A68&lt;=$B$22,-$C$16,-$C$17)</f>
        <v/>
      </c>
      <c r="J68" s="26">
        <f>G68+H68+I68</f>
        <v/>
      </c>
    </row>
    <row r="69">
      <c r="A69" s="25" t="n">
        <v>37</v>
      </c>
      <c r="G69" s="27">
        <f>J68</f>
        <v/>
      </c>
      <c r="H69" s="27">
        <f>ROUND(G69*IF(A69&lt;=$B$22,$C$19,$C$28),0)</f>
        <v/>
      </c>
      <c r="I69" s="27">
        <f>IF(A69&lt;=$B$22,-$C$16,-$C$17)</f>
        <v/>
      </c>
      <c r="J69" s="27">
        <f>G69+H69+I69</f>
        <v/>
      </c>
    </row>
    <row r="70">
      <c r="A70" s="25" t="n">
        <v>38</v>
      </c>
      <c r="G70" s="26">
        <f>J69</f>
        <v/>
      </c>
      <c r="H70" s="26">
        <f>ROUND(G70*IF(A70&lt;=$B$22,$C$19,$C$28),0)</f>
        <v/>
      </c>
      <c r="I70" s="26">
        <f>IF(A70&lt;=$B$22,-$C$16,-$C$17)</f>
        <v/>
      </c>
      <c r="J70" s="26">
        <f>G70+H70+I70</f>
        <v/>
      </c>
    </row>
    <row r="71">
      <c r="A71" s="25" t="n">
        <v>39</v>
      </c>
      <c r="G71" s="27">
        <f>J70</f>
        <v/>
      </c>
      <c r="H71" s="27">
        <f>ROUND(G71*IF(A71&lt;=$B$22,$C$19,$C$28),0)</f>
        <v/>
      </c>
      <c r="I71" s="27">
        <f>IF(A71&lt;=$B$22,-$C$16,-$C$17)</f>
        <v/>
      </c>
      <c r="J71" s="27">
        <f>G71+H71+I71</f>
        <v/>
      </c>
    </row>
    <row r="72">
      <c r="A72" s="25" t="n">
        <v>40</v>
      </c>
      <c r="G72" s="26">
        <f>J71</f>
        <v/>
      </c>
      <c r="H72" s="26">
        <f>ROUND(G72*IF(A72&lt;=$B$22,$C$19,$C$28),0)</f>
        <v/>
      </c>
      <c r="I72" s="26">
        <f>IF(A72&lt;=$B$22,-$C$16,-$C$17)</f>
        <v/>
      </c>
      <c r="J72" s="26">
        <f>G72+H72+I72</f>
        <v/>
      </c>
    </row>
    <row r="73">
      <c r="A73" s="25" t="n">
        <v>41</v>
      </c>
      <c r="G73" s="27">
        <f>J72</f>
        <v/>
      </c>
      <c r="H73" s="27">
        <f>ROUND(G73*IF(A73&lt;=$B$22,$C$19,$C$28),0)</f>
        <v/>
      </c>
      <c r="I73" s="27">
        <f>IF(A73&lt;=$B$22,-$C$16,-$C$17)</f>
        <v/>
      </c>
      <c r="J73" s="27">
        <f>G73+H73+I73</f>
        <v/>
      </c>
    </row>
    <row r="74">
      <c r="A74" s="25" t="n">
        <v>42</v>
      </c>
      <c r="G74" s="26">
        <f>J73</f>
        <v/>
      </c>
      <c r="H74" s="26">
        <f>ROUND(G74*IF(A74&lt;=$B$22,$C$19,$C$28),0)</f>
        <v/>
      </c>
      <c r="I74" s="26">
        <f>IF(A74&lt;=$B$22,-$C$16,-$C$17)</f>
        <v/>
      </c>
      <c r="J74" s="26">
        <f>G74+H74+I74</f>
        <v/>
      </c>
    </row>
    <row r="75">
      <c r="A75" s="25" t="n">
        <v>43</v>
      </c>
      <c r="G75" s="27">
        <f>J74</f>
        <v/>
      </c>
      <c r="H75" s="27">
        <f>ROUND(G75*IF(A75&lt;=$B$22,$C$19,$C$28),0)</f>
        <v/>
      </c>
      <c r="I75" s="27">
        <f>IF(A75&lt;=$B$22,-$C$16,-$C$17)</f>
        <v/>
      </c>
      <c r="J75" s="27">
        <f>G75+H75+I75</f>
        <v/>
      </c>
    </row>
    <row r="76">
      <c r="A76" s="25" t="n">
        <v>44</v>
      </c>
      <c r="G76" s="26">
        <f>J75</f>
        <v/>
      </c>
      <c r="H76" s="26">
        <f>ROUND(G76*IF(A76&lt;=$B$22,$C$19,$C$28),0)</f>
        <v/>
      </c>
      <c r="I76" s="26">
        <f>IF(A76&lt;=$B$22,-$C$16,-$C$17)</f>
        <v/>
      </c>
      <c r="J76" s="26">
        <f>G76+H76+I76</f>
        <v/>
      </c>
    </row>
    <row r="77">
      <c r="A77" s="25" t="n">
        <v>45</v>
      </c>
      <c r="G77" s="27">
        <f>J76</f>
        <v/>
      </c>
      <c r="H77" s="27">
        <f>ROUND(G77*IF(A77&lt;=$B$22,$C$19,$C$28),0)</f>
        <v/>
      </c>
      <c r="I77" s="27">
        <f>IF(A77&lt;=$B$22,-$C$16,-$C$17)</f>
        <v/>
      </c>
      <c r="J77" s="27">
        <f>G77+H77+I77</f>
        <v/>
      </c>
    </row>
    <row r="78">
      <c r="A78" s="25" t="n">
        <v>46</v>
      </c>
      <c r="G78" s="26">
        <f>J77</f>
        <v/>
      </c>
      <c r="H78" s="26">
        <f>ROUND(G78*IF(A78&lt;=$B$22,$C$19,$C$28),0)</f>
        <v/>
      </c>
      <c r="I78" s="26">
        <f>IF(A78&lt;=$B$22,-$C$16,-$C$17)</f>
        <v/>
      </c>
      <c r="J78" s="26">
        <f>G78+H78+I78</f>
        <v/>
      </c>
    </row>
    <row r="79">
      <c r="A79" s="25" t="n">
        <v>47</v>
      </c>
      <c r="G79" s="27">
        <f>J78</f>
        <v/>
      </c>
      <c r="H79" s="27">
        <f>ROUND(G79*IF(A79&lt;=$B$22,$C$19,$C$28),0)</f>
        <v/>
      </c>
      <c r="I79" s="27">
        <f>IF(A79&lt;=$B$22,-$C$16,-$C$17)</f>
        <v/>
      </c>
      <c r="J79" s="27">
        <f>G79+H79+I79</f>
        <v/>
      </c>
    </row>
    <row r="80">
      <c r="A80" s="25" t="n">
        <v>48</v>
      </c>
      <c r="G80" s="26">
        <f>J79</f>
        <v/>
      </c>
      <c r="H80" s="26">
        <f>ROUND(G80*IF(A80&lt;=$B$22,$C$19,$C$28),0)</f>
        <v/>
      </c>
      <c r="I80" s="26">
        <f>IF(A80&lt;=$B$22,-$C$16,-$C$17)</f>
        <v/>
      </c>
      <c r="J80" s="26">
        <f>G80+H80+I80</f>
        <v/>
      </c>
    </row>
    <row r="81">
      <c r="A81" s="25" t="n">
        <v>49</v>
      </c>
      <c r="G81" s="27">
        <f>J80</f>
        <v/>
      </c>
      <c r="H81" s="27">
        <f>ROUND(G81*IF(A81&lt;=$B$22,$C$19,$C$28),0)</f>
        <v/>
      </c>
      <c r="I81" s="27">
        <f>IF(A81&lt;=$B$22,-$C$16,-$C$17)</f>
        <v/>
      </c>
      <c r="J81" s="27">
        <f>G81+H81+I81</f>
        <v/>
      </c>
    </row>
    <row r="82">
      <c r="A82" s="25" t="n">
        <v>50</v>
      </c>
      <c r="G82" s="26">
        <f>J81</f>
        <v/>
      </c>
      <c r="H82" s="26">
        <f>ROUND(G82*IF(A82&lt;=$B$22,$C$19,$C$28),0)</f>
        <v/>
      </c>
      <c r="I82" s="26">
        <f>IF(A82&lt;=$B$22,-$C$16,-$C$17)</f>
        <v/>
      </c>
      <c r="J82" s="26">
        <f>G82+H82+I82</f>
        <v/>
      </c>
    </row>
    <row r="83">
      <c r="A83" s="25" t="n">
        <v>51</v>
      </c>
      <c r="G83" s="27">
        <f>J82</f>
        <v/>
      </c>
      <c r="H83" s="27">
        <f>ROUND(G83*IF(A83&lt;=$B$22,$C$19,$C$28),0)</f>
        <v/>
      </c>
      <c r="I83" s="27">
        <f>IF(A83&lt;=$B$22,-$C$16,-$C$17)</f>
        <v/>
      </c>
      <c r="J83" s="27">
        <f>G83+H83+I83</f>
        <v/>
      </c>
    </row>
    <row r="84">
      <c r="A84" s="25" t="n">
        <v>52</v>
      </c>
      <c r="G84" s="26">
        <f>J83</f>
        <v/>
      </c>
      <c r="H84" s="26">
        <f>ROUND(G84*IF(A84&lt;=$B$22,$C$19,$C$28),0)</f>
        <v/>
      </c>
      <c r="I84" s="26">
        <f>IF(A84&lt;=$B$22,-$C$16,-$C$17)</f>
        <v/>
      </c>
      <c r="J84" s="26">
        <f>G84+H84+I84</f>
        <v/>
      </c>
    </row>
    <row r="85">
      <c r="A85" s="25" t="n">
        <v>53</v>
      </c>
      <c r="G85" s="27">
        <f>J84</f>
        <v/>
      </c>
      <c r="H85" s="27">
        <f>ROUND(G85*IF(A85&lt;=$B$22,$C$19,$C$28),0)</f>
        <v/>
      </c>
      <c r="I85" s="27">
        <f>IF(A85&lt;=$B$22,-$C$16,-$C$17)</f>
        <v/>
      </c>
      <c r="J85" s="27">
        <f>G85+H85+I85</f>
        <v/>
      </c>
    </row>
    <row r="86">
      <c r="A86" s="25" t="n">
        <v>54</v>
      </c>
      <c r="G86" s="26">
        <f>J85</f>
        <v/>
      </c>
      <c r="H86" s="26">
        <f>ROUND(G86*IF(A86&lt;=$B$22,$C$19,$C$28),0)</f>
        <v/>
      </c>
      <c r="I86" s="26">
        <f>IF(A86&lt;=$B$22,-$C$16,-$C$17)</f>
        <v/>
      </c>
      <c r="J86" s="26">
        <f>G86+H86+I86</f>
        <v/>
      </c>
    </row>
    <row r="87">
      <c r="A87" s="25" t="n">
        <v>55</v>
      </c>
      <c r="G87" s="27">
        <f>J86</f>
        <v/>
      </c>
      <c r="H87" s="27">
        <f>ROUND(G87*IF(A87&lt;=$B$22,$C$19,$C$28),0)</f>
        <v/>
      </c>
      <c r="I87" s="27">
        <f>IF(A87&lt;=$B$22,-$C$16,-$C$17)</f>
        <v/>
      </c>
      <c r="J87" s="27">
        <f>G87+H87+I87</f>
        <v/>
      </c>
    </row>
    <row r="88">
      <c r="A88" s="25" t="n">
        <v>56</v>
      </c>
      <c r="G88" s="26">
        <f>J87</f>
        <v/>
      </c>
      <c r="H88" s="26">
        <f>ROUND(G88*IF(A88&lt;=$B$22,$C$19,$C$28),0)</f>
        <v/>
      </c>
      <c r="I88" s="26">
        <f>IF(A88&lt;=$B$22,-$C$16,-$C$17)</f>
        <v/>
      </c>
      <c r="J88" s="26">
        <f>G88+H88+I88</f>
        <v/>
      </c>
    </row>
    <row r="89">
      <c r="A89" s="25" t="n">
        <v>57</v>
      </c>
      <c r="G89" s="27">
        <f>J88</f>
        <v/>
      </c>
      <c r="H89" s="27">
        <f>ROUND(G89*IF(A89&lt;=$B$22,$C$19,$C$28),0)</f>
        <v/>
      </c>
      <c r="I89" s="27">
        <f>IF(A89&lt;=$B$22,-$C$16,-$C$17)</f>
        <v/>
      </c>
      <c r="J89" s="27">
        <f>G89+H89+I89</f>
        <v/>
      </c>
    </row>
    <row r="90">
      <c r="A90" s="25" t="n">
        <v>58</v>
      </c>
      <c r="G90" s="26">
        <f>J89</f>
        <v/>
      </c>
      <c r="H90" s="26">
        <f>ROUND(G90*IF(A90&lt;=$B$22,$C$19,$C$28),0)</f>
        <v/>
      </c>
      <c r="I90" s="26">
        <f>IF(A90&lt;=$B$22,-$C$16,-$C$17)</f>
        <v/>
      </c>
      <c r="J90" s="26">
        <f>G90+H90+I90</f>
        <v/>
      </c>
    </row>
    <row r="91">
      <c r="A91" s="25" t="n">
        <v>59</v>
      </c>
      <c r="G91" s="27">
        <f>J90</f>
        <v/>
      </c>
      <c r="H91" s="27">
        <f>ROUND(G91*IF(A91&lt;=$B$22,$C$19,$C$28),0)</f>
        <v/>
      </c>
      <c r="I91" s="27">
        <f>IF(A91&lt;=$B$22,-$C$16,-$C$17)</f>
        <v/>
      </c>
      <c r="J91" s="27">
        <f>G91+H91+I91</f>
        <v/>
      </c>
    </row>
    <row r="92">
      <c r="A92" s="25" t="n">
        <v>60</v>
      </c>
      <c r="G92" s="26">
        <f>J91</f>
        <v/>
      </c>
      <c r="H92" s="26">
        <f>ROUND(G92*IF(A92&lt;=$B$22,$C$19,$C$28),0)</f>
        <v/>
      </c>
      <c r="I92" s="26">
        <f>IF(A92&lt;=$B$22,-$C$16,-$C$17)</f>
        <v/>
      </c>
      <c r="J92" s="26">
        <f>G92+H92+I92</f>
        <v/>
      </c>
    </row>
    <row r="93"/>
    <row r="94">
      <c r="A94" s="19" t="inlineStr">
        <is>
          <t>※ 리스료가 해지회차까지 109,800 → 이후 116,000 점프. 이자율도 잔여기간 RATE로 재계산. 만기 기말 ≈ 0.</t>
        </is>
      </c>
    </row>
  </sheetData>
  <mergeCells count="19">
    <mergeCell ref="A24:E24"/>
    <mergeCell ref="D19:E19"/>
    <mergeCell ref="D27:E27"/>
    <mergeCell ref="A30:J30"/>
    <mergeCell ref="D17:E17"/>
    <mergeCell ref="A21:E21"/>
    <mergeCell ref="B31:E31"/>
    <mergeCell ref="A1:J1"/>
    <mergeCell ref="D16:E16"/>
    <mergeCell ref="A94:J94"/>
    <mergeCell ref="D28:E28"/>
    <mergeCell ref="D18:E18"/>
    <mergeCell ref="D25:E25"/>
    <mergeCell ref="A4:E4"/>
    <mergeCell ref="D15:E15"/>
    <mergeCell ref="D14:E14"/>
    <mergeCell ref="A13:E13"/>
    <mergeCell ref="A2:J2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2026-06-24T15:41:52Z</dcterms:created>
  <dcterms:modified xsi:type="dcterms:W3CDTF">2026-06-24T15:41:52Z</dcterms:modified>
</cp:coreProperties>
</file>
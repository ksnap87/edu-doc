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 통합실습" sheetId="1" state="visible" r:id="rId1"/>
    <sheet name="MX 통합실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"/>
    <numFmt numFmtId="166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color rgb="001F3864"/>
      <sz val="10"/>
    </font>
    <font>
      <name val="Consolas"/>
      <color rgb="001F3864"/>
      <sz val="9"/>
    </font>
    <font>
      <name val="맑은 고딕"/>
      <b val="1"/>
      <color rgb="009C6500"/>
      <sz val="10"/>
    </font>
    <font>
      <name val="맑은 고딕"/>
      <b val="1"/>
      <color rgb="00375623"/>
      <sz val="10"/>
    </font>
    <font>
      <name val="맑은 고딕"/>
      <b val="1"/>
      <color rgb="00C0392B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F6CC"/>
      </patternFill>
    </fill>
    <fill>
      <patternFill patternType="solid">
        <fgColor rgb="00E2EFDA"/>
      </patternFill>
    </fill>
    <fill>
      <patternFill patternType="solid">
        <fgColor rgb="00EDF2FB"/>
      </patternFill>
    </fill>
    <fill>
      <patternFill patternType="solid">
        <fgColor rgb="00DAE3F3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5" borderId="1" pivotButton="0" quotePrefix="0" xfId="0"/>
    <xf numFmtId="3" fontId="6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5" fontId="6" fillId="8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4" fillId="7" borderId="0" applyAlignment="1" pivotButton="0" quotePrefix="0" xfId="0">
      <alignment horizontal="right" vertical="center"/>
    </xf>
    <xf numFmtId="166" fontId="4" fillId="7" borderId="0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통합 실습 — CE 에어컨 : 할인전·할인후 모두 실습</t>
        </is>
      </c>
    </row>
    <row r="2">
      <c r="A2" s="2" t="inlineStr">
        <is>
          <t>① 월구독료 → ② 리스 상각표(할인전·할인후) → ③ 중도해지. 노란칸 직접 / 초록 정답 / 파란칸(날짜) 입력.</t>
        </is>
      </c>
    </row>
    <row r="3"/>
    <row r="4" ht="20" customHeight="1">
      <c r="A4" s="3" t="inlineStr">
        <is>
          <t>■ 주어진 값 (할인전)</t>
        </is>
      </c>
    </row>
    <row r="5">
      <c r="A5" s="4" t="inlineStr">
        <is>
          <t>구독기간(개월)</t>
        </is>
      </c>
      <c r="B5" s="5" t="n">
        <v>72</v>
      </c>
    </row>
    <row r="6">
      <c r="A6" s="4" t="inlineStr">
        <is>
          <t>구독기간(일)</t>
        </is>
      </c>
      <c r="B6" s="5" t="n">
        <v>2191</v>
      </c>
    </row>
    <row r="7">
      <c r="A7" s="4" t="inlineStr">
        <is>
          <t>총구독료(v−)</t>
        </is>
      </c>
      <c r="B7" s="5" t="n">
        <v>11757600</v>
      </c>
    </row>
    <row r="8">
      <c r="A8" s="4" t="inlineStr">
        <is>
          <t>총구독료(v+)</t>
        </is>
      </c>
      <c r="B8" s="5" t="n">
        <v>12933360</v>
      </c>
    </row>
    <row r="9">
      <c r="A9" s="4" t="inlineStr">
        <is>
          <t>매출인식기준구독료(v−)</t>
        </is>
      </c>
      <c r="B9" s="5" t="n">
        <v>10540800</v>
      </c>
    </row>
    <row r="10">
      <c r="A10" s="4" t="inlineStr">
        <is>
          <t>케어(v−)</t>
        </is>
      </c>
      <c r="B10" s="5" t="n">
        <v>1087200</v>
      </c>
    </row>
    <row r="11">
      <c r="A11" s="4" t="inlineStr">
        <is>
          <t>보증(v−)</t>
        </is>
      </c>
      <c r="B11" s="5" t="n">
        <v>129600</v>
      </c>
    </row>
    <row r="12">
      <c r="A12" s="4" t="inlineStr">
        <is>
          <t>제품 혜택가(v−)</t>
        </is>
      </c>
      <c r="B12" s="5" t="n">
        <v>6936364</v>
      </c>
    </row>
    <row r="13">
      <c r="A13" s="4" t="inlineStr">
        <is>
          <t>부분월 사용일</t>
        </is>
      </c>
      <c r="B13" s="5" t="n">
        <v>27</v>
      </c>
    </row>
    <row r="14">
      <c r="A14" s="4" t="inlineStr">
        <is>
          <t>부분월 그달일수</t>
        </is>
      </c>
      <c r="B14" s="5" t="n">
        <v>31</v>
      </c>
    </row>
    <row r="15"/>
    <row r="16" ht="20" customHeight="1">
      <c r="A16" s="3" t="inlineStr">
        <is>
          <t>■ 할인 3종 최종금액 (v−)</t>
        </is>
      </c>
    </row>
    <row r="17">
      <c r="A17" s="4" t="inlineStr">
        <is>
          <t>선납금</t>
        </is>
      </c>
      <c r="B17" s="5" t="n">
        <v>3528000</v>
      </c>
    </row>
    <row r="18">
      <c r="A18" s="4" t="inlineStr">
        <is>
          <t>선납할인</t>
        </is>
      </c>
      <c r="B18" s="5" t="n">
        <v>475200</v>
      </c>
    </row>
    <row r="19">
      <c r="A19" s="4" t="inlineStr">
        <is>
          <t>단품</t>
        </is>
      </c>
      <c r="B19" s="5" t="n">
        <v>590400</v>
      </c>
    </row>
    <row r="20">
      <c r="A20" s="4" t="inlineStr">
        <is>
          <t>결합</t>
        </is>
      </c>
      <c r="B20" s="5" t="n">
        <v>540000</v>
      </c>
    </row>
    <row r="21"/>
    <row r="22" ht="20" customHeight="1">
      <c r="A22" s="3" t="inlineStr">
        <is>
          <t>① 월구독료  (할인전·할인후 둘 다 직접)</t>
        </is>
      </c>
    </row>
    <row r="23">
      <c r="A23" s="6" t="inlineStr">
        <is>
          <t>항목</t>
        </is>
      </c>
      <c r="B23" s="6" t="inlineStr">
        <is>
          <t>✍️ 내 답</t>
        </is>
      </c>
      <c r="C23" s="6" t="inlineStr">
        <is>
          <t>✅ 정답</t>
        </is>
      </c>
      <c r="E23" s="6" t="inlineStr">
        <is>
          <t>수식 설명</t>
        </is>
      </c>
    </row>
    <row r="24">
      <c r="A24" s="7" t="inlineStr">
        <is>
          <t>할인전 월구독료</t>
        </is>
      </c>
      <c r="B24" s="8" t="n"/>
      <c r="C24" s="9">
        <f>B7/B5</f>
        <v/>
      </c>
      <c r="D24" s="10" t="n"/>
      <c r="E24" s="11" t="inlineStr">
        <is>
          <t>총구독료 / 기간</t>
        </is>
      </c>
    </row>
    <row r="25">
      <c r="A25" s="7" t="inlineStr">
        <is>
          <t>할인후 월구독료</t>
        </is>
      </c>
      <c r="B25" s="8" t="n"/>
      <c r="C25" s="9">
        <f>(B7-B17-B18-B19-B20)/B5</f>
        <v/>
      </c>
      <c r="D25" s="10" t="n"/>
      <c r="E25" s="11" t="inlineStr">
        <is>
          <t>(총−선납−선납할인−단품−결합)/기간</t>
        </is>
      </c>
    </row>
    <row r="26"/>
    <row r="27" ht="20" customHeight="1">
      <c r="A27" s="3" t="inlineStr">
        <is>
          <t>② 리스 상각표 엔진  (할인전·할인후 둘 다 직접)</t>
        </is>
      </c>
    </row>
    <row r="28">
      <c r="A28" s="6" t="inlineStr">
        <is>
          <t>항목</t>
        </is>
      </c>
      <c r="B28" s="6" t="inlineStr">
        <is>
          <t>할인전 ✍️</t>
        </is>
      </c>
      <c r="C28" s="6" t="inlineStr">
        <is>
          <t>할인전 ✅</t>
        </is>
      </c>
      <c r="D28" s="6" t="inlineStr">
        <is>
          <t>할인후 ✍️</t>
        </is>
      </c>
      <c r="E28" s="6" t="inlineStr">
        <is>
          <t>할인후 ✅</t>
        </is>
      </c>
      <c r="G28" s="6" t="inlineStr">
        <is>
          <t>설명</t>
        </is>
      </c>
    </row>
    <row r="29">
      <c r="A29" s="7" t="inlineStr">
        <is>
          <t>순수구독료</t>
        </is>
      </c>
      <c r="B29" s="8" t="n"/>
      <c r="C29" s="9">
        <f>B9</f>
        <v/>
      </c>
      <c r="D29" s="8" t="n"/>
      <c r="E29" s="9">
        <f>B9-B17-B18-B19-B20</f>
        <v/>
      </c>
      <c r="G29" s="11" t="inlineStr">
        <is>
          <t>총−케어−보증−(선납·할인)</t>
        </is>
      </c>
    </row>
    <row r="30">
      <c r="A30" s="7" t="inlineStr">
        <is>
          <t>리스료(월)</t>
        </is>
      </c>
      <c r="B30" s="8" t="n"/>
      <c r="C30" s="12">
        <f>C29/B5</f>
        <v/>
      </c>
      <c r="D30" s="8" t="n"/>
      <c r="E30" s="12">
        <f>E29/B5</f>
        <v/>
      </c>
      <c r="G30" s="11" t="inlineStr">
        <is>
          <t>순수 / N</t>
        </is>
      </c>
    </row>
    <row r="31">
      <c r="A31" s="7" t="inlineStr">
        <is>
          <t>리스채권</t>
        </is>
      </c>
      <c r="B31" s="8" t="n"/>
      <c r="C31" s="12">
        <f>MIN(B12,PV(0.0357/12,B5,-C29/B5))</f>
        <v/>
      </c>
      <c r="D31" s="8" t="n"/>
      <c r="E31" s="12">
        <f>MIN(B12,PV(0.0357/12,B5,-(B9-B18-B19-B20)/B5))-B17</f>
        <v/>
      </c>
      <c r="G31" s="11" t="inlineStr">
        <is>
          <t>MIN(제품,PV)−선납</t>
        </is>
      </c>
    </row>
    <row r="32">
      <c r="A32" s="7" t="inlineStr">
        <is>
          <t>월이자율</t>
        </is>
      </c>
      <c r="B32" s="8" t="n"/>
      <c r="C32" s="13">
        <f>RATE(B5,-C30,C31)</f>
        <v/>
      </c>
      <c r="D32" s="8" t="n"/>
      <c r="E32" s="13">
        <f>RATE(B5,-E30,E31)</f>
        <v/>
      </c>
      <c r="G32" s="11" t="inlineStr">
        <is>
          <t>RATE(N,−리스료,채권)</t>
        </is>
      </c>
    </row>
    <row r="33"/>
    <row r="34">
      <c r="B34" s="14" t="inlineStr">
        <is>
          <t>✍️ 할인전 상각표 (직접)</t>
        </is>
      </c>
      <c r="G34" s="15" t="inlineStr">
        <is>
          <t>✅ 할인전 정답표 (자동)</t>
        </is>
      </c>
    </row>
    <row r="35">
      <c r="A35" s="6" t="inlineStr">
        <is>
          <t>회차</t>
        </is>
      </c>
      <c r="B35" s="6" t="inlineStr">
        <is>
          <t>기초</t>
        </is>
      </c>
      <c r="C35" s="6" t="inlineStr">
        <is>
          <t>이자</t>
        </is>
      </c>
      <c r="D35" s="6" t="inlineStr">
        <is>
          <t>리스료</t>
        </is>
      </c>
      <c r="E35" s="6" t="inlineStr">
        <is>
          <t>기말</t>
        </is>
      </c>
      <c r="G35" s="6" t="inlineStr">
        <is>
          <t>기초</t>
        </is>
      </c>
      <c r="H35" s="6" t="inlineStr">
        <is>
          <t>이자</t>
        </is>
      </c>
      <c r="I35" s="6" t="inlineStr">
        <is>
          <t>리스료</t>
        </is>
      </c>
      <c r="J35" s="6" t="inlineStr">
        <is>
          <t>기말</t>
        </is>
      </c>
    </row>
    <row r="36">
      <c r="A36" s="16" t="n">
        <v>0</v>
      </c>
      <c r="B36" s="17" t="n"/>
      <c r="C36" s="17" t="n"/>
      <c r="D36" s="17" t="n"/>
      <c r="E36" s="17" t="n"/>
      <c r="G36" s="18" t="n"/>
      <c r="H36" s="18" t="n"/>
      <c r="I36" s="18" t="n"/>
      <c r="J36" s="18">
        <f>$C$31</f>
        <v/>
      </c>
    </row>
    <row r="37">
      <c r="A37" s="16" t="n">
        <v>1</v>
      </c>
      <c r="B37" s="17" t="n"/>
      <c r="C37" s="17" t="n"/>
      <c r="D37" s="17" t="n"/>
      <c r="E37" s="17" t="n"/>
      <c r="G37" s="19">
        <f>J36</f>
        <v/>
      </c>
      <c r="H37" s="19">
        <f>ROUND(-I37+($C$31*$C$32-$C$30)*($B$13/$B$14),0)</f>
        <v/>
      </c>
      <c r="I37" s="19">
        <f>-(ROUNDDOWN(($B$7/$B$5)*($B$13/$B$14),-2)-ROUNDDOWN(($B$10/$B$5)*($B$13/$B$14),-2)-ROUNDDOWN(($B$11/$B$5)*($B$13/$B$14),-2))</f>
        <v/>
      </c>
      <c r="J37" s="19">
        <f>G37+H37+I37</f>
        <v/>
      </c>
    </row>
    <row r="38">
      <c r="A38" s="16" t="n">
        <v>2</v>
      </c>
      <c r="B38" s="17" t="n"/>
      <c r="C38" s="17" t="n"/>
      <c r="D38" s="17" t="n"/>
      <c r="E38" s="17" t="n"/>
      <c r="G38" s="18">
        <f>J37</f>
        <v/>
      </c>
      <c r="H38" s="18">
        <f>ROUND(G38*$C$32,0)</f>
        <v/>
      </c>
      <c r="I38" s="18">
        <f>-$C$30</f>
        <v/>
      </c>
      <c r="J38" s="18">
        <f>G38+H38+I38</f>
        <v/>
      </c>
    </row>
    <row r="39">
      <c r="A39" s="16" t="n">
        <v>3</v>
      </c>
      <c r="B39" s="17" t="n"/>
      <c r="C39" s="17" t="n"/>
      <c r="D39" s="17" t="n"/>
      <c r="E39" s="17" t="n"/>
      <c r="G39" s="19">
        <f>J38</f>
        <v/>
      </c>
      <c r="H39" s="19">
        <f>ROUND(G39*$C$32,0)</f>
        <v/>
      </c>
      <c r="I39" s="19">
        <f>-$C$30</f>
        <v/>
      </c>
      <c r="J39" s="19">
        <f>G39+H39+I39</f>
        <v/>
      </c>
    </row>
    <row r="40">
      <c r="A40" s="16" t="n">
        <v>4</v>
      </c>
      <c r="B40" s="17" t="n"/>
      <c r="C40" s="17" t="n"/>
      <c r="D40" s="17" t="n"/>
      <c r="E40" s="17" t="n"/>
      <c r="G40" s="18">
        <f>J39</f>
        <v/>
      </c>
      <c r="H40" s="18">
        <f>ROUND(G40*$C$32,0)</f>
        <v/>
      </c>
      <c r="I40" s="18">
        <f>-$C$30</f>
        <v/>
      </c>
      <c r="J40" s="18">
        <f>G40+H40+I40</f>
        <v/>
      </c>
    </row>
    <row r="41">
      <c r="A41" s="16" t="n">
        <v>5</v>
      </c>
      <c r="B41" s="17" t="n"/>
      <c r="C41" s="17" t="n"/>
      <c r="D41" s="17" t="n"/>
      <c r="E41" s="17" t="n"/>
      <c r="G41" s="19">
        <f>J40</f>
        <v/>
      </c>
      <c r="H41" s="19">
        <f>ROUND(G41*$C$32,0)</f>
        <v/>
      </c>
      <c r="I41" s="19">
        <f>-$C$30</f>
        <v/>
      </c>
      <c r="J41" s="19">
        <f>G41+H41+I41</f>
        <v/>
      </c>
    </row>
    <row r="42">
      <c r="A42" s="16" t="n">
        <v>6</v>
      </c>
      <c r="B42" s="17" t="n"/>
      <c r="C42" s="17" t="n"/>
      <c r="D42" s="17" t="n"/>
      <c r="E42" s="17" t="n"/>
      <c r="G42" s="18">
        <f>J41</f>
        <v/>
      </c>
      <c r="H42" s="18">
        <f>ROUND(G42*$C$32,0)</f>
        <v/>
      </c>
      <c r="I42" s="18">
        <f>-$C$30</f>
        <v/>
      </c>
      <c r="J42" s="18">
        <f>G42+H42+I42</f>
        <v/>
      </c>
    </row>
    <row r="43">
      <c r="A43" s="16" t="n">
        <v>7</v>
      </c>
      <c r="B43" s="17" t="n"/>
      <c r="C43" s="17" t="n"/>
      <c r="D43" s="17" t="n"/>
      <c r="E43" s="17" t="n"/>
      <c r="G43" s="19">
        <f>J42</f>
        <v/>
      </c>
      <c r="H43" s="19">
        <f>ROUND(G43*$C$32,0)</f>
        <v/>
      </c>
      <c r="I43" s="19">
        <f>-$C$30</f>
        <v/>
      </c>
      <c r="J43" s="19">
        <f>G43+H43+I43</f>
        <v/>
      </c>
    </row>
    <row r="44">
      <c r="A44" s="16" t="n">
        <v>8</v>
      </c>
      <c r="B44" s="17" t="n"/>
      <c r="C44" s="17" t="n"/>
      <c r="D44" s="17" t="n"/>
      <c r="E44" s="17" t="n"/>
      <c r="G44" s="18">
        <f>J43</f>
        <v/>
      </c>
      <c r="H44" s="18">
        <f>ROUND(G44*$C$32,0)</f>
        <v/>
      </c>
      <c r="I44" s="18">
        <f>-$C$30</f>
        <v/>
      </c>
      <c r="J44" s="18">
        <f>G44+H44+I44</f>
        <v/>
      </c>
    </row>
    <row r="45">
      <c r="A45" s="16" t="n">
        <v>9</v>
      </c>
      <c r="B45" s="17" t="n"/>
      <c r="C45" s="17" t="n"/>
      <c r="D45" s="17" t="n"/>
      <c r="E45" s="17" t="n"/>
      <c r="G45" s="19">
        <f>J44</f>
        <v/>
      </c>
      <c r="H45" s="19">
        <f>ROUND(G45*$C$32,0)</f>
        <v/>
      </c>
      <c r="I45" s="19">
        <f>-$C$30</f>
        <v/>
      </c>
      <c r="J45" s="19">
        <f>G45+H45+I45</f>
        <v/>
      </c>
    </row>
    <row r="46">
      <c r="A46" s="16" t="n">
        <v>10</v>
      </c>
      <c r="B46" s="17" t="n"/>
      <c r="C46" s="17" t="n"/>
      <c r="D46" s="17" t="n"/>
      <c r="E46" s="17" t="n"/>
      <c r="G46" s="18">
        <f>J45</f>
        <v/>
      </c>
      <c r="H46" s="18">
        <f>ROUND(G46*$C$32,0)</f>
        <v/>
      </c>
      <c r="I46" s="18">
        <f>-$C$30</f>
        <v/>
      </c>
      <c r="J46" s="18">
        <f>G46+H46+I46</f>
        <v/>
      </c>
    </row>
    <row r="47">
      <c r="A47" s="16" t="n">
        <v>11</v>
      </c>
      <c r="B47" s="17" t="n"/>
      <c r="C47" s="17" t="n"/>
      <c r="D47" s="17" t="n"/>
      <c r="E47" s="17" t="n"/>
      <c r="G47" s="19">
        <f>J46</f>
        <v/>
      </c>
      <c r="H47" s="19">
        <f>ROUND(G47*$C$32,0)</f>
        <v/>
      </c>
      <c r="I47" s="19">
        <f>-$C$30</f>
        <v/>
      </c>
      <c r="J47" s="19">
        <f>G47+H47+I47</f>
        <v/>
      </c>
    </row>
    <row r="48">
      <c r="A48" s="16" t="n">
        <v>12</v>
      </c>
      <c r="B48" s="17" t="n"/>
      <c r="C48" s="17" t="n"/>
      <c r="D48" s="17" t="n"/>
      <c r="E48" s="17" t="n"/>
      <c r="G48" s="18">
        <f>J47</f>
        <v/>
      </c>
      <c r="H48" s="18">
        <f>ROUND(G48*$C$32,0)</f>
        <v/>
      </c>
      <c r="I48" s="18">
        <f>-$C$30</f>
        <v/>
      </c>
      <c r="J48" s="18">
        <f>G48+H48+I48</f>
        <v/>
      </c>
    </row>
    <row r="49">
      <c r="A49" s="16" t="n">
        <v>13</v>
      </c>
      <c r="B49" s="17" t="n"/>
      <c r="C49" s="17" t="n"/>
      <c r="D49" s="17" t="n"/>
      <c r="E49" s="17" t="n"/>
      <c r="G49" s="19">
        <f>J48</f>
        <v/>
      </c>
      <c r="H49" s="19">
        <f>ROUND(G49*$C$32,0)</f>
        <v/>
      </c>
      <c r="I49" s="19">
        <f>-$C$30</f>
        <v/>
      </c>
      <c r="J49" s="19">
        <f>G49+H49+I49</f>
        <v/>
      </c>
    </row>
    <row r="50">
      <c r="A50" s="16" t="n">
        <v>14</v>
      </c>
      <c r="B50" s="17" t="n"/>
      <c r="C50" s="17" t="n"/>
      <c r="D50" s="17" t="n"/>
      <c r="E50" s="17" t="n"/>
      <c r="G50" s="18">
        <f>J49</f>
        <v/>
      </c>
      <c r="H50" s="18">
        <f>ROUND(G50*$C$32,0)</f>
        <v/>
      </c>
      <c r="I50" s="18">
        <f>-$C$30</f>
        <v/>
      </c>
      <c r="J50" s="18">
        <f>G50+H50+I50</f>
        <v/>
      </c>
    </row>
    <row r="51">
      <c r="A51" s="16" t="n">
        <v>15</v>
      </c>
      <c r="B51" s="17" t="n"/>
      <c r="C51" s="17" t="n"/>
      <c r="D51" s="17" t="n"/>
      <c r="E51" s="17" t="n"/>
      <c r="G51" s="19">
        <f>J50</f>
        <v/>
      </c>
      <c r="H51" s="19">
        <f>ROUND(G51*$C$32,0)</f>
        <v/>
      </c>
      <c r="I51" s="19">
        <f>-$C$30</f>
        <v/>
      </c>
      <c r="J51" s="19">
        <f>G51+H51+I51</f>
        <v/>
      </c>
    </row>
    <row r="52">
      <c r="A52" s="16" t="n">
        <v>16</v>
      </c>
      <c r="B52" s="17" t="n"/>
      <c r="C52" s="17" t="n"/>
      <c r="D52" s="17" t="n"/>
      <c r="E52" s="17" t="n"/>
      <c r="G52" s="18">
        <f>J51</f>
        <v/>
      </c>
      <c r="H52" s="18">
        <f>ROUND(G52*$C$32,0)</f>
        <v/>
      </c>
      <c r="I52" s="18">
        <f>-$C$30</f>
        <v/>
      </c>
      <c r="J52" s="18">
        <f>G52+H52+I52</f>
        <v/>
      </c>
    </row>
    <row r="53">
      <c r="A53" s="16" t="n">
        <v>17</v>
      </c>
      <c r="B53" s="17" t="n"/>
      <c r="C53" s="17" t="n"/>
      <c r="D53" s="17" t="n"/>
      <c r="E53" s="17" t="n"/>
      <c r="G53" s="19">
        <f>J52</f>
        <v/>
      </c>
      <c r="H53" s="19">
        <f>ROUND(G53*$C$32,0)</f>
        <v/>
      </c>
      <c r="I53" s="19">
        <f>-$C$30</f>
        <v/>
      </c>
      <c r="J53" s="19">
        <f>G53+H53+I53</f>
        <v/>
      </c>
    </row>
    <row r="54">
      <c r="A54" s="16" t="n">
        <v>18</v>
      </c>
      <c r="B54" s="17" t="n"/>
      <c r="C54" s="17" t="n"/>
      <c r="D54" s="17" t="n"/>
      <c r="E54" s="17" t="n"/>
      <c r="G54" s="18">
        <f>J53</f>
        <v/>
      </c>
      <c r="H54" s="18">
        <f>ROUND(G54*$C$32,0)</f>
        <v/>
      </c>
      <c r="I54" s="18">
        <f>-$C$30</f>
        <v/>
      </c>
      <c r="J54" s="18">
        <f>G54+H54+I54</f>
        <v/>
      </c>
    </row>
    <row r="55">
      <c r="A55" s="16" t="n">
        <v>19</v>
      </c>
      <c r="B55" s="17" t="n"/>
      <c r="C55" s="17" t="n"/>
      <c r="D55" s="17" t="n"/>
      <c r="E55" s="17" t="n"/>
      <c r="G55" s="19">
        <f>J54</f>
        <v/>
      </c>
      <c r="H55" s="19">
        <f>ROUND(G55*$C$32,0)</f>
        <v/>
      </c>
      <c r="I55" s="19">
        <f>-$C$30</f>
        <v/>
      </c>
      <c r="J55" s="19">
        <f>G55+H55+I55</f>
        <v/>
      </c>
    </row>
    <row r="56">
      <c r="A56" s="16" t="n">
        <v>20</v>
      </c>
      <c r="B56" s="17" t="n"/>
      <c r="C56" s="17" t="n"/>
      <c r="D56" s="17" t="n"/>
      <c r="E56" s="17" t="n"/>
      <c r="G56" s="18">
        <f>J55</f>
        <v/>
      </c>
      <c r="H56" s="18">
        <f>ROUND(G56*$C$32,0)</f>
        <v/>
      </c>
      <c r="I56" s="18">
        <f>-$C$30</f>
        <v/>
      </c>
      <c r="J56" s="18">
        <f>G56+H56+I56</f>
        <v/>
      </c>
    </row>
    <row r="57">
      <c r="A57" s="16" t="n">
        <v>21</v>
      </c>
      <c r="B57" s="17" t="n"/>
      <c r="C57" s="17" t="n"/>
      <c r="D57" s="17" t="n"/>
      <c r="E57" s="17" t="n"/>
      <c r="G57" s="19">
        <f>J56</f>
        <v/>
      </c>
      <c r="H57" s="19">
        <f>ROUND(G57*$C$32,0)</f>
        <v/>
      </c>
      <c r="I57" s="19">
        <f>-$C$30</f>
        <v/>
      </c>
      <c r="J57" s="19">
        <f>G57+H57+I57</f>
        <v/>
      </c>
    </row>
    <row r="58">
      <c r="A58" s="16" t="n">
        <v>22</v>
      </c>
      <c r="B58" s="17" t="n"/>
      <c r="C58" s="17" t="n"/>
      <c r="D58" s="17" t="n"/>
      <c r="E58" s="17" t="n"/>
      <c r="G58" s="18">
        <f>J57</f>
        <v/>
      </c>
      <c r="H58" s="18">
        <f>ROUND(G58*$C$32,0)</f>
        <v/>
      </c>
      <c r="I58" s="18">
        <f>-$C$30</f>
        <v/>
      </c>
      <c r="J58" s="18">
        <f>G58+H58+I58</f>
        <v/>
      </c>
    </row>
    <row r="59">
      <c r="A59" s="16" t="n">
        <v>23</v>
      </c>
      <c r="B59" s="17" t="n"/>
      <c r="C59" s="17" t="n"/>
      <c r="D59" s="17" t="n"/>
      <c r="E59" s="17" t="n"/>
      <c r="G59" s="19">
        <f>J58</f>
        <v/>
      </c>
      <c r="H59" s="19">
        <f>ROUND(G59*$C$32,0)</f>
        <v/>
      </c>
      <c r="I59" s="19">
        <f>-$C$30</f>
        <v/>
      </c>
      <c r="J59" s="19">
        <f>G59+H59+I59</f>
        <v/>
      </c>
    </row>
    <row r="60">
      <c r="A60" s="16" t="n">
        <v>24</v>
      </c>
      <c r="B60" s="17" t="n"/>
      <c r="C60" s="17" t="n"/>
      <c r="D60" s="17" t="n"/>
      <c r="E60" s="17" t="n"/>
      <c r="G60" s="18">
        <f>J59</f>
        <v/>
      </c>
      <c r="H60" s="18">
        <f>ROUND(G60*$C$32,0)</f>
        <v/>
      </c>
      <c r="I60" s="18">
        <f>-$C$30</f>
        <v/>
      </c>
      <c r="J60" s="18">
        <f>G60+H60+I60</f>
        <v/>
      </c>
    </row>
    <row r="61">
      <c r="A61" s="16" t="n">
        <v>25</v>
      </c>
      <c r="B61" s="17" t="n"/>
      <c r="C61" s="17" t="n"/>
      <c r="D61" s="17" t="n"/>
      <c r="E61" s="17" t="n"/>
      <c r="G61" s="19">
        <f>J60</f>
        <v/>
      </c>
      <c r="H61" s="19">
        <f>ROUND(G61*$C$32,0)</f>
        <v/>
      </c>
      <c r="I61" s="19">
        <f>-$C$30</f>
        <v/>
      </c>
      <c r="J61" s="19">
        <f>G61+H61+I61</f>
        <v/>
      </c>
    </row>
    <row r="62">
      <c r="A62" s="16" t="n">
        <v>26</v>
      </c>
      <c r="B62" s="17" t="n"/>
      <c r="C62" s="17" t="n"/>
      <c r="D62" s="17" t="n"/>
      <c r="E62" s="17" t="n"/>
      <c r="G62" s="18">
        <f>J61</f>
        <v/>
      </c>
      <c r="H62" s="18">
        <f>ROUND(G62*$C$32,0)</f>
        <v/>
      </c>
      <c r="I62" s="18">
        <f>-$C$30</f>
        <v/>
      </c>
      <c r="J62" s="18">
        <f>G62+H62+I62</f>
        <v/>
      </c>
    </row>
    <row r="63">
      <c r="A63" s="16" t="n">
        <v>27</v>
      </c>
      <c r="B63" s="17" t="n"/>
      <c r="C63" s="17" t="n"/>
      <c r="D63" s="17" t="n"/>
      <c r="E63" s="17" t="n"/>
      <c r="G63" s="19">
        <f>J62</f>
        <v/>
      </c>
      <c r="H63" s="19">
        <f>ROUND(G63*$C$32,0)</f>
        <v/>
      </c>
      <c r="I63" s="19">
        <f>-$C$30</f>
        <v/>
      </c>
      <c r="J63" s="19">
        <f>G63+H63+I63</f>
        <v/>
      </c>
    </row>
    <row r="64">
      <c r="A64" s="16" t="n">
        <v>28</v>
      </c>
      <c r="B64" s="17" t="n"/>
      <c r="C64" s="17" t="n"/>
      <c r="D64" s="17" t="n"/>
      <c r="E64" s="17" t="n"/>
      <c r="G64" s="18">
        <f>J63</f>
        <v/>
      </c>
      <c r="H64" s="18">
        <f>ROUND(G64*$C$32,0)</f>
        <v/>
      </c>
      <c r="I64" s="18">
        <f>-$C$30</f>
        <v/>
      </c>
      <c r="J64" s="18">
        <f>G64+H64+I64</f>
        <v/>
      </c>
    </row>
    <row r="65">
      <c r="A65" s="16" t="n">
        <v>29</v>
      </c>
      <c r="B65" s="17" t="n"/>
      <c r="C65" s="17" t="n"/>
      <c r="D65" s="17" t="n"/>
      <c r="E65" s="17" t="n"/>
      <c r="G65" s="19">
        <f>J64</f>
        <v/>
      </c>
      <c r="H65" s="19">
        <f>ROUND(G65*$C$32,0)</f>
        <v/>
      </c>
      <c r="I65" s="19">
        <f>-$C$30</f>
        <v/>
      </c>
      <c r="J65" s="19">
        <f>G65+H65+I65</f>
        <v/>
      </c>
    </row>
    <row r="66">
      <c r="A66" s="16" t="n">
        <v>30</v>
      </c>
      <c r="B66" s="17" t="n"/>
      <c r="C66" s="17" t="n"/>
      <c r="D66" s="17" t="n"/>
      <c r="E66" s="17" t="n"/>
      <c r="G66" s="18">
        <f>J65</f>
        <v/>
      </c>
      <c r="H66" s="18">
        <f>ROUND(G66*$C$32,0)</f>
        <v/>
      </c>
      <c r="I66" s="18">
        <f>-$C$30</f>
        <v/>
      </c>
      <c r="J66" s="18">
        <f>G66+H66+I66</f>
        <v/>
      </c>
    </row>
    <row r="67">
      <c r="A67" s="16" t="n">
        <v>31</v>
      </c>
      <c r="B67" s="17" t="n"/>
      <c r="C67" s="17" t="n"/>
      <c r="D67" s="17" t="n"/>
      <c r="E67" s="17" t="n"/>
      <c r="G67" s="19">
        <f>J66</f>
        <v/>
      </c>
      <c r="H67" s="19">
        <f>ROUND(G67*$C$32,0)</f>
        <v/>
      </c>
      <c r="I67" s="19">
        <f>-$C$30</f>
        <v/>
      </c>
      <c r="J67" s="19">
        <f>G67+H67+I67</f>
        <v/>
      </c>
    </row>
    <row r="68">
      <c r="A68" s="16" t="n">
        <v>32</v>
      </c>
      <c r="B68" s="17" t="n"/>
      <c r="C68" s="17" t="n"/>
      <c r="D68" s="17" t="n"/>
      <c r="E68" s="17" t="n"/>
      <c r="G68" s="18">
        <f>J67</f>
        <v/>
      </c>
      <c r="H68" s="18">
        <f>ROUND(G68*$C$32,0)</f>
        <v/>
      </c>
      <c r="I68" s="18">
        <f>-$C$30</f>
        <v/>
      </c>
      <c r="J68" s="18">
        <f>G68+H68+I68</f>
        <v/>
      </c>
    </row>
    <row r="69">
      <c r="A69" s="16" t="n">
        <v>33</v>
      </c>
      <c r="B69" s="17" t="n"/>
      <c r="C69" s="17" t="n"/>
      <c r="D69" s="17" t="n"/>
      <c r="E69" s="17" t="n"/>
      <c r="G69" s="19">
        <f>J68</f>
        <v/>
      </c>
      <c r="H69" s="19">
        <f>ROUND(G69*$C$32,0)</f>
        <v/>
      </c>
      <c r="I69" s="19">
        <f>-$C$30</f>
        <v/>
      </c>
      <c r="J69" s="19">
        <f>G69+H69+I69</f>
        <v/>
      </c>
    </row>
    <row r="70">
      <c r="A70" s="16" t="n">
        <v>34</v>
      </c>
      <c r="B70" s="17" t="n"/>
      <c r="C70" s="17" t="n"/>
      <c r="D70" s="17" t="n"/>
      <c r="E70" s="17" t="n"/>
      <c r="G70" s="18">
        <f>J69</f>
        <v/>
      </c>
      <c r="H70" s="18">
        <f>ROUND(G70*$C$32,0)</f>
        <v/>
      </c>
      <c r="I70" s="18">
        <f>-$C$30</f>
        <v/>
      </c>
      <c r="J70" s="18">
        <f>G70+H70+I70</f>
        <v/>
      </c>
    </row>
    <row r="71">
      <c r="A71" s="16" t="n">
        <v>35</v>
      </c>
      <c r="B71" s="17" t="n"/>
      <c r="C71" s="17" t="n"/>
      <c r="D71" s="17" t="n"/>
      <c r="E71" s="17" t="n"/>
      <c r="G71" s="19">
        <f>J70</f>
        <v/>
      </c>
      <c r="H71" s="19">
        <f>ROUND(G71*$C$32,0)</f>
        <v/>
      </c>
      <c r="I71" s="19">
        <f>-$C$30</f>
        <v/>
      </c>
      <c r="J71" s="19">
        <f>G71+H71+I71</f>
        <v/>
      </c>
    </row>
    <row r="72">
      <c r="A72" s="16" t="n">
        <v>36</v>
      </c>
      <c r="B72" s="17" t="n"/>
      <c r="C72" s="17" t="n"/>
      <c r="D72" s="17" t="n"/>
      <c r="E72" s="17" t="n"/>
      <c r="G72" s="18">
        <f>J71</f>
        <v/>
      </c>
      <c r="H72" s="18">
        <f>ROUND(G72*$C$32,0)</f>
        <v/>
      </c>
      <c r="I72" s="18">
        <f>-$C$30</f>
        <v/>
      </c>
      <c r="J72" s="18">
        <f>G72+H72+I72</f>
        <v/>
      </c>
    </row>
    <row r="73">
      <c r="A73" s="16" t="n">
        <v>37</v>
      </c>
      <c r="B73" s="17" t="n"/>
      <c r="C73" s="17" t="n"/>
      <c r="D73" s="17" t="n"/>
      <c r="E73" s="17" t="n"/>
      <c r="G73" s="19">
        <f>J72</f>
        <v/>
      </c>
      <c r="H73" s="19">
        <f>ROUND(G73*$C$32,0)</f>
        <v/>
      </c>
      <c r="I73" s="19">
        <f>-$C$30</f>
        <v/>
      </c>
      <c r="J73" s="19">
        <f>G73+H73+I73</f>
        <v/>
      </c>
    </row>
    <row r="74">
      <c r="A74" s="16" t="n">
        <v>38</v>
      </c>
      <c r="B74" s="17" t="n"/>
      <c r="C74" s="17" t="n"/>
      <c r="D74" s="17" t="n"/>
      <c r="E74" s="17" t="n"/>
      <c r="G74" s="18">
        <f>J73</f>
        <v/>
      </c>
      <c r="H74" s="18">
        <f>ROUND(G74*$C$32,0)</f>
        <v/>
      </c>
      <c r="I74" s="18">
        <f>-$C$30</f>
        <v/>
      </c>
      <c r="J74" s="18">
        <f>G74+H74+I74</f>
        <v/>
      </c>
    </row>
    <row r="75">
      <c r="A75" s="16" t="n">
        <v>39</v>
      </c>
      <c r="B75" s="17" t="n"/>
      <c r="C75" s="17" t="n"/>
      <c r="D75" s="17" t="n"/>
      <c r="E75" s="17" t="n"/>
      <c r="G75" s="19">
        <f>J74</f>
        <v/>
      </c>
      <c r="H75" s="19">
        <f>ROUND(G75*$C$32,0)</f>
        <v/>
      </c>
      <c r="I75" s="19">
        <f>-$C$30</f>
        <v/>
      </c>
      <c r="J75" s="19">
        <f>G75+H75+I75</f>
        <v/>
      </c>
    </row>
    <row r="76">
      <c r="A76" s="16" t="n">
        <v>40</v>
      </c>
      <c r="B76" s="17" t="n"/>
      <c r="C76" s="17" t="n"/>
      <c r="D76" s="17" t="n"/>
      <c r="E76" s="17" t="n"/>
      <c r="G76" s="18">
        <f>J75</f>
        <v/>
      </c>
      <c r="H76" s="18">
        <f>ROUND(G76*$C$32,0)</f>
        <v/>
      </c>
      <c r="I76" s="18">
        <f>-$C$30</f>
        <v/>
      </c>
      <c r="J76" s="18">
        <f>G76+H76+I76</f>
        <v/>
      </c>
    </row>
    <row r="77">
      <c r="A77" s="16" t="n">
        <v>41</v>
      </c>
      <c r="B77" s="17" t="n"/>
      <c r="C77" s="17" t="n"/>
      <c r="D77" s="17" t="n"/>
      <c r="E77" s="17" t="n"/>
      <c r="G77" s="19">
        <f>J76</f>
        <v/>
      </c>
      <c r="H77" s="19">
        <f>ROUND(G77*$C$32,0)</f>
        <v/>
      </c>
      <c r="I77" s="19">
        <f>-$C$30</f>
        <v/>
      </c>
      <c r="J77" s="19">
        <f>G77+H77+I77</f>
        <v/>
      </c>
    </row>
    <row r="78">
      <c r="A78" s="16" t="n">
        <v>42</v>
      </c>
      <c r="B78" s="17" t="n"/>
      <c r="C78" s="17" t="n"/>
      <c r="D78" s="17" t="n"/>
      <c r="E78" s="17" t="n"/>
      <c r="G78" s="18">
        <f>J77</f>
        <v/>
      </c>
      <c r="H78" s="18">
        <f>ROUND(G78*$C$32,0)</f>
        <v/>
      </c>
      <c r="I78" s="18">
        <f>-$C$30</f>
        <v/>
      </c>
      <c r="J78" s="18">
        <f>G78+H78+I78</f>
        <v/>
      </c>
    </row>
    <row r="79">
      <c r="A79" s="16" t="n">
        <v>43</v>
      </c>
      <c r="B79" s="17" t="n"/>
      <c r="C79" s="17" t="n"/>
      <c r="D79" s="17" t="n"/>
      <c r="E79" s="17" t="n"/>
      <c r="G79" s="19">
        <f>J78</f>
        <v/>
      </c>
      <c r="H79" s="19">
        <f>ROUND(G79*$C$32,0)</f>
        <v/>
      </c>
      <c r="I79" s="19">
        <f>-$C$30</f>
        <v/>
      </c>
      <c r="J79" s="19">
        <f>G79+H79+I79</f>
        <v/>
      </c>
    </row>
    <row r="80">
      <c r="A80" s="16" t="n">
        <v>44</v>
      </c>
      <c r="B80" s="17" t="n"/>
      <c r="C80" s="17" t="n"/>
      <c r="D80" s="17" t="n"/>
      <c r="E80" s="17" t="n"/>
      <c r="G80" s="18">
        <f>J79</f>
        <v/>
      </c>
      <c r="H80" s="18">
        <f>ROUND(G80*$C$32,0)</f>
        <v/>
      </c>
      <c r="I80" s="18">
        <f>-$C$30</f>
        <v/>
      </c>
      <c r="J80" s="18">
        <f>G80+H80+I80</f>
        <v/>
      </c>
    </row>
    <row r="81">
      <c r="A81" s="16" t="n">
        <v>45</v>
      </c>
      <c r="B81" s="17" t="n"/>
      <c r="C81" s="17" t="n"/>
      <c r="D81" s="17" t="n"/>
      <c r="E81" s="17" t="n"/>
      <c r="G81" s="19">
        <f>J80</f>
        <v/>
      </c>
      <c r="H81" s="19">
        <f>ROUND(G81*$C$32,0)</f>
        <v/>
      </c>
      <c r="I81" s="19">
        <f>-$C$30</f>
        <v/>
      </c>
      <c r="J81" s="19">
        <f>G81+H81+I81</f>
        <v/>
      </c>
    </row>
    <row r="82">
      <c r="A82" s="16" t="n">
        <v>46</v>
      </c>
      <c r="B82" s="17" t="n"/>
      <c r="C82" s="17" t="n"/>
      <c r="D82" s="17" t="n"/>
      <c r="E82" s="17" t="n"/>
      <c r="G82" s="18">
        <f>J81</f>
        <v/>
      </c>
      <c r="H82" s="18">
        <f>ROUND(G82*$C$32,0)</f>
        <v/>
      </c>
      <c r="I82" s="18">
        <f>-$C$30</f>
        <v/>
      </c>
      <c r="J82" s="18">
        <f>G82+H82+I82</f>
        <v/>
      </c>
    </row>
    <row r="83">
      <c r="A83" s="16" t="n">
        <v>47</v>
      </c>
      <c r="B83" s="17" t="n"/>
      <c r="C83" s="17" t="n"/>
      <c r="D83" s="17" t="n"/>
      <c r="E83" s="17" t="n"/>
      <c r="G83" s="19">
        <f>J82</f>
        <v/>
      </c>
      <c r="H83" s="19">
        <f>ROUND(G83*$C$32,0)</f>
        <v/>
      </c>
      <c r="I83" s="19">
        <f>-$C$30</f>
        <v/>
      </c>
      <c r="J83" s="19">
        <f>G83+H83+I83</f>
        <v/>
      </c>
    </row>
    <row r="84">
      <c r="A84" s="16" t="n">
        <v>48</v>
      </c>
      <c r="B84" s="17" t="n"/>
      <c r="C84" s="17" t="n"/>
      <c r="D84" s="17" t="n"/>
      <c r="E84" s="17" t="n"/>
      <c r="G84" s="18">
        <f>J83</f>
        <v/>
      </c>
      <c r="H84" s="18">
        <f>ROUND(G84*$C$32,0)</f>
        <v/>
      </c>
      <c r="I84" s="18">
        <f>-$C$30</f>
        <v/>
      </c>
      <c r="J84" s="18">
        <f>G84+H84+I84</f>
        <v/>
      </c>
    </row>
    <row r="85">
      <c r="A85" s="16" t="n">
        <v>49</v>
      </c>
      <c r="B85" s="17" t="n"/>
      <c r="C85" s="17" t="n"/>
      <c r="D85" s="17" t="n"/>
      <c r="E85" s="17" t="n"/>
      <c r="G85" s="19">
        <f>J84</f>
        <v/>
      </c>
      <c r="H85" s="19">
        <f>ROUND(G85*$C$32,0)</f>
        <v/>
      </c>
      <c r="I85" s="19">
        <f>-$C$30</f>
        <v/>
      </c>
      <c r="J85" s="19">
        <f>G85+H85+I85</f>
        <v/>
      </c>
    </row>
    <row r="86">
      <c r="A86" s="16" t="n">
        <v>50</v>
      </c>
      <c r="B86" s="17" t="n"/>
      <c r="C86" s="17" t="n"/>
      <c r="D86" s="17" t="n"/>
      <c r="E86" s="17" t="n"/>
      <c r="G86" s="18">
        <f>J85</f>
        <v/>
      </c>
      <c r="H86" s="18">
        <f>ROUND(G86*$C$32,0)</f>
        <v/>
      </c>
      <c r="I86" s="18">
        <f>-$C$30</f>
        <v/>
      </c>
      <c r="J86" s="18">
        <f>G86+H86+I86</f>
        <v/>
      </c>
    </row>
    <row r="87">
      <c r="A87" s="16" t="n">
        <v>51</v>
      </c>
      <c r="B87" s="17" t="n"/>
      <c r="C87" s="17" t="n"/>
      <c r="D87" s="17" t="n"/>
      <c r="E87" s="17" t="n"/>
      <c r="G87" s="19">
        <f>J86</f>
        <v/>
      </c>
      <c r="H87" s="19">
        <f>ROUND(G87*$C$32,0)</f>
        <v/>
      </c>
      <c r="I87" s="19">
        <f>-$C$30</f>
        <v/>
      </c>
      <c r="J87" s="19">
        <f>G87+H87+I87</f>
        <v/>
      </c>
    </row>
    <row r="88">
      <c r="A88" s="16" t="n">
        <v>52</v>
      </c>
      <c r="B88" s="17" t="n"/>
      <c r="C88" s="17" t="n"/>
      <c r="D88" s="17" t="n"/>
      <c r="E88" s="17" t="n"/>
      <c r="G88" s="18">
        <f>J87</f>
        <v/>
      </c>
      <c r="H88" s="18">
        <f>ROUND(G88*$C$32,0)</f>
        <v/>
      </c>
      <c r="I88" s="18">
        <f>-$C$30</f>
        <v/>
      </c>
      <c r="J88" s="18">
        <f>G88+H88+I88</f>
        <v/>
      </c>
    </row>
    <row r="89">
      <c r="A89" s="16" t="n">
        <v>53</v>
      </c>
      <c r="B89" s="17" t="n"/>
      <c r="C89" s="17" t="n"/>
      <c r="D89" s="17" t="n"/>
      <c r="E89" s="17" t="n"/>
      <c r="G89" s="19">
        <f>J88</f>
        <v/>
      </c>
      <c r="H89" s="19">
        <f>ROUND(G89*$C$32,0)</f>
        <v/>
      </c>
      <c r="I89" s="19">
        <f>-$C$30</f>
        <v/>
      </c>
      <c r="J89" s="19">
        <f>G89+H89+I89</f>
        <v/>
      </c>
    </row>
    <row r="90">
      <c r="A90" s="16" t="n">
        <v>54</v>
      </c>
      <c r="B90" s="17" t="n"/>
      <c r="C90" s="17" t="n"/>
      <c r="D90" s="17" t="n"/>
      <c r="E90" s="17" t="n"/>
      <c r="G90" s="18">
        <f>J89</f>
        <v/>
      </c>
      <c r="H90" s="18">
        <f>ROUND(G90*$C$32,0)</f>
        <v/>
      </c>
      <c r="I90" s="18">
        <f>-$C$30</f>
        <v/>
      </c>
      <c r="J90" s="18">
        <f>G90+H90+I90</f>
        <v/>
      </c>
    </row>
    <row r="91">
      <c r="A91" s="16" t="n">
        <v>55</v>
      </c>
      <c r="B91" s="17" t="n"/>
      <c r="C91" s="17" t="n"/>
      <c r="D91" s="17" t="n"/>
      <c r="E91" s="17" t="n"/>
      <c r="G91" s="19">
        <f>J90</f>
        <v/>
      </c>
      <c r="H91" s="19">
        <f>ROUND(G91*$C$32,0)</f>
        <v/>
      </c>
      <c r="I91" s="19">
        <f>-$C$30</f>
        <v/>
      </c>
      <c r="J91" s="19">
        <f>G91+H91+I91</f>
        <v/>
      </c>
    </row>
    <row r="92">
      <c r="A92" s="16" t="n">
        <v>56</v>
      </c>
      <c r="B92" s="17" t="n"/>
      <c r="C92" s="17" t="n"/>
      <c r="D92" s="17" t="n"/>
      <c r="E92" s="17" t="n"/>
      <c r="G92" s="18">
        <f>J91</f>
        <v/>
      </c>
      <c r="H92" s="18">
        <f>ROUND(G92*$C$32,0)</f>
        <v/>
      </c>
      <c r="I92" s="18">
        <f>-$C$30</f>
        <v/>
      </c>
      <c r="J92" s="18">
        <f>G92+H92+I92</f>
        <v/>
      </c>
    </row>
    <row r="93">
      <c r="A93" s="16" t="n">
        <v>57</v>
      </c>
      <c r="B93" s="17" t="n"/>
      <c r="C93" s="17" t="n"/>
      <c r="D93" s="17" t="n"/>
      <c r="E93" s="17" t="n"/>
      <c r="G93" s="19">
        <f>J92</f>
        <v/>
      </c>
      <c r="H93" s="19">
        <f>ROUND(G93*$C$32,0)</f>
        <v/>
      </c>
      <c r="I93" s="19">
        <f>-$C$30</f>
        <v/>
      </c>
      <c r="J93" s="19">
        <f>G93+H93+I93</f>
        <v/>
      </c>
    </row>
    <row r="94">
      <c r="A94" s="16" t="n">
        <v>58</v>
      </c>
      <c r="B94" s="17" t="n"/>
      <c r="C94" s="17" t="n"/>
      <c r="D94" s="17" t="n"/>
      <c r="E94" s="17" t="n"/>
      <c r="G94" s="18">
        <f>J93</f>
        <v/>
      </c>
      <c r="H94" s="18">
        <f>ROUND(G94*$C$32,0)</f>
        <v/>
      </c>
      <c r="I94" s="18">
        <f>-$C$30</f>
        <v/>
      </c>
      <c r="J94" s="18">
        <f>G94+H94+I94</f>
        <v/>
      </c>
    </row>
    <row r="95">
      <c r="A95" s="16" t="n">
        <v>59</v>
      </c>
      <c r="B95" s="17" t="n"/>
      <c r="C95" s="17" t="n"/>
      <c r="D95" s="17" t="n"/>
      <c r="E95" s="17" t="n"/>
      <c r="G95" s="19">
        <f>J94</f>
        <v/>
      </c>
      <c r="H95" s="19">
        <f>ROUND(G95*$C$32,0)</f>
        <v/>
      </c>
      <c r="I95" s="19">
        <f>-$C$30</f>
        <v/>
      </c>
      <c r="J95" s="19">
        <f>G95+H95+I95</f>
        <v/>
      </c>
    </row>
    <row r="96">
      <c r="A96" s="16" t="n">
        <v>60</v>
      </c>
      <c r="B96" s="17" t="n"/>
      <c r="C96" s="17" t="n"/>
      <c r="D96" s="17" t="n"/>
      <c r="E96" s="17" t="n"/>
      <c r="G96" s="18">
        <f>J95</f>
        <v/>
      </c>
      <c r="H96" s="18">
        <f>ROUND(G96*$C$32,0)</f>
        <v/>
      </c>
      <c r="I96" s="18">
        <f>-$C$30</f>
        <v/>
      </c>
      <c r="J96" s="18">
        <f>G96+H96+I96</f>
        <v/>
      </c>
    </row>
    <row r="97">
      <c r="A97" s="16" t="n">
        <v>61</v>
      </c>
      <c r="B97" s="17" t="n"/>
      <c r="C97" s="17" t="n"/>
      <c r="D97" s="17" t="n"/>
      <c r="E97" s="17" t="n"/>
      <c r="G97" s="19">
        <f>J96</f>
        <v/>
      </c>
      <c r="H97" s="19">
        <f>ROUND(G97*$C$32,0)</f>
        <v/>
      </c>
      <c r="I97" s="19">
        <f>-$C$30</f>
        <v/>
      </c>
      <c r="J97" s="19">
        <f>G97+H97+I97</f>
        <v/>
      </c>
    </row>
    <row r="98">
      <c r="A98" s="16" t="n">
        <v>62</v>
      </c>
      <c r="B98" s="17" t="n"/>
      <c r="C98" s="17" t="n"/>
      <c r="D98" s="17" t="n"/>
      <c r="E98" s="17" t="n"/>
      <c r="G98" s="18">
        <f>J97</f>
        <v/>
      </c>
      <c r="H98" s="18">
        <f>ROUND(G98*$C$32,0)</f>
        <v/>
      </c>
      <c r="I98" s="18">
        <f>-$C$30</f>
        <v/>
      </c>
      <c r="J98" s="18">
        <f>G98+H98+I98</f>
        <v/>
      </c>
    </row>
    <row r="99">
      <c r="A99" s="16" t="n">
        <v>63</v>
      </c>
      <c r="B99" s="17" t="n"/>
      <c r="C99" s="17" t="n"/>
      <c r="D99" s="17" t="n"/>
      <c r="E99" s="17" t="n"/>
      <c r="G99" s="19">
        <f>J98</f>
        <v/>
      </c>
      <c r="H99" s="19">
        <f>ROUND(G99*$C$32,0)</f>
        <v/>
      </c>
      <c r="I99" s="19">
        <f>-$C$30</f>
        <v/>
      </c>
      <c r="J99" s="19">
        <f>G99+H99+I99</f>
        <v/>
      </c>
    </row>
    <row r="100">
      <c r="A100" s="16" t="n">
        <v>64</v>
      </c>
      <c r="B100" s="17" t="n"/>
      <c r="C100" s="17" t="n"/>
      <c r="D100" s="17" t="n"/>
      <c r="E100" s="17" t="n"/>
      <c r="G100" s="18">
        <f>J99</f>
        <v/>
      </c>
      <c r="H100" s="18">
        <f>ROUND(G100*$C$32,0)</f>
        <v/>
      </c>
      <c r="I100" s="18">
        <f>-$C$30</f>
        <v/>
      </c>
      <c r="J100" s="18">
        <f>G100+H100+I100</f>
        <v/>
      </c>
    </row>
    <row r="101">
      <c r="A101" s="16" t="n">
        <v>65</v>
      </c>
      <c r="B101" s="17" t="n"/>
      <c r="C101" s="17" t="n"/>
      <c r="D101" s="17" t="n"/>
      <c r="E101" s="17" t="n"/>
      <c r="G101" s="19">
        <f>J100</f>
        <v/>
      </c>
      <c r="H101" s="19">
        <f>ROUND(G101*$C$32,0)</f>
        <v/>
      </c>
      <c r="I101" s="19">
        <f>-$C$30</f>
        <v/>
      </c>
      <c r="J101" s="19">
        <f>G101+H101+I101</f>
        <v/>
      </c>
    </row>
    <row r="102">
      <c r="A102" s="16" t="n">
        <v>66</v>
      </c>
      <c r="B102" s="17" t="n"/>
      <c r="C102" s="17" t="n"/>
      <c r="D102" s="17" t="n"/>
      <c r="E102" s="17" t="n"/>
      <c r="G102" s="18">
        <f>J101</f>
        <v/>
      </c>
      <c r="H102" s="18">
        <f>ROUND(G102*$C$32,0)</f>
        <v/>
      </c>
      <c r="I102" s="18">
        <f>-$C$30</f>
        <v/>
      </c>
      <c r="J102" s="18">
        <f>G102+H102+I102</f>
        <v/>
      </c>
    </row>
    <row r="103">
      <c r="A103" s="16" t="n">
        <v>67</v>
      </c>
      <c r="B103" s="17" t="n"/>
      <c r="C103" s="17" t="n"/>
      <c r="D103" s="17" t="n"/>
      <c r="E103" s="17" t="n"/>
      <c r="G103" s="19">
        <f>J102</f>
        <v/>
      </c>
      <c r="H103" s="19">
        <f>ROUND(G103*$C$32,0)</f>
        <v/>
      </c>
      <c r="I103" s="19">
        <f>-$C$30</f>
        <v/>
      </c>
      <c r="J103" s="19">
        <f>G103+H103+I103</f>
        <v/>
      </c>
    </row>
    <row r="104">
      <c r="A104" s="16" t="n">
        <v>68</v>
      </c>
      <c r="B104" s="17" t="n"/>
      <c r="C104" s="17" t="n"/>
      <c r="D104" s="17" t="n"/>
      <c r="E104" s="17" t="n"/>
      <c r="G104" s="18">
        <f>J103</f>
        <v/>
      </c>
      <c r="H104" s="18">
        <f>ROUND(G104*$C$32,0)</f>
        <v/>
      </c>
      <c r="I104" s="18">
        <f>-$C$30</f>
        <v/>
      </c>
      <c r="J104" s="18">
        <f>G104+H104+I104</f>
        <v/>
      </c>
    </row>
    <row r="105">
      <c r="A105" s="16" t="n">
        <v>69</v>
      </c>
      <c r="B105" s="17" t="n"/>
      <c r="C105" s="17" t="n"/>
      <c r="D105" s="17" t="n"/>
      <c r="E105" s="17" t="n"/>
      <c r="G105" s="19">
        <f>J104</f>
        <v/>
      </c>
      <c r="H105" s="19">
        <f>ROUND(G105*$C$32,0)</f>
        <v/>
      </c>
      <c r="I105" s="19">
        <f>-$C$30</f>
        <v/>
      </c>
      <c r="J105" s="19">
        <f>G105+H105+I105</f>
        <v/>
      </c>
    </row>
    <row r="106">
      <c r="A106" s="16" t="n">
        <v>70</v>
      </c>
      <c r="B106" s="17" t="n"/>
      <c r="C106" s="17" t="n"/>
      <c r="D106" s="17" t="n"/>
      <c r="E106" s="17" t="n"/>
      <c r="G106" s="18">
        <f>J105</f>
        <v/>
      </c>
      <c r="H106" s="18">
        <f>ROUND(G106*$C$32,0)</f>
        <v/>
      </c>
      <c r="I106" s="18">
        <f>-$C$30</f>
        <v/>
      </c>
      <c r="J106" s="18">
        <f>G106+H106+I106</f>
        <v/>
      </c>
    </row>
    <row r="107">
      <c r="A107" s="16" t="n">
        <v>71</v>
      </c>
      <c r="B107" s="17" t="n"/>
      <c r="C107" s="17" t="n"/>
      <c r="D107" s="17" t="n"/>
      <c r="E107" s="17" t="n"/>
      <c r="G107" s="19">
        <f>J106</f>
        <v/>
      </c>
      <c r="H107" s="19">
        <f>ROUND(G107*$C$32,0)</f>
        <v/>
      </c>
      <c r="I107" s="19">
        <f>-$C$30</f>
        <v/>
      </c>
      <c r="J107" s="19">
        <f>G107+H107+I107</f>
        <v/>
      </c>
    </row>
    <row r="108">
      <c r="A108" s="16" t="n">
        <v>72</v>
      </c>
      <c r="B108" s="17" t="n"/>
      <c r="C108" s="17" t="n"/>
      <c r="D108" s="17" t="n"/>
      <c r="E108" s="17" t="n"/>
      <c r="G108" s="18">
        <f>J107</f>
        <v/>
      </c>
      <c r="H108" s="18">
        <f>ROUND(G108*$C$32,0)</f>
        <v/>
      </c>
      <c r="I108" s="18">
        <f>-$C$30</f>
        <v/>
      </c>
      <c r="J108" s="18">
        <f>G108+H108+I108</f>
        <v/>
      </c>
    </row>
    <row r="109">
      <c r="A109" s="16" t="n">
        <v>73</v>
      </c>
      <c r="B109" s="17" t="n"/>
      <c r="C109" s="17" t="n"/>
      <c r="D109" s="17" t="n"/>
      <c r="E109" s="17" t="n"/>
      <c r="G109" s="19">
        <f>J108</f>
        <v/>
      </c>
      <c r="H109" s="19">
        <f>-G109-I109</f>
        <v/>
      </c>
      <c r="I109" s="19">
        <f>-$C$30-I37</f>
        <v/>
      </c>
      <c r="J109" s="19">
        <f>G109+H109+I109</f>
        <v/>
      </c>
    </row>
    <row r="110"/>
    <row r="111">
      <c r="B111" s="14" t="inlineStr">
        <is>
          <t>✍️ 할인후 상각표 (직접)</t>
        </is>
      </c>
      <c r="G111" s="15" t="inlineStr">
        <is>
          <t>✅ 할인후 정답표 (자동)</t>
        </is>
      </c>
    </row>
    <row r="112">
      <c r="A112" s="6" t="inlineStr">
        <is>
          <t>회차</t>
        </is>
      </c>
      <c r="B112" s="6" t="inlineStr">
        <is>
          <t>기초</t>
        </is>
      </c>
      <c r="C112" s="6" t="inlineStr">
        <is>
          <t>이자</t>
        </is>
      </c>
      <c r="D112" s="6" t="inlineStr">
        <is>
          <t>리스료</t>
        </is>
      </c>
      <c r="E112" s="6" t="inlineStr">
        <is>
          <t>기말</t>
        </is>
      </c>
      <c r="G112" s="6" t="inlineStr">
        <is>
          <t>기초</t>
        </is>
      </c>
      <c r="H112" s="6" t="inlineStr">
        <is>
          <t>이자</t>
        </is>
      </c>
      <c r="I112" s="6" t="inlineStr">
        <is>
          <t>리스료</t>
        </is>
      </c>
      <c r="J112" s="6" t="inlineStr">
        <is>
          <t>기말</t>
        </is>
      </c>
    </row>
    <row r="113">
      <c r="A113" s="16" t="n">
        <v>0</v>
      </c>
      <c r="B113" s="17" t="n"/>
      <c r="C113" s="17" t="n"/>
      <c r="D113" s="17" t="n"/>
      <c r="E113" s="17" t="n"/>
      <c r="G113" s="18" t="n"/>
      <c r="H113" s="18" t="n"/>
      <c r="I113" s="18" t="n"/>
      <c r="J113" s="18">
        <f>$E$31</f>
        <v/>
      </c>
    </row>
    <row r="114">
      <c r="A114" s="16" t="n">
        <v>1</v>
      </c>
      <c r="B114" s="17" t="n"/>
      <c r="C114" s="17" t="n"/>
      <c r="D114" s="17" t="n"/>
      <c r="E114" s="17" t="n"/>
      <c r="G114" s="19">
        <f>J113</f>
        <v/>
      </c>
      <c r="H114" s="19">
        <f>ROUND(-I114+($E$31*$E$32-$E$30)*($B$13/$B$14),0)</f>
        <v/>
      </c>
      <c r="I114" s="19">
        <f>-(ROUNDDOWN((($B$7-$B$17-$B$18-$B$19-$B$20)/$B$5)*($B$13/$B$14),-2)-ROUNDDOWN(($B$10/$B$5)*($B$13/$B$14),-2)-ROUNDDOWN(($B$11/$B$5)*($B$13/$B$14),-2))</f>
        <v/>
      </c>
      <c r="J114" s="19">
        <f>G114+H114+I114</f>
        <v/>
      </c>
    </row>
    <row r="115">
      <c r="A115" s="16" t="n">
        <v>2</v>
      </c>
      <c r="B115" s="17" t="n"/>
      <c r="C115" s="17" t="n"/>
      <c r="D115" s="17" t="n"/>
      <c r="E115" s="17" t="n"/>
      <c r="G115" s="18">
        <f>J114</f>
        <v/>
      </c>
      <c r="H115" s="18">
        <f>ROUND(G115*$E$32,0)</f>
        <v/>
      </c>
      <c r="I115" s="18">
        <f>-$E$30</f>
        <v/>
      </c>
      <c r="J115" s="18">
        <f>G115+H115+I115</f>
        <v/>
      </c>
    </row>
    <row r="116">
      <c r="A116" s="16" t="n">
        <v>3</v>
      </c>
      <c r="B116" s="17" t="n"/>
      <c r="C116" s="17" t="n"/>
      <c r="D116" s="17" t="n"/>
      <c r="E116" s="17" t="n"/>
      <c r="G116" s="19">
        <f>J115</f>
        <v/>
      </c>
      <c r="H116" s="19">
        <f>ROUND(G116*$E$32,0)</f>
        <v/>
      </c>
      <c r="I116" s="19">
        <f>-$E$30</f>
        <v/>
      </c>
      <c r="J116" s="19">
        <f>G116+H116+I116</f>
        <v/>
      </c>
    </row>
    <row r="117">
      <c r="A117" s="16" t="n">
        <v>4</v>
      </c>
      <c r="B117" s="17" t="n"/>
      <c r="C117" s="17" t="n"/>
      <c r="D117" s="17" t="n"/>
      <c r="E117" s="17" t="n"/>
      <c r="G117" s="18">
        <f>J116</f>
        <v/>
      </c>
      <c r="H117" s="18">
        <f>ROUND(G117*$E$32,0)</f>
        <v/>
      </c>
      <c r="I117" s="18">
        <f>-$E$30</f>
        <v/>
      </c>
      <c r="J117" s="18">
        <f>G117+H117+I117</f>
        <v/>
      </c>
    </row>
    <row r="118">
      <c r="A118" s="16" t="n">
        <v>5</v>
      </c>
      <c r="B118" s="17" t="n"/>
      <c r="C118" s="17" t="n"/>
      <c r="D118" s="17" t="n"/>
      <c r="E118" s="17" t="n"/>
      <c r="G118" s="19">
        <f>J117</f>
        <v/>
      </c>
      <c r="H118" s="19">
        <f>ROUND(G118*$E$32,0)</f>
        <v/>
      </c>
      <c r="I118" s="19">
        <f>-$E$30</f>
        <v/>
      </c>
      <c r="J118" s="19">
        <f>G118+H118+I118</f>
        <v/>
      </c>
    </row>
    <row r="119">
      <c r="A119" s="16" t="n">
        <v>6</v>
      </c>
      <c r="B119" s="17" t="n"/>
      <c r="C119" s="17" t="n"/>
      <c r="D119" s="17" t="n"/>
      <c r="E119" s="17" t="n"/>
      <c r="G119" s="18">
        <f>J118</f>
        <v/>
      </c>
      <c r="H119" s="18">
        <f>ROUND(G119*$E$32,0)</f>
        <v/>
      </c>
      <c r="I119" s="18">
        <f>-$E$30</f>
        <v/>
      </c>
      <c r="J119" s="18">
        <f>G119+H119+I119</f>
        <v/>
      </c>
    </row>
    <row r="120">
      <c r="A120" s="16" t="n">
        <v>7</v>
      </c>
      <c r="B120" s="17" t="n"/>
      <c r="C120" s="17" t="n"/>
      <c r="D120" s="17" t="n"/>
      <c r="E120" s="17" t="n"/>
      <c r="G120" s="19">
        <f>J119</f>
        <v/>
      </c>
      <c r="H120" s="19">
        <f>ROUND(G120*$E$32,0)</f>
        <v/>
      </c>
      <c r="I120" s="19">
        <f>-$E$30</f>
        <v/>
      </c>
      <c r="J120" s="19">
        <f>G120+H120+I120</f>
        <v/>
      </c>
    </row>
    <row r="121">
      <c r="A121" s="16" t="n">
        <v>8</v>
      </c>
      <c r="B121" s="17" t="n"/>
      <c r="C121" s="17" t="n"/>
      <c r="D121" s="17" t="n"/>
      <c r="E121" s="17" t="n"/>
      <c r="G121" s="18">
        <f>J120</f>
        <v/>
      </c>
      <c r="H121" s="18">
        <f>ROUND(G121*$E$32,0)</f>
        <v/>
      </c>
      <c r="I121" s="18">
        <f>-$E$30</f>
        <v/>
      </c>
      <c r="J121" s="18">
        <f>G121+H121+I121</f>
        <v/>
      </c>
    </row>
    <row r="122">
      <c r="A122" s="16" t="n">
        <v>9</v>
      </c>
      <c r="B122" s="17" t="n"/>
      <c r="C122" s="17" t="n"/>
      <c r="D122" s="17" t="n"/>
      <c r="E122" s="17" t="n"/>
      <c r="G122" s="19">
        <f>J121</f>
        <v/>
      </c>
      <c r="H122" s="19">
        <f>ROUND(G122*$E$32,0)</f>
        <v/>
      </c>
      <c r="I122" s="19">
        <f>-$E$30</f>
        <v/>
      </c>
      <c r="J122" s="19">
        <f>G122+H122+I122</f>
        <v/>
      </c>
    </row>
    <row r="123">
      <c r="A123" s="16" t="n">
        <v>10</v>
      </c>
      <c r="B123" s="17" t="n"/>
      <c r="C123" s="17" t="n"/>
      <c r="D123" s="17" t="n"/>
      <c r="E123" s="17" t="n"/>
      <c r="G123" s="18">
        <f>J122</f>
        <v/>
      </c>
      <c r="H123" s="18">
        <f>ROUND(G123*$E$32,0)</f>
        <v/>
      </c>
      <c r="I123" s="18">
        <f>-$E$30</f>
        <v/>
      </c>
      <c r="J123" s="18">
        <f>G123+H123+I123</f>
        <v/>
      </c>
    </row>
    <row r="124">
      <c r="A124" s="16" t="n">
        <v>11</v>
      </c>
      <c r="B124" s="17" t="n"/>
      <c r="C124" s="17" t="n"/>
      <c r="D124" s="17" t="n"/>
      <c r="E124" s="17" t="n"/>
      <c r="G124" s="19">
        <f>J123</f>
        <v/>
      </c>
      <c r="H124" s="19">
        <f>ROUND(G124*$E$32,0)</f>
        <v/>
      </c>
      <c r="I124" s="19">
        <f>-$E$30</f>
        <v/>
      </c>
      <c r="J124" s="19">
        <f>G124+H124+I124</f>
        <v/>
      </c>
    </row>
    <row r="125">
      <c r="A125" s="16" t="n">
        <v>12</v>
      </c>
      <c r="B125" s="17" t="n"/>
      <c r="C125" s="17" t="n"/>
      <c r="D125" s="17" t="n"/>
      <c r="E125" s="17" t="n"/>
      <c r="G125" s="18">
        <f>J124</f>
        <v/>
      </c>
      <c r="H125" s="18">
        <f>ROUND(G125*$E$32,0)</f>
        <v/>
      </c>
      <c r="I125" s="18">
        <f>-$E$30</f>
        <v/>
      </c>
      <c r="J125" s="18">
        <f>G125+H125+I125</f>
        <v/>
      </c>
    </row>
    <row r="126">
      <c r="A126" s="16" t="n">
        <v>13</v>
      </c>
      <c r="B126" s="17" t="n"/>
      <c r="C126" s="17" t="n"/>
      <c r="D126" s="17" t="n"/>
      <c r="E126" s="17" t="n"/>
      <c r="G126" s="19">
        <f>J125</f>
        <v/>
      </c>
      <c r="H126" s="19">
        <f>ROUND(G126*$E$32,0)</f>
        <v/>
      </c>
      <c r="I126" s="19">
        <f>-$E$30</f>
        <v/>
      </c>
      <c r="J126" s="19">
        <f>G126+H126+I126</f>
        <v/>
      </c>
    </row>
    <row r="127">
      <c r="A127" s="16" t="n">
        <v>14</v>
      </c>
      <c r="B127" s="17" t="n"/>
      <c r="C127" s="17" t="n"/>
      <c r="D127" s="17" t="n"/>
      <c r="E127" s="17" t="n"/>
      <c r="G127" s="18">
        <f>J126</f>
        <v/>
      </c>
      <c r="H127" s="18">
        <f>ROUND(G127*$E$32,0)</f>
        <v/>
      </c>
      <c r="I127" s="18">
        <f>-$E$30</f>
        <v/>
      </c>
      <c r="J127" s="18">
        <f>G127+H127+I127</f>
        <v/>
      </c>
    </row>
    <row r="128">
      <c r="A128" s="16" t="n">
        <v>15</v>
      </c>
      <c r="B128" s="17" t="n"/>
      <c r="C128" s="17" t="n"/>
      <c r="D128" s="17" t="n"/>
      <c r="E128" s="17" t="n"/>
      <c r="G128" s="19">
        <f>J127</f>
        <v/>
      </c>
      <c r="H128" s="19">
        <f>ROUND(G128*$E$32,0)</f>
        <v/>
      </c>
      <c r="I128" s="19">
        <f>-$E$30</f>
        <v/>
      </c>
      <c r="J128" s="19">
        <f>G128+H128+I128</f>
        <v/>
      </c>
    </row>
    <row r="129">
      <c r="A129" s="16" t="n">
        <v>16</v>
      </c>
      <c r="B129" s="17" t="n"/>
      <c r="C129" s="17" t="n"/>
      <c r="D129" s="17" t="n"/>
      <c r="E129" s="17" t="n"/>
      <c r="G129" s="18">
        <f>J128</f>
        <v/>
      </c>
      <c r="H129" s="18">
        <f>ROUND(G129*$E$32,0)</f>
        <v/>
      </c>
      <c r="I129" s="18">
        <f>-$E$30</f>
        <v/>
      </c>
      <c r="J129" s="18">
        <f>G129+H129+I129</f>
        <v/>
      </c>
    </row>
    <row r="130">
      <c r="A130" s="16" t="n">
        <v>17</v>
      </c>
      <c r="B130" s="17" t="n"/>
      <c r="C130" s="17" t="n"/>
      <c r="D130" s="17" t="n"/>
      <c r="E130" s="17" t="n"/>
      <c r="G130" s="19">
        <f>J129</f>
        <v/>
      </c>
      <c r="H130" s="19">
        <f>ROUND(G130*$E$32,0)</f>
        <v/>
      </c>
      <c r="I130" s="19">
        <f>-$E$30</f>
        <v/>
      </c>
      <c r="J130" s="19">
        <f>G130+H130+I130</f>
        <v/>
      </c>
    </row>
    <row r="131">
      <c r="A131" s="16" t="n">
        <v>18</v>
      </c>
      <c r="B131" s="17" t="n"/>
      <c r="C131" s="17" t="n"/>
      <c r="D131" s="17" t="n"/>
      <c r="E131" s="17" t="n"/>
      <c r="G131" s="18">
        <f>J130</f>
        <v/>
      </c>
      <c r="H131" s="18">
        <f>ROUND(G131*$E$32,0)</f>
        <v/>
      </c>
      <c r="I131" s="18">
        <f>-$E$30</f>
        <v/>
      </c>
      <c r="J131" s="18">
        <f>G131+H131+I131</f>
        <v/>
      </c>
    </row>
    <row r="132">
      <c r="A132" s="16" t="n">
        <v>19</v>
      </c>
      <c r="B132" s="17" t="n"/>
      <c r="C132" s="17" t="n"/>
      <c r="D132" s="17" t="n"/>
      <c r="E132" s="17" t="n"/>
      <c r="G132" s="19">
        <f>J131</f>
        <v/>
      </c>
      <c r="H132" s="19">
        <f>ROUND(G132*$E$32,0)</f>
        <v/>
      </c>
      <c r="I132" s="19">
        <f>-$E$30</f>
        <v/>
      </c>
      <c r="J132" s="19">
        <f>G132+H132+I132</f>
        <v/>
      </c>
    </row>
    <row r="133">
      <c r="A133" s="16" t="n">
        <v>20</v>
      </c>
      <c r="B133" s="17" t="n"/>
      <c r="C133" s="17" t="n"/>
      <c r="D133" s="17" t="n"/>
      <c r="E133" s="17" t="n"/>
      <c r="G133" s="18">
        <f>J132</f>
        <v/>
      </c>
      <c r="H133" s="18">
        <f>ROUND(G133*$E$32,0)</f>
        <v/>
      </c>
      <c r="I133" s="18">
        <f>-$E$30</f>
        <v/>
      </c>
      <c r="J133" s="18">
        <f>G133+H133+I133</f>
        <v/>
      </c>
    </row>
    <row r="134">
      <c r="A134" s="16" t="n">
        <v>21</v>
      </c>
      <c r="B134" s="17" t="n"/>
      <c r="C134" s="17" t="n"/>
      <c r="D134" s="17" t="n"/>
      <c r="E134" s="17" t="n"/>
      <c r="G134" s="19">
        <f>J133</f>
        <v/>
      </c>
      <c r="H134" s="19">
        <f>ROUND(G134*$E$32,0)</f>
        <v/>
      </c>
      <c r="I134" s="19">
        <f>-$E$30</f>
        <v/>
      </c>
      <c r="J134" s="19">
        <f>G134+H134+I134</f>
        <v/>
      </c>
    </row>
    <row r="135">
      <c r="A135" s="16" t="n">
        <v>22</v>
      </c>
      <c r="B135" s="17" t="n"/>
      <c r="C135" s="17" t="n"/>
      <c r="D135" s="17" t="n"/>
      <c r="E135" s="17" t="n"/>
      <c r="G135" s="18">
        <f>J134</f>
        <v/>
      </c>
      <c r="H135" s="18">
        <f>ROUND(G135*$E$32,0)</f>
        <v/>
      </c>
      <c r="I135" s="18">
        <f>-$E$30</f>
        <v/>
      </c>
      <c r="J135" s="18">
        <f>G135+H135+I135</f>
        <v/>
      </c>
    </row>
    <row r="136">
      <c r="A136" s="16" t="n">
        <v>23</v>
      </c>
      <c r="B136" s="17" t="n"/>
      <c r="C136" s="17" t="n"/>
      <c r="D136" s="17" t="n"/>
      <c r="E136" s="17" t="n"/>
      <c r="G136" s="19">
        <f>J135</f>
        <v/>
      </c>
      <c r="H136" s="19">
        <f>ROUND(G136*$E$32,0)</f>
        <v/>
      </c>
      <c r="I136" s="19">
        <f>-$E$30</f>
        <v/>
      </c>
      <c r="J136" s="19">
        <f>G136+H136+I136</f>
        <v/>
      </c>
    </row>
    <row r="137">
      <c r="A137" s="16" t="n">
        <v>24</v>
      </c>
      <c r="B137" s="17" t="n"/>
      <c r="C137" s="17" t="n"/>
      <c r="D137" s="17" t="n"/>
      <c r="E137" s="17" t="n"/>
      <c r="G137" s="18">
        <f>J136</f>
        <v/>
      </c>
      <c r="H137" s="18">
        <f>ROUND(G137*$E$32,0)</f>
        <v/>
      </c>
      <c r="I137" s="18">
        <f>-$E$30</f>
        <v/>
      </c>
      <c r="J137" s="18">
        <f>G137+H137+I137</f>
        <v/>
      </c>
    </row>
    <row r="138">
      <c r="A138" s="16" t="n">
        <v>25</v>
      </c>
      <c r="B138" s="17" t="n"/>
      <c r="C138" s="17" t="n"/>
      <c r="D138" s="17" t="n"/>
      <c r="E138" s="17" t="n"/>
      <c r="G138" s="19">
        <f>J137</f>
        <v/>
      </c>
      <c r="H138" s="19">
        <f>ROUND(G138*$E$32,0)</f>
        <v/>
      </c>
      <c r="I138" s="19">
        <f>-$E$30</f>
        <v/>
      </c>
      <c r="J138" s="19">
        <f>G138+H138+I138</f>
        <v/>
      </c>
    </row>
    <row r="139">
      <c r="A139" s="16" t="n">
        <v>26</v>
      </c>
      <c r="B139" s="17" t="n"/>
      <c r="C139" s="17" t="n"/>
      <c r="D139" s="17" t="n"/>
      <c r="E139" s="17" t="n"/>
      <c r="G139" s="18">
        <f>J138</f>
        <v/>
      </c>
      <c r="H139" s="18">
        <f>ROUND(G139*$E$32,0)</f>
        <v/>
      </c>
      <c r="I139" s="18">
        <f>-$E$30</f>
        <v/>
      </c>
      <c r="J139" s="18">
        <f>G139+H139+I139</f>
        <v/>
      </c>
    </row>
    <row r="140">
      <c r="A140" s="16" t="n">
        <v>27</v>
      </c>
      <c r="B140" s="17" t="n"/>
      <c r="C140" s="17" t="n"/>
      <c r="D140" s="17" t="n"/>
      <c r="E140" s="17" t="n"/>
      <c r="G140" s="19">
        <f>J139</f>
        <v/>
      </c>
      <c r="H140" s="19">
        <f>ROUND(G140*$E$32,0)</f>
        <v/>
      </c>
      <c r="I140" s="19">
        <f>-$E$30</f>
        <v/>
      </c>
      <c r="J140" s="19">
        <f>G140+H140+I140</f>
        <v/>
      </c>
    </row>
    <row r="141">
      <c r="A141" s="16" t="n">
        <v>28</v>
      </c>
      <c r="B141" s="17" t="n"/>
      <c r="C141" s="17" t="n"/>
      <c r="D141" s="17" t="n"/>
      <c r="E141" s="17" t="n"/>
      <c r="G141" s="18">
        <f>J140</f>
        <v/>
      </c>
      <c r="H141" s="18">
        <f>ROUND(G141*$E$32,0)</f>
        <v/>
      </c>
      <c r="I141" s="18">
        <f>-$E$30</f>
        <v/>
      </c>
      <c r="J141" s="18">
        <f>G141+H141+I141</f>
        <v/>
      </c>
    </row>
    <row r="142">
      <c r="A142" s="16" t="n">
        <v>29</v>
      </c>
      <c r="B142" s="17" t="n"/>
      <c r="C142" s="17" t="n"/>
      <c r="D142" s="17" t="n"/>
      <c r="E142" s="17" t="n"/>
      <c r="G142" s="19">
        <f>J141</f>
        <v/>
      </c>
      <c r="H142" s="19">
        <f>ROUND(G142*$E$32,0)</f>
        <v/>
      </c>
      <c r="I142" s="19">
        <f>-$E$30</f>
        <v/>
      </c>
      <c r="J142" s="19">
        <f>G142+H142+I142</f>
        <v/>
      </c>
    </row>
    <row r="143">
      <c r="A143" s="16" t="n">
        <v>30</v>
      </c>
      <c r="B143" s="17" t="n"/>
      <c r="C143" s="17" t="n"/>
      <c r="D143" s="17" t="n"/>
      <c r="E143" s="17" t="n"/>
      <c r="G143" s="18">
        <f>J142</f>
        <v/>
      </c>
      <c r="H143" s="18">
        <f>ROUND(G143*$E$32,0)</f>
        <v/>
      </c>
      <c r="I143" s="18">
        <f>-$E$30</f>
        <v/>
      </c>
      <c r="J143" s="18">
        <f>G143+H143+I143</f>
        <v/>
      </c>
    </row>
    <row r="144">
      <c r="A144" s="16" t="n">
        <v>31</v>
      </c>
      <c r="B144" s="17" t="n"/>
      <c r="C144" s="17" t="n"/>
      <c r="D144" s="17" t="n"/>
      <c r="E144" s="17" t="n"/>
      <c r="G144" s="19">
        <f>J143</f>
        <v/>
      </c>
      <c r="H144" s="19">
        <f>ROUND(G144*$E$32,0)</f>
        <v/>
      </c>
      <c r="I144" s="19">
        <f>-$E$30</f>
        <v/>
      </c>
      <c r="J144" s="19">
        <f>G144+H144+I144</f>
        <v/>
      </c>
    </row>
    <row r="145">
      <c r="A145" s="16" t="n">
        <v>32</v>
      </c>
      <c r="B145" s="17" t="n"/>
      <c r="C145" s="17" t="n"/>
      <c r="D145" s="17" t="n"/>
      <c r="E145" s="17" t="n"/>
      <c r="G145" s="18">
        <f>J144</f>
        <v/>
      </c>
      <c r="H145" s="18">
        <f>ROUND(G145*$E$32,0)</f>
        <v/>
      </c>
      <c r="I145" s="18">
        <f>-$E$30</f>
        <v/>
      </c>
      <c r="J145" s="18">
        <f>G145+H145+I145</f>
        <v/>
      </c>
    </row>
    <row r="146">
      <c r="A146" s="16" t="n">
        <v>33</v>
      </c>
      <c r="B146" s="17" t="n"/>
      <c r="C146" s="17" t="n"/>
      <c r="D146" s="17" t="n"/>
      <c r="E146" s="17" t="n"/>
      <c r="G146" s="19">
        <f>J145</f>
        <v/>
      </c>
      <c r="H146" s="19">
        <f>ROUND(G146*$E$32,0)</f>
        <v/>
      </c>
      <c r="I146" s="19">
        <f>-$E$30</f>
        <v/>
      </c>
      <c r="J146" s="19">
        <f>G146+H146+I146</f>
        <v/>
      </c>
    </row>
    <row r="147">
      <c r="A147" s="16" t="n">
        <v>34</v>
      </c>
      <c r="B147" s="17" t="n"/>
      <c r="C147" s="17" t="n"/>
      <c r="D147" s="17" t="n"/>
      <c r="E147" s="17" t="n"/>
      <c r="G147" s="18">
        <f>J146</f>
        <v/>
      </c>
      <c r="H147" s="18">
        <f>ROUND(G147*$E$32,0)</f>
        <v/>
      </c>
      <c r="I147" s="18">
        <f>-$E$30</f>
        <v/>
      </c>
      <c r="J147" s="18">
        <f>G147+H147+I147</f>
        <v/>
      </c>
    </row>
    <row r="148">
      <c r="A148" s="16" t="n">
        <v>35</v>
      </c>
      <c r="B148" s="17" t="n"/>
      <c r="C148" s="17" t="n"/>
      <c r="D148" s="17" t="n"/>
      <c r="E148" s="17" t="n"/>
      <c r="G148" s="19">
        <f>J147</f>
        <v/>
      </c>
      <c r="H148" s="19">
        <f>ROUND(G148*$E$32,0)</f>
        <v/>
      </c>
      <c r="I148" s="19">
        <f>-$E$30</f>
        <v/>
      </c>
      <c r="J148" s="19">
        <f>G148+H148+I148</f>
        <v/>
      </c>
    </row>
    <row r="149">
      <c r="A149" s="16" t="n">
        <v>36</v>
      </c>
      <c r="B149" s="17" t="n"/>
      <c r="C149" s="17" t="n"/>
      <c r="D149" s="17" t="n"/>
      <c r="E149" s="17" t="n"/>
      <c r="G149" s="18">
        <f>J148</f>
        <v/>
      </c>
      <c r="H149" s="18">
        <f>ROUND(G149*$E$32,0)</f>
        <v/>
      </c>
      <c r="I149" s="18">
        <f>-$E$30</f>
        <v/>
      </c>
      <c r="J149" s="18">
        <f>G149+H149+I149</f>
        <v/>
      </c>
    </row>
    <row r="150">
      <c r="A150" s="16" t="n">
        <v>37</v>
      </c>
      <c r="B150" s="17" t="n"/>
      <c r="C150" s="17" t="n"/>
      <c r="D150" s="17" t="n"/>
      <c r="E150" s="17" t="n"/>
      <c r="G150" s="19">
        <f>J149</f>
        <v/>
      </c>
      <c r="H150" s="19">
        <f>ROUND(G150*$E$32,0)</f>
        <v/>
      </c>
      <c r="I150" s="19">
        <f>-$E$30</f>
        <v/>
      </c>
      <c r="J150" s="19">
        <f>G150+H150+I150</f>
        <v/>
      </c>
    </row>
    <row r="151">
      <c r="A151" s="16" t="n">
        <v>38</v>
      </c>
      <c r="B151" s="17" t="n"/>
      <c r="C151" s="17" t="n"/>
      <c r="D151" s="17" t="n"/>
      <c r="E151" s="17" t="n"/>
      <c r="G151" s="18">
        <f>J150</f>
        <v/>
      </c>
      <c r="H151" s="18">
        <f>ROUND(G151*$E$32,0)</f>
        <v/>
      </c>
      <c r="I151" s="18">
        <f>-$E$30</f>
        <v/>
      </c>
      <c r="J151" s="18">
        <f>G151+H151+I151</f>
        <v/>
      </c>
    </row>
    <row r="152">
      <c r="A152" s="16" t="n">
        <v>39</v>
      </c>
      <c r="B152" s="17" t="n"/>
      <c r="C152" s="17" t="n"/>
      <c r="D152" s="17" t="n"/>
      <c r="E152" s="17" t="n"/>
      <c r="G152" s="19">
        <f>J151</f>
        <v/>
      </c>
      <c r="H152" s="19">
        <f>ROUND(G152*$E$32,0)</f>
        <v/>
      </c>
      <c r="I152" s="19">
        <f>-$E$30</f>
        <v/>
      </c>
      <c r="J152" s="19">
        <f>G152+H152+I152</f>
        <v/>
      </c>
    </row>
    <row r="153">
      <c r="A153" s="16" t="n">
        <v>40</v>
      </c>
      <c r="B153" s="17" t="n"/>
      <c r="C153" s="17" t="n"/>
      <c r="D153" s="17" t="n"/>
      <c r="E153" s="17" t="n"/>
      <c r="G153" s="18">
        <f>J152</f>
        <v/>
      </c>
      <c r="H153" s="18">
        <f>ROUND(G153*$E$32,0)</f>
        <v/>
      </c>
      <c r="I153" s="18">
        <f>-$E$30</f>
        <v/>
      </c>
      <c r="J153" s="18">
        <f>G153+H153+I153</f>
        <v/>
      </c>
    </row>
    <row r="154">
      <c r="A154" s="16" t="n">
        <v>41</v>
      </c>
      <c r="B154" s="17" t="n"/>
      <c r="C154" s="17" t="n"/>
      <c r="D154" s="17" t="n"/>
      <c r="E154" s="17" t="n"/>
      <c r="G154" s="19">
        <f>J153</f>
        <v/>
      </c>
      <c r="H154" s="19">
        <f>ROUND(G154*$E$32,0)</f>
        <v/>
      </c>
      <c r="I154" s="19">
        <f>-$E$30</f>
        <v/>
      </c>
      <c r="J154" s="19">
        <f>G154+H154+I154</f>
        <v/>
      </c>
    </row>
    <row r="155">
      <c r="A155" s="16" t="n">
        <v>42</v>
      </c>
      <c r="B155" s="17" t="n"/>
      <c r="C155" s="17" t="n"/>
      <c r="D155" s="17" t="n"/>
      <c r="E155" s="17" t="n"/>
      <c r="G155" s="18">
        <f>J154</f>
        <v/>
      </c>
      <c r="H155" s="18">
        <f>ROUND(G155*$E$32,0)</f>
        <v/>
      </c>
      <c r="I155" s="18">
        <f>-$E$30</f>
        <v/>
      </c>
      <c r="J155" s="18">
        <f>G155+H155+I155</f>
        <v/>
      </c>
    </row>
    <row r="156">
      <c r="A156" s="16" t="n">
        <v>43</v>
      </c>
      <c r="B156" s="17" t="n"/>
      <c r="C156" s="17" t="n"/>
      <c r="D156" s="17" t="n"/>
      <c r="E156" s="17" t="n"/>
      <c r="G156" s="19">
        <f>J155</f>
        <v/>
      </c>
      <c r="H156" s="19">
        <f>ROUND(G156*$E$32,0)</f>
        <v/>
      </c>
      <c r="I156" s="19">
        <f>-$E$30</f>
        <v/>
      </c>
      <c r="J156" s="19">
        <f>G156+H156+I156</f>
        <v/>
      </c>
    </row>
    <row r="157">
      <c r="A157" s="16" t="n">
        <v>44</v>
      </c>
      <c r="B157" s="17" t="n"/>
      <c r="C157" s="17" t="n"/>
      <c r="D157" s="17" t="n"/>
      <c r="E157" s="17" t="n"/>
      <c r="G157" s="18">
        <f>J156</f>
        <v/>
      </c>
      <c r="H157" s="18">
        <f>ROUND(G157*$E$32,0)</f>
        <v/>
      </c>
      <c r="I157" s="18">
        <f>-$E$30</f>
        <v/>
      </c>
      <c r="J157" s="18">
        <f>G157+H157+I157</f>
        <v/>
      </c>
    </row>
    <row r="158">
      <c r="A158" s="16" t="n">
        <v>45</v>
      </c>
      <c r="B158" s="17" t="n"/>
      <c r="C158" s="17" t="n"/>
      <c r="D158" s="17" t="n"/>
      <c r="E158" s="17" t="n"/>
      <c r="G158" s="19">
        <f>J157</f>
        <v/>
      </c>
      <c r="H158" s="19">
        <f>ROUND(G158*$E$32,0)</f>
        <v/>
      </c>
      <c r="I158" s="19">
        <f>-$E$30</f>
        <v/>
      </c>
      <c r="J158" s="19">
        <f>G158+H158+I158</f>
        <v/>
      </c>
    </row>
    <row r="159">
      <c r="A159" s="16" t="n">
        <v>46</v>
      </c>
      <c r="B159" s="17" t="n"/>
      <c r="C159" s="17" t="n"/>
      <c r="D159" s="17" t="n"/>
      <c r="E159" s="17" t="n"/>
      <c r="G159" s="18">
        <f>J158</f>
        <v/>
      </c>
      <c r="H159" s="18">
        <f>ROUND(G159*$E$32,0)</f>
        <v/>
      </c>
      <c r="I159" s="18">
        <f>-$E$30</f>
        <v/>
      </c>
      <c r="J159" s="18">
        <f>G159+H159+I159</f>
        <v/>
      </c>
    </row>
    <row r="160">
      <c r="A160" s="16" t="n">
        <v>47</v>
      </c>
      <c r="B160" s="17" t="n"/>
      <c r="C160" s="17" t="n"/>
      <c r="D160" s="17" t="n"/>
      <c r="E160" s="17" t="n"/>
      <c r="G160" s="19">
        <f>J159</f>
        <v/>
      </c>
      <c r="H160" s="19">
        <f>ROUND(G160*$E$32,0)</f>
        <v/>
      </c>
      <c r="I160" s="19">
        <f>-$E$30</f>
        <v/>
      </c>
      <c r="J160" s="19">
        <f>G160+H160+I160</f>
        <v/>
      </c>
    </row>
    <row r="161">
      <c r="A161" s="16" t="n">
        <v>48</v>
      </c>
      <c r="B161" s="17" t="n"/>
      <c r="C161" s="17" t="n"/>
      <c r="D161" s="17" t="n"/>
      <c r="E161" s="17" t="n"/>
      <c r="G161" s="18">
        <f>J160</f>
        <v/>
      </c>
      <c r="H161" s="18">
        <f>ROUND(G161*$E$32,0)</f>
        <v/>
      </c>
      <c r="I161" s="18">
        <f>-$E$30</f>
        <v/>
      </c>
      <c r="J161" s="18">
        <f>G161+H161+I161</f>
        <v/>
      </c>
    </row>
    <row r="162">
      <c r="A162" s="16" t="n">
        <v>49</v>
      </c>
      <c r="B162" s="17" t="n"/>
      <c r="C162" s="17" t="n"/>
      <c r="D162" s="17" t="n"/>
      <c r="E162" s="17" t="n"/>
      <c r="G162" s="19">
        <f>J161</f>
        <v/>
      </c>
      <c r="H162" s="19">
        <f>ROUND(G162*$E$32,0)</f>
        <v/>
      </c>
      <c r="I162" s="19">
        <f>-$E$30</f>
        <v/>
      </c>
      <c r="J162" s="19">
        <f>G162+H162+I162</f>
        <v/>
      </c>
    </row>
    <row r="163">
      <c r="A163" s="16" t="n">
        <v>50</v>
      </c>
      <c r="B163" s="17" t="n"/>
      <c r="C163" s="17" t="n"/>
      <c r="D163" s="17" t="n"/>
      <c r="E163" s="17" t="n"/>
      <c r="G163" s="18">
        <f>J162</f>
        <v/>
      </c>
      <c r="H163" s="18">
        <f>ROUND(G163*$E$32,0)</f>
        <v/>
      </c>
      <c r="I163" s="18">
        <f>-$E$30</f>
        <v/>
      </c>
      <c r="J163" s="18">
        <f>G163+H163+I163</f>
        <v/>
      </c>
    </row>
    <row r="164">
      <c r="A164" s="16" t="n">
        <v>51</v>
      </c>
      <c r="B164" s="17" t="n"/>
      <c r="C164" s="17" t="n"/>
      <c r="D164" s="17" t="n"/>
      <c r="E164" s="17" t="n"/>
      <c r="G164" s="19">
        <f>J163</f>
        <v/>
      </c>
      <c r="H164" s="19">
        <f>ROUND(G164*$E$32,0)</f>
        <v/>
      </c>
      <c r="I164" s="19">
        <f>-$E$30</f>
        <v/>
      </c>
      <c r="J164" s="19">
        <f>G164+H164+I164</f>
        <v/>
      </c>
    </row>
    <row r="165">
      <c r="A165" s="16" t="n">
        <v>52</v>
      </c>
      <c r="B165" s="17" t="n"/>
      <c r="C165" s="17" t="n"/>
      <c r="D165" s="17" t="n"/>
      <c r="E165" s="17" t="n"/>
      <c r="G165" s="18">
        <f>J164</f>
        <v/>
      </c>
      <c r="H165" s="18">
        <f>ROUND(G165*$E$32,0)</f>
        <v/>
      </c>
      <c r="I165" s="18">
        <f>-$E$30</f>
        <v/>
      </c>
      <c r="J165" s="18">
        <f>G165+H165+I165</f>
        <v/>
      </c>
    </row>
    <row r="166">
      <c r="A166" s="16" t="n">
        <v>53</v>
      </c>
      <c r="B166" s="17" t="n"/>
      <c r="C166" s="17" t="n"/>
      <c r="D166" s="17" t="n"/>
      <c r="E166" s="17" t="n"/>
      <c r="G166" s="19">
        <f>J165</f>
        <v/>
      </c>
      <c r="H166" s="19">
        <f>ROUND(G166*$E$32,0)</f>
        <v/>
      </c>
      <c r="I166" s="19">
        <f>-$E$30</f>
        <v/>
      </c>
      <c r="J166" s="19">
        <f>G166+H166+I166</f>
        <v/>
      </c>
    </row>
    <row r="167">
      <c r="A167" s="16" t="n">
        <v>54</v>
      </c>
      <c r="B167" s="17" t="n"/>
      <c r="C167" s="17" t="n"/>
      <c r="D167" s="17" t="n"/>
      <c r="E167" s="17" t="n"/>
      <c r="G167" s="18">
        <f>J166</f>
        <v/>
      </c>
      <c r="H167" s="18">
        <f>ROUND(G167*$E$32,0)</f>
        <v/>
      </c>
      <c r="I167" s="18">
        <f>-$E$30</f>
        <v/>
      </c>
      <c r="J167" s="18">
        <f>G167+H167+I167</f>
        <v/>
      </c>
    </row>
    <row r="168">
      <c r="A168" s="16" t="n">
        <v>55</v>
      </c>
      <c r="B168" s="17" t="n"/>
      <c r="C168" s="17" t="n"/>
      <c r="D168" s="17" t="n"/>
      <c r="E168" s="17" t="n"/>
      <c r="G168" s="19">
        <f>J167</f>
        <v/>
      </c>
      <c r="H168" s="19">
        <f>ROUND(G168*$E$32,0)</f>
        <v/>
      </c>
      <c r="I168" s="19">
        <f>-$E$30</f>
        <v/>
      </c>
      <c r="J168" s="19">
        <f>G168+H168+I168</f>
        <v/>
      </c>
    </row>
    <row r="169">
      <c r="A169" s="16" t="n">
        <v>56</v>
      </c>
      <c r="B169" s="17" t="n"/>
      <c r="C169" s="17" t="n"/>
      <c r="D169" s="17" t="n"/>
      <c r="E169" s="17" t="n"/>
      <c r="G169" s="18">
        <f>J168</f>
        <v/>
      </c>
      <c r="H169" s="18">
        <f>ROUND(G169*$E$32,0)</f>
        <v/>
      </c>
      <c r="I169" s="18">
        <f>-$E$30</f>
        <v/>
      </c>
      <c r="J169" s="18">
        <f>G169+H169+I169</f>
        <v/>
      </c>
    </row>
    <row r="170">
      <c r="A170" s="16" t="n">
        <v>57</v>
      </c>
      <c r="B170" s="17" t="n"/>
      <c r="C170" s="17" t="n"/>
      <c r="D170" s="17" t="n"/>
      <c r="E170" s="17" t="n"/>
      <c r="G170" s="19">
        <f>J169</f>
        <v/>
      </c>
      <c r="H170" s="19">
        <f>ROUND(G170*$E$32,0)</f>
        <v/>
      </c>
      <c r="I170" s="19">
        <f>-$E$30</f>
        <v/>
      </c>
      <c r="J170" s="19">
        <f>G170+H170+I170</f>
        <v/>
      </c>
    </row>
    <row r="171">
      <c r="A171" s="16" t="n">
        <v>58</v>
      </c>
      <c r="B171" s="17" t="n"/>
      <c r="C171" s="17" t="n"/>
      <c r="D171" s="17" t="n"/>
      <c r="E171" s="17" t="n"/>
      <c r="G171" s="18">
        <f>J170</f>
        <v/>
      </c>
      <c r="H171" s="18">
        <f>ROUND(G171*$E$32,0)</f>
        <v/>
      </c>
      <c r="I171" s="18">
        <f>-$E$30</f>
        <v/>
      </c>
      <c r="J171" s="18">
        <f>G171+H171+I171</f>
        <v/>
      </c>
    </row>
    <row r="172">
      <c r="A172" s="16" t="n">
        <v>59</v>
      </c>
      <c r="B172" s="17" t="n"/>
      <c r="C172" s="17" t="n"/>
      <c r="D172" s="17" t="n"/>
      <c r="E172" s="17" t="n"/>
      <c r="G172" s="19">
        <f>J171</f>
        <v/>
      </c>
      <c r="H172" s="19">
        <f>ROUND(G172*$E$32,0)</f>
        <v/>
      </c>
      <c r="I172" s="19">
        <f>-$E$30</f>
        <v/>
      </c>
      <c r="J172" s="19">
        <f>G172+H172+I172</f>
        <v/>
      </c>
    </row>
    <row r="173">
      <c r="A173" s="16" t="n">
        <v>60</v>
      </c>
      <c r="B173" s="17" t="n"/>
      <c r="C173" s="17" t="n"/>
      <c r="D173" s="17" t="n"/>
      <c r="E173" s="17" t="n"/>
      <c r="G173" s="18">
        <f>J172</f>
        <v/>
      </c>
      <c r="H173" s="18">
        <f>ROUND(G173*$E$32,0)</f>
        <v/>
      </c>
      <c r="I173" s="18">
        <f>-$E$30</f>
        <v/>
      </c>
      <c r="J173" s="18">
        <f>G173+H173+I173</f>
        <v/>
      </c>
    </row>
    <row r="174">
      <c r="A174" s="16" t="n">
        <v>61</v>
      </c>
      <c r="B174" s="17" t="n"/>
      <c r="C174" s="17" t="n"/>
      <c r="D174" s="17" t="n"/>
      <c r="E174" s="17" t="n"/>
      <c r="G174" s="19">
        <f>J173</f>
        <v/>
      </c>
      <c r="H174" s="19">
        <f>ROUND(G174*$E$32,0)</f>
        <v/>
      </c>
      <c r="I174" s="19">
        <f>-$E$30</f>
        <v/>
      </c>
      <c r="J174" s="19">
        <f>G174+H174+I174</f>
        <v/>
      </c>
    </row>
    <row r="175">
      <c r="A175" s="16" t="n">
        <v>62</v>
      </c>
      <c r="B175" s="17" t="n"/>
      <c r="C175" s="17" t="n"/>
      <c r="D175" s="17" t="n"/>
      <c r="E175" s="17" t="n"/>
      <c r="G175" s="18">
        <f>J174</f>
        <v/>
      </c>
      <c r="H175" s="18">
        <f>ROUND(G175*$E$32,0)</f>
        <v/>
      </c>
      <c r="I175" s="18">
        <f>-$E$30</f>
        <v/>
      </c>
      <c r="J175" s="18">
        <f>G175+H175+I175</f>
        <v/>
      </c>
    </row>
    <row r="176">
      <c r="A176" s="16" t="n">
        <v>63</v>
      </c>
      <c r="B176" s="17" t="n"/>
      <c r="C176" s="17" t="n"/>
      <c r="D176" s="17" t="n"/>
      <c r="E176" s="17" t="n"/>
      <c r="G176" s="19">
        <f>J175</f>
        <v/>
      </c>
      <c r="H176" s="19">
        <f>ROUND(G176*$E$32,0)</f>
        <v/>
      </c>
      <c r="I176" s="19">
        <f>-$E$30</f>
        <v/>
      </c>
      <c r="J176" s="19">
        <f>G176+H176+I176</f>
        <v/>
      </c>
    </row>
    <row r="177">
      <c r="A177" s="16" t="n">
        <v>64</v>
      </c>
      <c r="B177" s="17" t="n"/>
      <c r="C177" s="17" t="n"/>
      <c r="D177" s="17" t="n"/>
      <c r="E177" s="17" t="n"/>
      <c r="G177" s="18">
        <f>J176</f>
        <v/>
      </c>
      <c r="H177" s="18">
        <f>ROUND(G177*$E$32,0)</f>
        <v/>
      </c>
      <c r="I177" s="18">
        <f>-$E$30</f>
        <v/>
      </c>
      <c r="J177" s="18">
        <f>G177+H177+I177</f>
        <v/>
      </c>
    </row>
    <row r="178">
      <c r="A178" s="16" t="n">
        <v>65</v>
      </c>
      <c r="B178" s="17" t="n"/>
      <c r="C178" s="17" t="n"/>
      <c r="D178" s="17" t="n"/>
      <c r="E178" s="17" t="n"/>
      <c r="G178" s="19">
        <f>J177</f>
        <v/>
      </c>
      <c r="H178" s="19">
        <f>ROUND(G178*$E$32,0)</f>
        <v/>
      </c>
      <c r="I178" s="19">
        <f>-$E$30</f>
        <v/>
      </c>
      <c r="J178" s="19">
        <f>G178+H178+I178</f>
        <v/>
      </c>
    </row>
    <row r="179">
      <c r="A179" s="16" t="n">
        <v>66</v>
      </c>
      <c r="B179" s="17" t="n"/>
      <c r="C179" s="17" t="n"/>
      <c r="D179" s="17" t="n"/>
      <c r="E179" s="17" t="n"/>
      <c r="G179" s="18">
        <f>J178</f>
        <v/>
      </c>
      <c r="H179" s="18">
        <f>ROUND(G179*$E$32,0)</f>
        <v/>
      </c>
      <c r="I179" s="18">
        <f>-$E$30</f>
        <v/>
      </c>
      <c r="J179" s="18">
        <f>G179+H179+I179</f>
        <v/>
      </c>
    </row>
    <row r="180">
      <c r="A180" s="16" t="n">
        <v>67</v>
      </c>
      <c r="B180" s="17" t="n"/>
      <c r="C180" s="17" t="n"/>
      <c r="D180" s="17" t="n"/>
      <c r="E180" s="17" t="n"/>
      <c r="G180" s="19">
        <f>J179</f>
        <v/>
      </c>
      <c r="H180" s="19">
        <f>ROUND(G180*$E$32,0)</f>
        <v/>
      </c>
      <c r="I180" s="19">
        <f>-$E$30</f>
        <v/>
      </c>
      <c r="J180" s="19">
        <f>G180+H180+I180</f>
        <v/>
      </c>
    </row>
    <row r="181">
      <c r="A181" s="16" t="n">
        <v>68</v>
      </c>
      <c r="B181" s="17" t="n"/>
      <c r="C181" s="17" t="n"/>
      <c r="D181" s="17" t="n"/>
      <c r="E181" s="17" t="n"/>
      <c r="G181" s="18">
        <f>J180</f>
        <v/>
      </c>
      <c r="H181" s="18">
        <f>ROUND(G181*$E$32,0)</f>
        <v/>
      </c>
      <c r="I181" s="18">
        <f>-$E$30</f>
        <v/>
      </c>
      <c r="J181" s="18">
        <f>G181+H181+I181</f>
        <v/>
      </c>
    </row>
    <row r="182">
      <c r="A182" s="16" t="n">
        <v>69</v>
      </c>
      <c r="B182" s="17" t="n"/>
      <c r="C182" s="17" t="n"/>
      <c r="D182" s="17" t="n"/>
      <c r="E182" s="17" t="n"/>
      <c r="G182" s="19">
        <f>J181</f>
        <v/>
      </c>
      <c r="H182" s="19">
        <f>ROUND(G182*$E$32,0)</f>
        <v/>
      </c>
      <c r="I182" s="19">
        <f>-$E$30</f>
        <v/>
      </c>
      <c r="J182" s="19">
        <f>G182+H182+I182</f>
        <v/>
      </c>
    </row>
    <row r="183">
      <c r="A183" s="16" t="n">
        <v>70</v>
      </c>
      <c r="B183" s="17" t="n"/>
      <c r="C183" s="17" t="n"/>
      <c r="D183" s="17" t="n"/>
      <c r="E183" s="17" t="n"/>
      <c r="G183" s="18">
        <f>J182</f>
        <v/>
      </c>
      <c r="H183" s="18">
        <f>ROUND(G183*$E$32,0)</f>
        <v/>
      </c>
      <c r="I183" s="18">
        <f>-$E$30</f>
        <v/>
      </c>
      <c r="J183" s="18">
        <f>G183+H183+I183</f>
        <v/>
      </c>
    </row>
    <row r="184">
      <c r="A184" s="16" t="n">
        <v>71</v>
      </c>
      <c r="B184" s="17" t="n"/>
      <c r="C184" s="17" t="n"/>
      <c r="D184" s="17" t="n"/>
      <c r="E184" s="17" t="n"/>
      <c r="G184" s="19">
        <f>J183</f>
        <v/>
      </c>
      <c r="H184" s="19">
        <f>ROUND(G184*$E$32,0)</f>
        <v/>
      </c>
      <c r="I184" s="19">
        <f>-$E$30</f>
        <v/>
      </c>
      <c r="J184" s="19">
        <f>G184+H184+I184</f>
        <v/>
      </c>
    </row>
    <row r="185">
      <c r="A185" s="16" t="n">
        <v>72</v>
      </c>
      <c r="B185" s="17" t="n"/>
      <c r="C185" s="17" t="n"/>
      <c r="D185" s="17" t="n"/>
      <c r="E185" s="17" t="n"/>
      <c r="G185" s="18">
        <f>J184</f>
        <v/>
      </c>
      <c r="H185" s="18">
        <f>ROUND(G185*$E$32,0)</f>
        <v/>
      </c>
      <c r="I185" s="18">
        <f>-$E$30</f>
        <v/>
      </c>
      <c r="J185" s="18">
        <f>G185+H185+I185</f>
        <v/>
      </c>
    </row>
    <row r="186">
      <c r="A186" s="16" t="n">
        <v>73</v>
      </c>
      <c r="B186" s="17" t="n"/>
      <c r="C186" s="17" t="n"/>
      <c r="D186" s="17" t="n"/>
      <c r="E186" s="17" t="n"/>
      <c r="G186" s="19">
        <f>J185</f>
        <v/>
      </c>
      <c r="H186" s="19">
        <f>-G186-I186</f>
        <v/>
      </c>
      <c r="I186" s="19">
        <f>-$E$30-I114</f>
        <v/>
      </c>
      <c r="J186" s="19">
        <f>G186+H186+I186</f>
        <v/>
      </c>
    </row>
    <row r="187"/>
    <row r="188" ht="20" customHeight="1">
      <c r="A188" s="3" t="inlineStr">
        <is>
          <t>③ 중도해지금  (할인 적용 고객)</t>
        </is>
      </c>
    </row>
    <row r="189">
      <c r="A189" s="20" t="inlineStr">
        <is>
          <t>계약일자</t>
        </is>
      </c>
      <c r="B189" s="21" t="n">
        <v>45912</v>
      </c>
    </row>
    <row r="190">
      <c r="A190" s="20" t="inlineStr">
        <is>
          <t>해지일자</t>
        </is>
      </c>
      <c r="B190" s="21" t="n">
        <v>47013</v>
      </c>
    </row>
    <row r="191">
      <c r="A191" s="22" t="inlineStr">
        <is>
          <t>Σ경과일</t>
        </is>
      </c>
      <c r="B191" s="23">
        <f>B190-B189</f>
        <v/>
      </c>
    </row>
    <row r="192">
      <c r="A192" s="22" t="inlineStr">
        <is>
          <t>당월 사용일</t>
        </is>
      </c>
      <c r="B192" s="23">
        <f>DAY(B190)-1</f>
        <v/>
      </c>
    </row>
    <row r="193">
      <c r="A193" s="22" t="inlineStr">
        <is>
          <t>그달 일수</t>
        </is>
      </c>
      <c r="B193" s="23">
        <f>DAY(EOMONTH(B190,0))</f>
        <v/>
      </c>
    </row>
    <row r="194">
      <c r="A194" s="22" t="inlineStr">
        <is>
          <t>경과비율</t>
        </is>
      </c>
      <c r="B194" s="24">
        <f>(B190-B189)/B6</f>
        <v/>
      </c>
    </row>
    <row r="195">
      <c r="A195" s="22" t="inlineStr">
        <is>
          <t>잔여비율</t>
        </is>
      </c>
      <c r="B195" s="24">
        <f>(B6-(B190-B189))/B6</f>
        <v/>
      </c>
    </row>
    <row r="196"/>
    <row r="197">
      <c r="A197" s="6" t="inlineStr">
        <is>
          <t>항목</t>
        </is>
      </c>
      <c r="B197" s="6" t="inlineStr">
        <is>
          <t>✍️ 내 답</t>
        </is>
      </c>
      <c r="C197" s="6" t="inlineStr">
        <is>
          <t>✅ 정답</t>
        </is>
      </c>
      <c r="E197" s="6" t="inlineStr">
        <is>
          <t>수식 설명</t>
        </is>
      </c>
    </row>
    <row r="198">
      <c r="A198" s="7" t="inlineStr">
        <is>
          <t>위약금</t>
        </is>
      </c>
      <c r="B198" s="8" t="n"/>
      <c r="C198" s="9">
        <f>ROUNDDOWN(B8*B195*0.2,-1)</f>
        <v/>
      </c>
      <c r="D198" s="10" t="n"/>
      <c r="E198" s="11" t="inlineStr">
        <is>
          <t>ROUNDDOWN(총v+ × 잔여 × 20%, −1)</t>
        </is>
      </c>
    </row>
    <row r="199">
      <c r="A199" s="7" t="inlineStr">
        <is>
          <t>사용분 청구</t>
        </is>
      </c>
      <c r="B199" s="8" t="n"/>
      <c r="C199" s="9">
        <f>ROUNDDOWN(C25*B192/B193,-2)</f>
        <v/>
      </c>
      <c r="D199" s="10" t="n"/>
      <c r="E199" s="11" t="inlineStr">
        <is>
          <t>ROUNDDOWN(할인후월구독료 × 사용일/그달, −2)</t>
        </is>
      </c>
    </row>
    <row r="200">
      <c r="A200" s="7" t="inlineStr">
        <is>
          <t>할인금 회수</t>
        </is>
      </c>
      <c r="B200" s="8" t="n"/>
      <c r="C200" s="9">
        <f>ROUNDDOWN(B18*B194,-2)+ROUNDDOWN(B19*B194,-2)+ROUNDDOWN(B20*B194,-2)</f>
        <v/>
      </c>
      <c r="D200" s="10" t="n"/>
      <c r="E200" s="11" t="inlineStr">
        <is>
          <t>Σ ROUNDDOWN(각 할인 × 경과, −2)</t>
        </is>
      </c>
    </row>
    <row r="201">
      <c r="A201" s="7" t="inlineStr">
        <is>
          <t>선납잔액 환불</t>
        </is>
      </c>
      <c r="B201" s="8" t="n"/>
      <c r="C201" s="9">
        <f>-ROUNDUP(B17*B195,-2)</f>
        <v/>
      </c>
      <c r="D201" s="10" t="n"/>
      <c r="E201" s="11" t="inlineStr">
        <is>
          <t>−ROUNDUP(선납금 × 잔여, −2)</t>
        </is>
      </c>
    </row>
    <row r="202">
      <c r="A202" s="7" t="inlineStr">
        <is>
          <t>등록비 청구</t>
        </is>
      </c>
      <c r="B202" s="8" t="n"/>
      <c r="C202" s="9">
        <f>ROUNDDOWN(100000/1.1*B194,-2)</f>
        <v/>
      </c>
      <c r="D202" s="10" t="n"/>
      <c r="E202" s="11" t="inlineStr">
        <is>
          <t>ROUNDDOWN(등록비/1.1 × 경과, −2)</t>
        </is>
      </c>
    </row>
    <row r="203">
      <c r="A203" s="25" t="inlineStr">
        <is>
          <t>고객 순부담</t>
        </is>
      </c>
      <c r="B203" s="10" t="n"/>
      <c r="C203" s="26">
        <f>SUM(C198:C202)</f>
        <v/>
      </c>
      <c r="D203" s="10" t="n"/>
      <c r="E203" s="10" t="n"/>
    </row>
  </sheetData>
  <mergeCells count="16">
    <mergeCell ref="A1:J1"/>
    <mergeCell ref="G111:J111"/>
    <mergeCell ref="G31:J31"/>
    <mergeCell ref="A22:J22"/>
    <mergeCell ref="A188:J188"/>
    <mergeCell ref="A2:J2"/>
    <mergeCell ref="A27:J27"/>
    <mergeCell ref="B34:E34"/>
    <mergeCell ref="G34:J34"/>
    <mergeCell ref="G29:J29"/>
    <mergeCell ref="A4:J4"/>
    <mergeCell ref="G30:J30"/>
    <mergeCell ref="A16:J16"/>
    <mergeCell ref="B111:E111"/>
    <mergeCell ref="G32:J32"/>
    <mergeCell ref="G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통합 실습 — MX 갤럭시탭 : 할인전·할인후 모두 실습</t>
        </is>
      </c>
    </row>
    <row r="2">
      <c r="A2" s="2" t="inlineStr">
        <is>
          <t>① 월구독료 → ② 리스 상각표(할인전·할인후) → ③ 중도해지. 노란칸 직접 / 초록 정답 / 파란칸(날짜) 입력.</t>
        </is>
      </c>
    </row>
    <row r="3"/>
    <row r="4" ht="20" customHeight="1">
      <c r="A4" s="3" t="inlineStr">
        <is>
          <t>■ 주어진 값 (할인전)</t>
        </is>
      </c>
    </row>
    <row r="5">
      <c r="A5" s="4" t="inlineStr">
        <is>
          <t>구독기간(개월)</t>
        </is>
      </c>
      <c r="B5" s="5" t="n">
        <v>48</v>
      </c>
    </row>
    <row r="6">
      <c r="A6" s="4" t="inlineStr">
        <is>
          <t>구독기간(일)</t>
        </is>
      </c>
      <c r="B6" s="5" t="n">
        <v>1461</v>
      </c>
    </row>
    <row r="7">
      <c r="A7" s="4" t="inlineStr">
        <is>
          <t>총구독료(v−)</t>
        </is>
      </c>
      <c r="B7" s="5" t="n">
        <v>2011200</v>
      </c>
    </row>
    <row r="8">
      <c r="A8" s="4" t="inlineStr">
        <is>
          <t>총구독료(v+)</t>
        </is>
      </c>
      <c r="B8" s="5" t="n">
        <v>2200800</v>
      </c>
    </row>
    <row r="9">
      <c r="A9" s="4" t="inlineStr">
        <is>
          <t>매출인식기준구독료(v−)</t>
        </is>
      </c>
      <c r="B9" s="5" t="n">
        <v>1800000</v>
      </c>
    </row>
    <row r="10">
      <c r="A10" s="4" t="inlineStr">
        <is>
          <t>케어(v−)</t>
        </is>
      </c>
      <c r="B10" s="5" t="n">
        <v>0</v>
      </c>
    </row>
    <row r="11">
      <c r="A11" s="4" t="inlineStr">
        <is>
          <t>보증(v−)</t>
        </is>
      </c>
      <c r="B11" s="5" t="n">
        <v>96000</v>
      </c>
    </row>
    <row r="12">
      <c r="A12" s="4" t="inlineStr">
        <is>
          <t>제품 혜택가(v−)</t>
        </is>
      </c>
      <c r="B12" s="5" t="n">
        <v>1264545</v>
      </c>
    </row>
    <row r="13">
      <c r="A13" s="4" t="inlineStr">
        <is>
          <t>부분월 사용일</t>
        </is>
      </c>
      <c r="B13" s="5" t="n">
        <v>27</v>
      </c>
    </row>
    <row r="14">
      <c r="A14" s="4" t="inlineStr">
        <is>
          <t>부분월 그달일수</t>
        </is>
      </c>
      <c r="B14" s="5" t="n">
        <v>31</v>
      </c>
    </row>
    <row r="15"/>
    <row r="16" ht="20" customHeight="1">
      <c r="A16" s="3" t="inlineStr">
        <is>
          <t>■ 할인 3종 최종금액 (v−)</t>
        </is>
      </c>
    </row>
    <row r="17">
      <c r="A17" s="4" t="inlineStr">
        <is>
          <t>선납금</t>
        </is>
      </c>
      <c r="B17" s="5" t="n">
        <v>604800</v>
      </c>
    </row>
    <row r="18">
      <c r="A18" s="4" t="inlineStr">
        <is>
          <t>선납할인</t>
        </is>
      </c>
      <c r="B18" s="5" t="n">
        <v>81600</v>
      </c>
    </row>
    <row r="19">
      <c r="A19" s="4" t="inlineStr">
        <is>
          <t>단품</t>
        </is>
      </c>
      <c r="B19" s="5" t="n">
        <v>100800</v>
      </c>
    </row>
    <row r="20">
      <c r="A20" s="4" t="inlineStr">
        <is>
          <t>결합</t>
        </is>
      </c>
      <c r="B20" s="5" t="n">
        <v>96000</v>
      </c>
    </row>
    <row r="21"/>
    <row r="22" ht="20" customHeight="1">
      <c r="A22" s="3" t="inlineStr">
        <is>
          <t>① 월구독료  (할인전·할인후 둘 다 직접)</t>
        </is>
      </c>
    </row>
    <row r="23">
      <c r="A23" s="6" t="inlineStr">
        <is>
          <t>항목</t>
        </is>
      </c>
      <c r="B23" s="6" t="inlineStr">
        <is>
          <t>✍️ 내 답</t>
        </is>
      </c>
      <c r="C23" s="6" t="inlineStr">
        <is>
          <t>✅ 정답</t>
        </is>
      </c>
      <c r="E23" s="6" t="inlineStr">
        <is>
          <t>수식 설명</t>
        </is>
      </c>
    </row>
    <row r="24">
      <c r="A24" s="7" t="inlineStr">
        <is>
          <t>할인전 월구독료</t>
        </is>
      </c>
      <c r="B24" s="8" t="n"/>
      <c r="C24" s="9">
        <f>B7/B5</f>
        <v/>
      </c>
      <c r="D24" s="10" t="n"/>
      <c r="E24" s="11" t="inlineStr">
        <is>
          <t>총구독료 / 기간</t>
        </is>
      </c>
    </row>
    <row r="25">
      <c r="A25" s="7" t="inlineStr">
        <is>
          <t>할인후 월구독료</t>
        </is>
      </c>
      <c r="B25" s="8" t="n"/>
      <c r="C25" s="9">
        <f>(B7-B17-B18-B19-B20)/B5</f>
        <v/>
      </c>
      <c r="D25" s="10" t="n"/>
      <c r="E25" s="11" t="inlineStr">
        <is>
          <t>(총−선납−선납할인−단품−결합)/기간</t>
        </is>
      </c>
    </row>
    <row r="26"/>
    <row r="27" ht="20" customHeight="1">
      <c r="A27" s="3" t="inlineStr">
        <is>
          <t>② 리스 상각표 엔진  (할인전·할인후 둘 다 직접)</t>
        </is>
      </c>
    </row>
    <row r="28">
      <c r="A28" s="6" t="inlineStr">
        <is>
          <t>항목</t>
        </is>
      </c>
      <c r="B28" s="6" t="inlineStr">
        <is>
          <t>할인전 ✍️</t>
        </is>
      </c>
      <c r="C28" s="6" t="inlineStr">
        <is>
          <t>할인전 ✅</t>
        </is>
      </c>
      <c r="D28" s="6" t="inlineStr">
        <is>
          <t>할인후 ✍️</t>
        </is>
      </c>
      <c r="E28" s="6" t="inlineStr">
        <is>
          <t>할인후 ✅</t>
        </is>
      </c>
      <c r="G28" s="6" t="inlineStr">
        <is>
          <t>설명</t>
        </is>
      </c>
    </row>
    <row r="29">
      <c r="A29" s="7" t="inlineStr">
        <is>
          <t>순수구독료</t>
        </is>
      </c>
      <c r="B29" s="8" t="n"/>
      <c r="C29" s="9">
        <f>B9</f>
        <v/>
      </c>
      <c r="D29" s="8" t="n"/>
      <c r="E29" s="9">
        <f>B9-B17-B18-B19-B20</f>
        <v/>
      </c>
      <c r="G29" s="11" t="inlineStr">
        <is>
          <t>총−케어−보증−(선납·할인)</t>
        </is>
      </c>
    </row>
    <row r="30">
      <c r="A30" s="7" t="inlineStr">
        <is>
          <t>리스료(월)</t>
        </is>
      </c>
      <c r="B30" s="8" t="n"/>
      <c r="C30" s="12">
        <f>C29/B5</f>
        <v/>
      </c>
      <c r="D30" s="8" t="n"/>
      <c r="E30" s="12">
        <f>E29/B5</f>
        <v/>
      </c>
      <c r="G30" s="11" t="inlineStr">
        <is>
          <t>순수 / N</t>
        </is>
      </c>
    </row>
    <row r="31">
      <c r="A31" s="7" t="inlineStr">
        <is>
          <t>리스채권</t>
        </is>
      </c>
      <c r="B31" s="8" t="n"/>
      <c r="C31" s="12">
        <f>MIN(B12,PV(0.0357/12,B5,-C29/B5))</f>
        <v/>
      </c>
      <c r="D31" s="8" t="n"/>
      <c r="E31" s="12">
        <f>MIN(B12,PV(0.0357/12,B5,-(B9-B18-B19-B20)/B5))-B17</f>
        <v/>
      </c>
      <c r="G31" s="11" t="inlineStr">
        <is>
          <t>MIN(제품,PV)−선납</t>
        </is>
      </c>
    </row>
    <row r="32">
      <c r="A32" s="7" t="inlineStr">
        <is>
          <t>월이자율</t>
        </is>
      </c>
      <c r="B32" s="8" t="n"/>
      <c r="C32" s="13">
        <f>RATE(B5,-C30,C31)</f>
        <v/>
      </c>
      <c r="D32" s="8" t="n"/>
      <c r="E32" s="13">
        <f>RATE(B5,-E30,E31)</f>
        <v/>
      </c>
      <c r="G32" s="11" t="inlineStr">
        <is>
          <t>RATE(N,−리스료,채권)</t>
        </is>
      </c>
    </row>
    <row r="33"/>
    <row r="34">
      <c r="B34" s="14" t="inlineStr">
        <is>
          <t>✍️ 할인전 상각표 (직접)</t>
        </is>
      </c>
      <c r="G34" s="15" t="inlineStr">
        <is>
          <t>✅ 할인전 정답표 (자동)</t>
        </is>
      </c>
    </row>
    <row r="35">
      <c r="A35" s="6" t="inlineStr">
        <is>
          <t>회차</t>
        </is>
      </c>
      <c r="B35" s="6" t="inlineStr">
        <is>
          <t>기초</t>
        </is>
      </c>
      <c r="C35" s="6" t="inlineStr">
        <is>
          <t>이자</t>
        </is>
      </c>
      <c r="D35" s="6" t="inlineStr">
        <is>
          <t>리스료</t>
        </is>
      </c>
      <c r="E35" s="6" t="inlineStr">
        <is>
          <t>기말</t>
        </is>
      </c>
      <c r="G35" s="6" t="inlineStr">
        <is>
          <t>기초</t>
        </is>
      </c>
      <c r="H35" s="6" t="inlineStr">
        <is>
          <t>이자</t>
        </is>
      </c>
      <c r="I35" s="6" t="inlineStr">
        <is>
          <t>리스료</t>
        </is>
      </c>
      <c r="J35" s="6" t="inlineStr">
        <is>
          <t>기말</t>
        </is>
      </c>
    </row>
    <row r="36">
      <c r="A36" s="16" t="n">
        <v>0</v>
      </c>
      <c r="B36" s="17" t="n"/>
      <c r="C36" s="17" t="n"/>
      <c r="D36" s="17" t="n"/>
      <c r="E36" s="17" t="n"/>
      <c r="G36" s="18" t="n"/>
      <c r="H36" s="18" t="n"/>
      <c r="I36" s="18" t="n"/>
      <c r="J36" s="18">
        <f>$C$31</f>
        <v/>
      </c>
    </row>
    <row r="37">
      <c r="A37" s="16" t="n">
        <v>1</v>
      </c>
      <c r="B37" s="17" t="n"/>
      <c r="C37" s="17" t="n"/>
      <c r="D37" s="17" t="n"/>
      <c r="E37" s="17" t="n"/>
      <c r="G37" s="19">
        <f>J36</f>
        <v/>
      </c>
      <c r="H37" s="19">
        <f>ROUND(-I37+($C$31*$C$32-$C$30)*($B$13/$B$14),0)</f>
        <v/>
      </c>
      <c r="I37" s="19">
        <f>-(ROUNDDOWN(($B$7/$B$5)*($B$13/$B$14),-2)-ROUNDDOWN(($B$10/$B$5)*($B$13/$B$14),-2)-ROUNDDOWN(($B$11/$B$5)*($B$13/$B$14),-2))</f>
        <v/>
      </c>
      <c r="J37" s="19">
        <f>G37+H37+I37</f>
        <v/>
      </c>
    </row>
    <row r="38">
      <c r="A38" s="16" t="n">
        <v>2</v>
      </c>
      <c r="B38" s="17" t="n"/>
      <c r="C38" s="17" t="n"/>
      <c r="D38" s="17" t="n"/>
      <c r="E38" s="17" t="n"/>
      <c r="G38" s="18">
        <f>J37</f>
        <v/>
      </c>
      <c r="H38" s="18">
        <f>ROUND(G38*$C$32,0)</f>
        <v/>
      </c>
      <c r="I38" s="18">
        <f>-$C$30</f>
        <v/>
      </c>
      <c r="J38" s="18">
        <f>G38+H38+I38</f>
        <v/>
      </c>
    </row>
    <row r="39">
      <c r="A39" s="16" t="n">
        <v>3</v>
      </c>
      <c r="B39" s="17" t="n"/>
      <c r="C39" s="17" t="n"/>
      <c r="D39" s="17" t="n"/>
      <c r="E39" s="17" t="n"/>
      <c r="G39" s="19">
        <f>J38</f>
        <v/>
      </c>
      <c r="H39" s="19">
        <f>ROUND(G39*$C$32,0)</f>
        <v/>
      </c>
      <c r="I39" s="19">
        <f>-$C$30</f>
        <v/>
      </c>
      <c r="J39" s="19">
        <f>G39+H39+I39</f>
        <v/>
      </c>
    </row>
    <row r="40">
      <c r="A40" s="16" t="n">
        <v>4</v>
      </c>
      <c r="B40" s="17" t="n"/>
      <c r="C40" s="17" t="n"/>
      <c r="D40" s="17" t="n"/>
      <c r="E40" s="17" t="n"/>
      <c r="G40" s="18">
        <f>J39</f>
        <v/>
      </c>
      <c r="H40" s="18">
        <f>ROUND(G40*$C$32,0)</f>
        <v/>
      </c>
      <c r="I40" s="18">
        <f>-$C$30</f>
        <v/>
      </c>
      <c r="J40" s="18">
        <f>G40+H40+I40</f>
        <v/>
      </c>
    </row>
    <row r="41">
      <c r="A41" s="16" t="n">
        <v>5</v>
      </c>
      <c r="B41" s="17" t="n"/>
      <c r="C41" s="17" t="n"/>
      <c r="D41" s="17" t="n"/>
      <c r="E41" s="17" t="n"/>
      <c r="G41" s="19">
        <f>J40</f>
        <v/>
      </c>
      <c r="H41" s="19">
        <f>ROUND(G41*$C$32,0)</f>
        <v/>
      </c>
      <c r="I41" s="19">
        <f>-$C$30</f>
        <v/>
      </c>
      <c r="J41" s="19">
        <f>G41+H41+I41</f>
        <v/>
      </c>
    </row>
    <row r="42">
      <c r="A42" s="16" t="n">
        <v>6</v>
      </c>
      <c r="B42" s="17" t="n"/>
      <c r="C42" s="17" t="n"/>
      <c r="D42" s="17" t="n"/>
      <c r="E42" s="17" t="n"/>
      <c r="G42" s="18">
        <f>J41</f>
        <v/>
      </c>
      <c r="H42" s="18">
        <f>ROUND(G42*$C$32,0)</f>
        <v/>
      </c>
      <c r="I42" s="18">
        <f>-$C$30</f>
        <v/>
      </c>
      <c r="J42" s="18">
        <f>G42+H42+I42</f>
        <v/>
      </c>
    </row>
    <row r="43">
      <c r="A43" s="16" t="n">
        <v>7</v>
      </c>
      <c r="B43" s="17" t="n"/>
      <c r="C43" s="17" t="n"/>
      <c r="D43" s="17" t="n"/>
      <c r="E43" s="17" t="n"/>
      <c r="G43" s="19">
        <f>J42</f>
        <v/>
      </c>
      <c r="H43" s="19">
        <f>ROUND(G43*$C$32,0)</f>
        <v/>
      </c>
      <c r="I43" s="19">
        <f>-$C$30</f>
        <v/>
      </c>
      <c r="J43" s="19">
        <f>G43+H43+I43</f>
        <v/>
      </c>
    </row>
    <row r="44">
      <c r="A44" s="16" t="n">
        <v>8</v>
      </c>
      <c r="B44" s="17" t="n"/>
      <c r="C44" s="17" t="n"/>
      <c r="D44" s="17" t="n"/>
      <c r="E44" s="17" t="n"/>
      <c r="G44" s="18">
        <f>J43</f>
        <v/>
      </c>
      <c r="H44" s="18">
        <f>ROUND(G44*$C$32,0)</f>
        <v/>
      </c>
      <c r="I44" s="18">
        <f>-$C$30</f>
        <v/>
      </c>
      <c r="J44" s="18">
        <f>G44+H44+I44</f>
        <v/>
      </c>
    </row>
    <row r="45">
      <c r="A45" s="16" t="n">
        <v>9</v>
      </c>
      <c r="B45" s="17" t="n"/>
      <c r="C45" s="17" t="n"/>
      <c r="D45" s="17" t="n"/>
      <c r="E45" s="17" t="n"/>
      <c r="G45" s="19">
        <f>J44</f>
        <v/>
      </c>
      <c r="H45" s="19">
        <f>ROUND(G45*$C$32,0)</f>
        <v/>
      </c>
      <c r="I45" s="19">
        <f>-$C$30</f>
        <v/>
      </c>
      <c r="J45" s="19">
        <f>G45+H45+I45</f>
        <v/>
      </c>
    </row>
    <row r="46">
      <c r="A46" s="16" t="n">
        <v>10</v>
      </c>
      <c r="B46" s="17" t="n"/>
      <c r="C46" s="17" t="n"/>
      <c r="D46" s="17" t="n"/>
      <c r="E46" s="17" t="n"/>
      <c r="G46" s="18">
        <f>J45</f>
        <v/>
      </c>
      <c r="H46" s="18">
        <f>ROUND(G46*$C$32,0)</f>
        <v/>
      </c>
      <c r="I46" s="18">
        <f>-$C$30</f>
        <v/>
      </c>
      <c r="J46" s="18">
        <f>G46+H46+I46</f>
        <v/>
      </c>
    </row>
    <row r="47">
      <c r="A47" s="16" t="n">
        <v>11</v>
      </c>
      <c r="B47" s="17" t="n"/>
      <c r="C47" s="17" t="n"/>
      <c r="D47" s="17" t="n"/>
      <c r="E47" s="17" t="n"/>
      <c r="G47" s="19">
        <f>J46</f>
        <v/>
      </c>
      <c r="H47" s="19">
        <f>ROUND(G47*$C$32,0)</f>
        <v/>
      </c>
      <c r="I47" s="19">
        <f>-$C$30</f>
        <v/>
      </c>
      <c r="J47" s="19">
        <f>G47+H47+I47</f>
        <v/>
      </c>
    </row>
    <row r="48">
      <c r="A48" s="16" t="n">
        <v>12</v>
      </c>
      <c r="B48" s="17" t="n"/>
      <c r="C48" s="17" t="n"/>
      <c r="D48" s="17" t="n"/>
      <c r="E48" s="17" t="n"/>
      <c r="G48" s="18">
        <f>J47</f>
        <v/>
      </c>
      <c r="H48" s="18">
        <f>ROUND(G48*$C$32,0)</f>
        <v/>
      </c>
      <c r="I48" s="18">
        <f>-$C$30</f>
        <v/>
      </c>
      <c r="J48" s="18">
        <f>G48+H48+I48</f>
        <v/>
      </c>
    </row>
    <row r="49">
      <c r="A49" s="16" t="n">
        <v>13</v>
      </c>
      <c r="B49" s="17" t="n"/>
      <c r="C49" s="17" t="n"/>
      <c r="D49" s="17" t="n"/>
      <c r="E49" s="17" t="n"/>
      <c r="G49" s="19">
        <f>J48</f>
        <v/>
      </c>
      <c r="H49" s="19">
        <f>ROUND(G49*$C$32,0)</f>
        <v/>
      </c>
      <c r="I49" s="19">
        <f>-$C$30</f>
        <v/>
      </c>
      <c r="J49" s="19">
        <f>G49+H49+I49</f>
        <v/>
      </c>
    </row>
    <row r="50">
      <c r="A50" s="16" t="n">
        <v>14</v>
      </c>
      <c r="B50" s="17" t="n"/>
      <c r="C50" s="17" t="n"/>
      <c r="D50" s="17" t="n"/>
      <c r="E50" s="17" t="n"/>
      <c r="G50" s="18">
        <f>J49</f>
        <v/>
      </c>
      <c r="H50" s="18">
        <f>ROUND(G50*$C$32,0)</f>
        <v/>
      </c>
      <c r="I50" s="18">
        <f>-$C$30</f>
        <v/>
      </c>
      <c r="J50" s="18">
        <f>G50+H50+I50</f>
        <v/>
      </c>
    </row>
    <row r="51">
      <c r="A51" s="16" t="n">
        <v>15</v>
      </c>
      <c r="B51" s="17" t="n"/>
      <c r="C51" s="17" t="n"/>
      <c r="D51" s="17" t="n"/>
      <c r="E51" s="17" t="n"/>
      <c r="G51" s="19">
        <f>J50</f>
        <v/>
      </c>
      <c r="H51" s="19">
        <f>ROUND(G51*$C$32,0)</f>
        <v/>
      </c>
      <c r="I51" s="19">
        <f>-$C$30</f>
        <v/>
      </c>
      <c r="J51" s="19">
        <f>G51+H51+I51</f>
        <v/>
      </c>
    </row>
    <row r="52">
      <c r="A52" s="16" t="n">
        <v>16</v>
      </c>
      <c r="B52" s="17" t="n"/>
      <c r="C52" s="17" t="n"/>
      <c r="D52" s="17" t="n"/>
      <c r="E52" s="17" t="n"/>
      <c r="G52" s="18">
        <f>J51</f>
        <v/>
      </c>
      <c r="H52" s="18">
        <f>ROUND(G52*$C$32,0)</f>
        <v/>
      </c>
      <c r="I52" s="18">
        <f>-$C$30</f>
        <v/>
      </c>
      <c r="J52" s="18">
        <f>G52+H52+I52</f>
        <v/>
      </c>
    </row>
    <row r="53">
      <c r="A53" s="16" t="n">
        <v>17</v>
      </c>
      <c r="B53" s="17" t="n"/>
      <c r="C53" s="17" t="n"/>
      <c r="D53" s="17" t="n"/>
      <c r="E53" s="17" t="n"/>
      <c r="G53" s="19">
        <f>J52</f>
        <v/>
      </c>
      <c r="H53" s="19">
        <f>ROUND(G53*$C$32,0)</f>
        <v/>
      </c>
      <c r="I53" s="19">
        <f>-$C$30</f>
        <v/>
      </c>
      <c r="J53" s="19">
        <f>G53+H53+I53</f>
        <v/>
      </c>
    </row>
    <row r="54">
      <c r="A54" s="16" t="n">
        <v>18</v>
      </c>
      <c r="B54" s="17" t="n"/>
      <c r="C54" s="17" t="n"/>
      <c r="D54" s="17" t="n"/>
      <c r="E54" s="17" t="n"/>
      <c r="G54" s="18">
        <f>J53</f>
        <v/>
      </c>
      <c r="H54" s="18">
        <f>ROUND(G54*$C$32,0)</f>
        <v/>
      </c>
      <c r="I54" s="18">
        <f>-$C$30</f>
        <v/>
      </c>
      <c r="J54" s="18">
        <f>G54+H54+I54</f>
        <v/>
      </c>
    </row>
    <row r="55">
      <c r="A55" s="16" t="n">
        <v>19</v>
      </c>
      <c r="B55" s="17" t="n"/>
      <c r="C55" s="17" t="n"/>
      <c r="D55" s="17" t="n"/>
      <c r="E55" s="17" t="n"/>
      <c r="G55" s="19">
        <f>J54</f>
        <v/>
      </c>
      <c r="H55" s="19">
        <f>ROUND(G55*$C$32,0)</f>
        <v/>
      </c>
      <c r="I55" s="19">
        <f>-$C$30</f>
        <v/>
      </c>
      <c r="J55" s="19">
        <f>G55+H55+I55</f>
        <v/>
      </c>
    </row>
    <row r="56">
      <c r="A56" s="16" t="n">
        <v>20</v>
      </c>
      <c r="B56" s="17" t="n"/>
      <c r="C56" s="17" t="n"/>
      <c r="D56" s="17" t="n"/>
      <c r="E56" s="17" t="n"/>
      <c r="G56" s="18">
        <f>J55</f>
        <v/>
      </c>
      <c r="H56" s="18">
        <f>ROUND(G56*$C$32,0)</f>
        <v/>
      </c>
      <c r="I56" s="18">
        <f>-$C$30</f>
        <v/>
      </c>
      <c r="J56" s="18">
        <f>G56+H56+I56</f>
        <v/>
      </c>
    </row>
    <row r="57">
      <c r="A57" s="16" t="n">
        <v>21</v>
      </c>
      <c r="B57" s="17" t="n"/>
      <c r="C57" s="17" t="n"/>
      <c r="D57" s="17" t="n"/>
      <c r="E57" s="17" t="n"/>
      <c r="G57" s="19">
        <f>J56</f>
        <v/>
      </c>
      <c r="H57" s="19">
        <f>ROUND(G57*$C$32,0)</f>
        <v/>
      </c>
      <c r="I57" s="19">
        <f>-$C$30</f>
        <v/>
      </c>
      <c r="J57" s="19">
        <f>G57+H57+I57</f>
        <v/>
      </c>
    </row>
    <row r="58">
      <c r="A58" s="16" t="n">
        <v>22</v>
      </c>
      <c r="B58" s="17" t="n"/>
      <c r="C58" s="17" t="n"/>
      <c r="D58" s="17" t="n"/>
      <c r="E58" s="17" t="n"/>
      <c r="G58" s="18">
        <f>J57</f>
        <v/>
      </c>
      <c r="H58" s="18">
        <f>ROUND(G58*$C$32,0)</f>
        <v/>
      </c>
      <c r="I58" s="18">
        <f>-$C$30</f>
        <v/>
      </c>
      <c r="J58" s="18">
        <f>G58+H58+I58</f>
        <v/>
      </c>
    </row>
    <row r="59">
      <c r="A59" s="16" t="n">
        <v>23</v>
      </c>
      <c r="B59" s="17" t="n"/>
      <c r="C59" s="17" t="n"/>
      <c r="D59" s="17" t="n"/>
      <c r="E59" s="17" t="n"/>
      <c r="G59" s="19">
        <f>J58</f>
        <v/>
      </c>
      <c r="H59" s="19">
        <f>ROUND(G59*$C$32,0)</f>
        <v/>
      </c>
      <c r="I59" s="19">
        <f>-$C$30</f>
        <v/>
      </c>
      <c r="J59" s="19">
        <f>G59+H59+I59</f>
        <v/>
      </c>
    </row>
    <row r="60">
      <c r="A60" s="16" t="n">
        <v>24</v>
      </c>
      <c r="B60" s="17" t="n"/>
      <c r="C60" s="17" t="n"/>
      <c r="D60" s="17" t="n"/>
      <c r="E60" s="17" t="n"/>
      <c r="G60" s="18">
        <f>J59</f>
        <v/>
      </c>
      <c r="H60" s="18">
        <f>ROUND(G60*$C$32,0)</f>
        <v/>
      </c>
      <c r="I60" s="18">
        <f>-$C$30</f>
        <v/>
      </c>
      <c r="J60" s="18">
        <f>G60+H60+I60</f>
        <v/>
      </c>
    </row>
    <row r="61">
      <c r="A61" s="16" t="n">
        <v>25</v>
      </c>
      <c r="B61" s="17" t="n"/>
      <c r="C61" s="17" t="n"/>
      <c r="D61" s="17" t="n"/>
      <c r="E61" s="17" t="n"/>
      <c r="G61" s="19">
        <f>J60</f>
        <v/>
      </c>
      <c r="H61" s="19">
        <f>ROUND(G61*$C$32,0)</f>
        <v/>
      </c>
      <c r="I61" s="19">
        <f>-$C$30</f>
        <v/>
      </c>
      <c r="J61" s="19">
        <f>G61+H61+I61</f>
        <v/>
      </c>
    </row>
    <row r="62">
      <c r="A62" s="16" t="n">
        <v>26</v>
      </c>
      <c r="B62" s="17" t="n"/>
      <c r="C62" s="17" t="n"/>
      <c r="D62" s="17" t="n"/>
      <c r="E62" s="17" t="n"/>
      <c r="G62" s="18">
        <f>J61</f>
        <v/>
      </c>
      <c r="H62" s="18">
        <f>ROUND(G62*$C$32,0)</f>
        <v/>
      </c>
      <c r="I62" s="18">
        <f>-$C$30</f>
        <v/>
      </c>
      <c r="J62" s="18">
        <f>G62+H62+I62</f>
        <v/>
      </c>
    </row>
    <row r="63">
      <c r="A63" s="16" t="n">
        <v>27</v>
      </c>
      <c r="B63" s="17" t="n"/>
      <c r="C63" s="17" t="n"/>
      <c r="D63" s="17" t="n"/>
      <c r="E63" s="17" t="n"/>
      <c r="G63" s="19">
        <f>J62</f>
        <v/>
      </c>
      <c r="H63" s="19">
        <f>ROUND(G63*$C$32,0)</f>
        <v/>
      </c>
      <c r="I63" s="19">
        <f>-$C$30</f>
        <v/>
      </c>
      <c r="J63" s="19">
        <f>G63+H63+I63</f>
        <v/>
      </c>
    </row>
    <row r="64">
      <c r="A64" s="16" t="n">
        <v>28</v>
      </c>
      <c r="B64" s="17" t="n"/>
      <c r="C64" s="17" t="n"/>
      <c r="D64" s="17" t="n"/>
      <c r="E64" s="17" t="n"/>
      <c r="G64" s="18">
        <f>J63</f>
        <v/>
      </c>
      <c r="H64" s="18">
        <f>ROUND(G64*$C$32,0)</f>
        <v/>
      </c>
      <c r="I64" s="18">
        <f>-$C$30</f>
        <v/>
      </c>
      <c r="J64" s="18">
        <f>G64+H64+I64</f>
        <v/>
      </c>
    </row>
    <row r="65">
      <c r="A65" s="16" t="n">
        <v>29</v>
      </c>
      <c r="B65" s="17" t="n"/>
      <c r="C65" s="17" t="n"/>
      <c r="D65" s="17" t="n"/>
      <c r="E65" s="17" t="n"/>
      <c r="G65" s="19">
        <f>J64</f>
        <v/>
      </c>
      <c r="H65" s="19">
        <f>ROUND(G65*$C$32,0)</f>
        <v/>
      </c>
      <c r="I65" s="19">
        <f>-$C$30</f>
        <v/>
      </c>
      <c r="J65" s="19">
        <f>G65+H65+I65</f>
        <v/>
      </c>
    </row>
    <row r="66">
      <c r="A66" s="16" t="n">
        <v>30</v>
      </c>
      <c r="B66" s="17" t="n"/>
      <c r="C66" s="17" t="n"/>
      <c r="D66" s="17" t="n"/>
      <c r="E66" s="17" t="n"/>
      <c r="G66" s="18">
        <f>J65</f>
        <v/>
      </c>
      <c r="H66" s="18">
        <f>ROUND(G66*$C$32,0)</f>
        <v/>
      </c>
      <c r="I66" s="18">
        <f>-$C$30</f>
        <v/>
      </c>
      <c r="J66" s="18">
        <f>G66+H66+I66</f>
        <v/>
      </c>
    </row>
    <row r="67">
      <c r="A67" s="16" t="n">
        <v>31</v>
      </c>
      <c r="B67" s="17" t="n"/>
      <c r="C67" s="17" t="n"/>
      <c r="D67" s="17" t="n"/>
      <c r="E67" s="17" t="n"/>
      <c r="G67" s="19">
        <f>J66</f>
        <v/>
      </c>
      <c r="H67" s="19">
        <f>ROUND(G67*$C$32,0)</f>
        <v/>
      </c>
      <c r="I67" s="19">
        <f>-$C$30</f>
        <v/>
      </c>
      <c r="J67" s="19">
        <f>G67+H67+I67</f>
        <v/>
      </c>
    </row>
    <row r="68">
      <c r="A68" s="16" t="n">
        <v>32</v>
      </c>
      <c r="B68" s="17" t="n"/>
      <c r="C68" s="17" t="n"/>
      <c r="D68" s="17" t="n"/>
      <c r="E68" s="17" t="n"/>
      <c r="G68" s="18">
        <f>J67</f>
        <v/>
      </c>
      <c r="H68" s="18">
        <f>ROUND(G68*$C$32,0)</f>
        <v/>
      </c>
      <c r="I68" s="18">
        <f>-$C$30</f>
        <v/>
      </c>
      <c r="J68" s="18">
        <f>G68+H68+I68</f>
        <v/>
      </c>
    </row>
    <row r="69">
      <c r="A69" s="16" t="n">
        <v>33</v>
      </c>
      <c r="B69" s="17" t="n"/>
      <c r="C69" s="17" t="n"/>
      <c r="D69" s="17" t="n"/>
      <c r="E69" s="17" t="n"/>
      <c r="G69" s="19">
        <f>J68</f>
        <v/>
      </c>
      <c r="H69" s="19">
        <f>ROUND(G69*$C$32,0)</f>
        <v/>
      </c>
      <c r="I69" s="19">
        <f>-$C$30</f>
        <v/>
      </c>
      <c r="J69" s="19">
        <f>G69+H69+I69</f>
        <v/>
      </c>
    </row>
    <row r="70">
      <c r="A70" s="16" t="n">
        <v>34</v>
      </c>
      <c r="B70" s="17" t="n"/>
      <c r="C70" s="17" t="n"/>
      <c r="D70" s="17" t="n"/>
      <c r="E70" s="17" t="n"/>
      <c r="G70" s="18">
        <f>J69</f>
        <v/>
      </c>
      <c r="H70" s="18">
        <f>ROUND(G70*$C$32,0)</f>
        <v/>
      </c>
      <c r="I70" s="18">
        <f>-$C$30</f>
        <v/>
      </c>
      <c r="J70" s="18">
        <f>G70+H70+I70</f>
        <v/>
      </c>
    </row>
    <row r="71">
      <c r="A71" s="16" t="n">
        <v>35</v>
      </c>
      <c r="B71" s="17" t="n"/>
      <c r="C71" s="17" t="n"/>
      <c r="D71" s="17" t="n"/>
      <c r="E71" s="17" t="n"/>
      <c r="G71" s="19">
        <f>J70</f>
        <v/>
      </c>
      <c r="H71" s="19">
        <f>ROUND(G71*$C$32,0)</f>
        <v/>
      </c>
      <c r="I71" s="19">
        <f>-$C$30</f>
        <v/>
      </c>
      <c r="J71" s="19">
        <f>G71+H71+I71</f>
        <v/>
      </c>
    </row>
    <row r="72">
      <c r="A72" s="16" t="n">
        <v>36</v>
      </c>
      <c r="B72" s="17" t="n"/>
      <c r="C72" s="17" t="n"/>
      <c r="D72" s="17" t="n"/>
      <c r="E72" s="17" t="n"/>
      <c r="G72" s="18">
        <f>J71</f>
        <v/>
      </c>
      <c r="H72" s="18">
        <f>ROUND(G72*$C$32,0)</f>
        <v/>
      </c>
      <c r="I72" s="18">
        <f>-$C$30</f>
        <v/>
      </c>
      <c r="J72" s="18">
        <f>G72+H72+I72</f>
        <v/>
      </c>
    </row>
    <row r="73">
      <c r="A73" s="16" t="n">
        <v>37</v>
      </c>
      <c r="B73" s="17" t="n"/>
      <c r="C73" s="17" t="n"/>
      <c r="D73" s="17" t="n"/>
      <c r="E73" s="17" t="n"/>
      <c r="G73" s="19">
        <f>J72</f>
        <v/>
      </c>
      <c r="H73" s="19">
        <f>ROUND(G73*$C$32,0)</f>
        <v/>
      </c>
      <c r="I73" s="19">
        <f>-$C$30</f>
        <v/>
      </c>
      <c r="J73" s="19">
        <f>G73+H73+I73</f>
        <v/>
      </c>
    </row>
    <row r="74">
      <c r="A74" s="16" t="n">
        <v>38</v>
      </c>
      <c r="B74" s="17" t="n"/>
      <c r="C74" s="17" t="n"/>
      <c r="D74" s="17" t="n"/>
      <c r="E74" s="17" t="n"/>
      <c r="G74" s="18">
        <f>J73</f>
        <v/>
      </c>
      <c r="H74" s="18">
        <f>ROUND(G74*$C$32,0)</f>
        <v/>
      </c>
      <c r="I74" s="18">
        <f>-$C$30</f>
        <v/>
      </c>
      <c r="J74" s="18">
        <f>G74+H74+I74</f>
        <v/>
      </c>
    </row>
    <row r="75">
      <c r="A75" s="16" t="n">
        <v>39</v>
      </c>
      <c r="B75" s="17" t="n"/>
      <c r="C75" s="17" t="n"/>
      <c r="D75" s="17" t="n"/>
      <c r="E75" s="17" t="n"/>
      <c r="G75" s="19">
        <f>J74</f>
        <v/>
      </c>
      <c r="H75" s="19">
        <f>ROUND(G75*$C$32,0)</f>
        <v/>
      </c>
      <c r="I75" s="19">
        <f>-$C$30</f>
        <v/>
      </c>
      <c r="J75" s="19">
        <f>G75+H75+I75</f>
        <v/>
      </c>
    </row>
    <row r="76">
      <c r="A76" s="16" t="n">
        <v>40</v>
      </c>
      <c r="B76" s="17" t="n"/>
      <c r="C76" s="17" t="n"/>
      <c r="D76" s="17" t="n"/>
      <c r="E76" s="17" t="n"/>
      <c r="G76" s="18">
        <f>J75</f>
        <v/>
      </c>
      <c r="H76" s="18">
        <f>ROUND(G76*$C$32,0)</f>
        <v/>
      </c>
      <c r="I76" s="18">
        <f>-$C$30</f>
        <v/>
      </c>
      <c r="J76" s="18">
        <f>G76+H76+I76</f>
        <v/>
      </c>
    </row>
    <row r="77">
      <c r="A77" s="16" t="n">
        <v>41</v>
      </c>
      <c r="B77" s="17" t="n"/>
      <c r="C77" s="17" t="n"/>
      <c r="D77" s="17" t="n"/>
      <c r="E77" s="17" t="n"/>
      <c r="G77" s="19">
        <f>J76</f>
        <v/>
      </c>
      <c r="H77" s="19">
        <f>ROUND(G77*$C$32,0)</f>
        <v/>
      </c>
      <c r="I77" s="19">
        <f>-$C$30</f>
        <v/>
      </c>
      <c r="J77" s="19">
        <f>G77+H77+I77</f>
        <v/>
      </c>
    </row>
    <row r="78">
      <c r="A78" s="16" t="n">
        <v>42</v>
      </c>
      <c r="B78" s="17" t="n"/>
      <c r="C78" s="17" t="n"/>
      <c r="D78" s="17" t="n"/>
      <c r="E78" s="17" t="n"/>
      <c r="G78" s="18">
        <f>J77</f>
        <v/>
      </c>
      <c r="H78" s="18">
        <f>ROUND(G78*$C$32,0)</f>
        <v/>
      </c>
      <c r="I78" s="18">
        <f>-$C$30</f>
        <v/>
      </c>
      <c r="J78" s="18">
        <f>G78+H78+I78</f>
        <v/>
      </c>
    </row>
    <row r="79">
      <c r="A79" s="16" t="n">
        <v>43</v>
      </c>
      <c r="B79" s="17" t="n"/>
      <c r="C79" s="17" t="n"/>
      <c r="D79" s="17" t="n"/>
      <c r="E79" s="17" t="n"/>
      <c r="G79" s="19">
        <f>J78</f>
        <v/>
      </c>
      <c r="H79" s="19">
        <f>ROUND(G79*$C$32,0)</f>
        <v/>
      </c>
      <c r="I79" s="19">
        <f>-$C$30</f>
        <v/>
      </c>
      <c r="J79" s="19">
        <f>G79+H79+I79</f>
        <v/>
      </c>
    </row>
    <row r="80">
      <c r="A80" s="16" t="n">
        <v>44</v>
      </c>
      <c r="B80" s="17" t="n"/>
      <c r="C80" s="17" t="n"/>
      <c r="D80" s="17" t="n"/>
      <c r="E80" s="17" t="n"/>
      <c r="G80" s="18">
        <f>J79</f>
        <v/>
      </c>
      <c r="H80" s="18">
        <f>ROUND(G80*$C$32,0)</f>
        <v/>
      </c>
      <c r="I80" s="18">
        <f>-$C$30</f>
        <v/>
      </c>
      <c r="J80" s="18">
        <f>G80+H80+I80</f>
        <v/>
      </c>
    </row>
    <row r="81">
      <c r="A81" s="16" t="n">
        <v>45</v>
      </c>
      <c r="B81" s="17" t="n"/>
      <c r="C81" s="17" t="n"/>
      <c r="D81" s="17" t="n"/>
      <c r="E81" s="17" t="n"/>
      <c r="G81" s="19">
        <f>J80</f>
        <v/>
      </c>
      <c r="H81" s="19">
        <f>ROUND(G81*$C$32,0)</f>
        <v/>
      </c>
      <c r="I81" s="19">
        <f>-$C$30</f>
        <v/>
      </c>
      <c r="J81" s="19">
        <f>G81+H81+I81</f>
        <v/>
      </c>
    </row>
    <row r="82">
      <c r="A82" s="16" t="n">
        <v>46</v>
      </c>
      <c r="B82" s="17" t="n"/>
      <c r="C82" s="17" t="n"/>
      <c r="D82" s="17" t="n"/>
      <c r="E82" s="17" t="n"/>
      <c r="G82" s="18">
        <f>J81</f>
        <v/>
      </c>
      <c r="H82" s="18">
        <f>ROUND(G82*$C$32,0)</f>
        <v/>
      </c>
      <c r="I82" s="18">
        <f>-$C$30</f>
        <v/>
      </c>
      <c r="J82" s="18">
        <f>G82+H82+I82</f>
        <v/>
      </c>
    </row>
    <row r="83">
      <c r="A83" s="16" t="n">
        <v>47</v>
      </c>
      <c r="B83" s="17" t="n"/>
      <c r="C83" s="17" t="n"/>
      <c r="D83" s="17" t="n"/>
      <c r="E83" s="17" t="n"/>
      <c r="G83" s="19">
        <f>J82</f>
        <v/>
      </c>
      <c r="H83" s="19">
        <f>ROUND(G83*$C$32,0)</f>
        <v/>
      </c>
      <c r="I83" s="19">
        <f>-$C$30</f>
        <v/>
      </c>
      <c r="J83" s="19">
        <f>G83+H83+I83</f>
        <v/>
      </c>
    </row>
    <row r="84">
      <c r="A84" s="16" t="n">
        <v>48</v>
      </c>
      <c r="B84" s="17" t="n"/>
      <c r="C84" s="17" t="n"/>
      <c r="D84" s="17" t="n"/>
      <c r="E84" s="17" t="n"/>
      <c r="G84" s="18">
        <f>J83</f>
        <v/>
      </c>
      <c r="H84" s="18">
        <f>ROUND(G84*$C$32,0)</f>
        <v/>
      </c>
      <c r="I84" s="18">
        <f>-$C$30</f>
        <v/>
      </c>
      <c r="J84" s="18">
        <f>G84+H84+I84</f>
        <v/>
      </c>
    </row>
    <row r="85">
      <c r="A85" s="16" t="n">
        <v>49</v>
      </c>
      <c r="B85" s="17" t="n"/>
      <c r="C85" s="17" t="n"/>
      <c r="D85" s="17" t="n"/>
      <c r="E85" s="17" t="n"/>
      <c r="G85" s="19">
        <f>J84</f>
        <v/>
      </c>
      <c r="H85" s="19">
        <f>-G85-I85</f>
        <v/>
      </c>
      <c r="I85" s="19">
        <f>-$C$30-I37</f>
        <v/>
      </c>
      <c r="J85" s="19">
        <f>G85+H85+I85</f>
        <v/>
      </c>
    </row>
    <row r="86"/>
    <row r="87">
      <c r="B87" s="14" t="inlineStr">
        <is>
          <t>✍️ 할인후 상각표 (직접)</t>
        </is>
      </c>
      <c r="G87" s="15" t="inlineStr">
        <is>
          <t>✅ 할인후 정답표 (자동)</t>
        </is>
      </c>
    </row>
    <row r="88">
      <c r="A88" s="6" t="inlineStr">
        <is>
          <t>회차</t>
        </is>
      </c>
      <c r="B88" s="6" t="inlineStr">
        <is>
          <t>기초</t>
        </is>
      </c>
      <c r="C88" s="6" t="inlineStr">
        <is>
          <t>이자</t>
        </is>
      </c>
      <c r="D88" s="6" t="inlineStr">
        <is>
          <t>리스료</t>
        </is>
      </c>
      <c r="E88" s="6" t="inlineStr">
        <is>
          <t>기말</t>
        </is>
      </c>
      <c r="G88" s="6" t="inlineStr">
        <is>
          <t>기초</t>
        </is>
      </c>
      <c r="H88" s="6" t="inlineStr">
        <is>
          <t>이자</t>
        </is>
      </c>
      <c r="I88" s="6" t="inlineStr">
        <is>
          <t>리스료</t>
        </is>
      </c>
      <c r="J88" s="6" t="inlineStr">
        <is>
          <t>기말</t>
        </is>
      </c>
    </row>
    <row r="89">
      <c r="A89" s="16" t="n">
        <v>0</v>
      </c>
      <c r="B89" s="17" t="n"/>
      <c r="C89" s="17" t="n"/>
      <c r="D89" s="17" t="n"/>
      <c r="E89" s="17" t="n"/>
      <c r="G89" s="18" t="n"/>
      <c r="H89" s="18" t="n"/>
      <c r="I89" s="18" t="n"/>
      <c r="J89" s="18">
        <f>$E$31</f>
        <v/>
      </c>
    </row>
    <row r="90">
      <c r="A90" s="16" t="n">
        <v>1</v>
      </c>
      <c r="B90" s="17" t="n"/>
      <c r="C90" s="17" t="n"/>
      <c r="D90" s="17" t="n"/>
      <c r="E90" s="17" t="n"/>
      <c r="G90" s="19">
        <f>J89</f>
        <v/>
      </c>
      <c r="H90" s="19">
        <f>ROUND(-I90+($E$31*$E$32-$E$30)*($B$13/$B$14),0)</f>
        <v/>
      </c>
      <c r="I90" s="19">
        <f>-(ROUNDDOWN((($B$7-$B$17-$B$18-$B$19-$B$20)/$B$5)*($B$13/$B$14),-2)-ROUNDDOWN(($B$10/$B$5)*($B$13/$B$14),-2)-ROUNDDOWN(($B$11/$B$5)*($B$13/$B$14),-2))</f>
        <v/>
      </c>
      <c r="J90" s="19">
        <f>G90+H90+I90</f>
        <v/>
      </c>
    </row>
    <row r="91">
      <c r="A91" s="16" t="n">
        <v>2</v>
      </c>
      <c r="B91" s="17" t="n"/>
      <c r="C91" s="17" t="n"/>
      <c r="D91" s="17" t="n"/>
      <c r="E91" s="17" t="n"/>
      <c r="G91" s="18">
        <f>J90</f>
        <v/>
      </c>
      <c r="H91" s="18">
        <f>ROUND(G91*$E$32,0)</f>
        <v/>
      </c>
      <c r="I91" s="18">
        <f>-$E$30</f>
        <v/>
      </c>
      <c r="J91" s="18">
        <f>G91+H91+I91</f>
        <v/>
      </c>
    </row>
    <row r="92">
      <c r="A92" s="16" t="n">
        <v>3</v>
      </c>
      <c r="B92" s="17" t="n"/>
      <c r="C92" s="17" t="n"/>
      <c r="D92" s="17" t="n"/>
      <c r="E92" s="17" t="n"/>
      <c r="G92" s="19">
        <f>J91</f>
        <v/>
      </c>
      <c r="H92" s="19">
        <f>ROUND(G92*$E$32,0)</f>
        <v/>
      </c>
      <c r="I92" s="19">
        <f>-$E$30</f>
        <v/>
      </c>
      <c r="J92" s="19">
        <f>G92+H92+I92</f>
        <v/>
      </c>
    </row>
    <row r="93">
      <c r="A93" s="16" t="n">
        <v>4</v>
      </c>
      <c r="B93" s="17" t="n"/>
      <c r="C93" s="17" t="n"/>
      <c r="D93" s="17" t="n"/>
      <c r="E93" s="17" t="n"/>
      <c r="G93" s="18">
        <f>J92</f>
        <v/>
      </c>
      <c r="H93" s="18">
        <f>ROUND(G93*$E$32,0)</f>
        <v/>
      </c>
      <c r="I93" s="18">
        <f>-$E$30</f>
        <v/>
      </c>
      <c r="J93" s="18">
        <f>G93+H93+I93</f>
        <v/>
      </c>
    </row>
    <row r="94">
      <c r="A94" s="16" t="n">
        <v>5</v>
      </c>
      <c r="B94" s="17" t="n"/>
      <c r="C94" s="17" t="n"/>
      <c r="D94" s="17" t="n"/>
      <c r="E94" s="17" t="n"/>
      <c r="G94" s="19">
        <f>J93</f>
        <v/>
      </c>
      <c r="H94" s="19">
        <f>ROUND(G94*$E$32,0)</f>
        <v/>
      </c>
      <c r="I94" s="19">
        <f>-$E$30</f>
        <v/>
      </c>
      <c r="J94" s="19">
        <f>G94+H94+I94</f>
        <v/>
      </c>
    </row>
    <row r="95">
      <c r="A95" s="16" t="n">
        <v>6</v>
      </c>
      <c r="B95" s="17" t="n"/>
      <c r="C95" s="17" t="n"/>
      <c r="D95" s="17" t="n"/>
      <c r="E95" s="17" t="n"/>
      <c r="G95" s="18">
        <f>J94</f>
        <v/>
      </c>
      <c r="H95" s="18">
        <f>ROUND(G95*$E$32,0)</f>
        <v/>
      </c>
      <c r="I95" s="18">
        <f>-$E$30</f>
        <v/>
      </c>
      <c r="J95" s="18">
        <f>G95+H95+I95</f>
        <v/>
      </c>
    </row>
    <row r="96">
      <c r="A96" s="16" t="n">
        <v>7</v>
      </c>
      <c r="B96" s="17" t="n"/>
      <c r="C96" s="17" t="n"/>
      <c r="D96" s="17" t="n"/>
      <c r="E96" s="17" t="n"/>
      <c r="G96" s="19">
        <f>J95</f>
        <v/>
      </c>
      <c r="H96" s="19">
        <f>ROUND(G96*$E$32,0)</f>
        <v/>
      </c>
      <c r="I96" s="19">
        <f>-$E$30</f>
        <v/>
      </c>
      <c r="J96" s="19">
        <f>G96+H96+I96</f>
        <v/>
      </c>
    </row>
    <row r="97">
      <c r="A97" s="16" t="n">
        <v>8</v>
      </c>
      <c r="B97" s="17" t="n"/>
      <c r="C97" s="17" t="n"/>
      <c r="D97" s="17" t="n"/>
      <c r="E97" s="17" t="n"/>
      <c r="G97" s="18">
        <f>J96</f>
        <v/>
      </c>
      <c r="H97" s="18">
        <f>ROUND(G97*$E$32,0)</f>
        <v/>
      </c>
      <c r="I97" s="18">
        <f>-$E$30</f>
        <v/>
      </c>
      <c r="J97" s="18">
        <f>G97+H97+I97</f>
        <v/>
      </c>
    </row>
    <row r="98">
      <c r="A98" s="16" t="n">
        <v>9</v>
      </c>
      <c r="B98" s="17" t="n"/>
      <c r="C98" s="17" t="n"/>
      <c r="D98" s="17" t="n"/>
      <c r="E98" s="17" t="n"/>
      <c r="G98" s="19">
        <f>J97</f>
        <v/>
      </c>
      <c r="H98" s="19">
        <f>ROUND(G98*$E$32,0)</f>
        <v/>
      </c>
      <c r="I98" s="19">
        <f>-$E$30</f>
        <v/>
      </c>
      <c r="J98" s="19">
        <f>G98+H98+I98</f>
        <v/>
      </c>
    </row>
    <row r="99">
      <c r="A99" s="16" t="n">
        <v>10</v>
      </c>
      <c r="B99" s="17" t="n"/>
      <c r="C99" s="17" t="n"/>
      <c r="D99" s="17" t="n"/>
      <c r="E99" s="17" t="n"/>
      <c r="G99" s="18">
        <f>J98</f>
        <v/>
      </c>
      <c r="H99" s="18">
        <f>ROUND(G99*$E$32,0)</f>
        <v/>
      </c>
      <c r="I99" s="18">
        <f>-$E$30</f>
        <v/>
      </c>
      <c r="J99" s="18">
        <f>G99+H99+I99</f>
        <v/>
      </c>
    </row>
    <row r="100">
      <c r="A100" s="16" t="n">
        <v>11</v>
      </c>
      <c r="B100" s="17" t="n"/>
      <c r="C100" s="17" t="n"/>
      <c r="D100" s="17" t="n"/>
      <c r="E100" s="17" t="n"/>
      <c r="G100" s="19">
        <f>J99</f>
        <v/>
      </c>
      <c r="H100" s="19">
        <f>ROUND(G100*$E$32,0)</f>
        <v/>
      </c>
      <c r="I100" s="19">
        <f>-$E$30</f>
        <v/>
      </c>
      <c r="J100" s="19">
        <f>G100+H100+I100</f>
        <v/>
      </c>
    </row>
    <row r="101">
      <c r="A101" s="16" t="n">
        <v>12</v>
      </c>
      <c r="B101" s="17" t="n"/>
      <c r="C101" s="17" t="n"/>
      <c r="D101" s="17" t="n"/>
      <c r="E101" s="17" t="n"/>
      <c r="G101" s="18">
        <f>J100</f>
        <v/>
      </c>
      <c r="H101" s="18">
        <f>ROUND(G101*$E$32,0)</f>
        <v/>
      </c>
      <c r="I101" s="18">
        <f>-$E$30</f>
        <v/>
      </c>
      <c r="J101" s="18">
        <f>G101+H101+I101</f>
        <v/>
      </c>
    </row>
    <row r="102">
      <c r="A102" s="16" t="n">
        <v>13</v>
      </c>
      <c r="B102" s="17" t="n"/>
      <c r="C102" s="17" t="n"/>
      <c r="D102" s="17" t="n"/>
      <c r="E102" s="17" t="n"/>
      <c r="G102" s="19">
        <f>J101</f>
        <v/>
      </c>
      <c r="H102" s="19">
        <f>ROUND(G102*$E$32,0)</f>
        <v/>
      </c>
      <c r="I102" s="19">
        <f>-$E$30</f>
        <v/>
      </c>
      <c r="J102" s="19">
        <f>G102+H102+I102</f>
        <v/>
      </c>
    </row>
    <row r="103">
      <c r="A103" s="16" t="n">
        <v>14</v>
      </c>
      <c r="B103" s="17" t="n"/>
      <c r="C103" s="17" t="n"/>
      <c r="D103" s="17" t="n"/>
      <c r="E103" s="17" t="n"/>
      <c r="G103" s="18">
        <f>J102</f>
        <v/>
      </c>
      <c r="H103" s="18">
        <f>ROUND(G103*$E$32,0)</f>
        <v/>
      </c>
      <c r="I103" s="18">
        <f>-$E$30</f>
        <v/>
      </c>
      <c r="J103" s="18">
        <f>G103+H103+I103</f>
        <v/>
      </c>
    </row>
    <row r="104">
      <c r="A104" s="16" t="n">
        <v>15</v>
      </c>
      <c r="B104" s="17" t="n"/>
      <c r="C104" s="17" t="n"/>
      <c r="D104" s="17" t="n"/>
      <c r="E104" s="17" t="n"/>
      <c r="G104" s="19">
        <f>J103</f>
        <v/>
      </c>
      <c r="H104" s="19">
        <f>ROUND(G104*$E$32,0)</f>
        <v/>
      </c>
      <c r="I104" s="19">
        <f>-$E$30</f>
        <v/>
      </c>
      <c r="J104" s="19">
        <f>G104+H104+I104</f>
        <v/>
      </c>
    </row>
    <row r="105">
      <c r="A105" s="16" t="n">
        <v>16</v>
      </c>
      <c r="B105" s="17" t="n"/>
      <c r="C105" s="17" t="n"/>
      <c r="D105" s="17" t="n"/>
      <c r="E105" s="17" t="n"/>
      <c r="G105" s="18">
        <f>J104</f>
        <v/>
      </c>
      <c r="H105" s="18">
        <f>ROUND(G105*$E$32,0)</f>
        <v/>
      </c>
      <c r="I105" s="18">
        <f>-$E$30</f>
        <v/>
      </c>
      <c r="J105" s="18">
        <f>G105+H105+I105</f>
        <v/>
      </c>
    </row>
    <row r="106">
      <c r="A106" s="16" t="n">
        <v>17</v>
      </c>
      <c r="B106" s="17" t="n"/>
      <c r="C106" s="17" t="n"/>
      <c r="D106" s="17" t="n"/>
      <c r="E106" s="17" t="n"/>
      <c r="G106" s="19">
        <f>J105</f>
        <v/>
      </c>
      <c r="H106" s="19">
        <f>ROUND(G106*$E$32,0)</f>
        <v/>
      </c>
      <c r="I106" s="19">
        <f>-$E$30</f>
        <v/>
      </c>
      <c r="J106" s="19">
        <f>G106+H106+I106</f>
        <v/>
      </c>
    </row>
    <row r="107">
      <c r="A107" s="16" t="n">
        <v>18</v>
      </c>
      <c r="B107" s="17" t="n"/>
      <c r="C107" s="17" t="n"/>
      <c r="D107" s="17" t="n"/>
      <c r="E107" s="17" t="n"/>
      <c r="G107" s="18">
        <f>J106</f>
        <v/>
      </c>
      <c r="H107" s="18">
        <f>ROUND(G107*$E$32,0)</f>
        <v/>
      </c>
      <c r="I107" s="18">
        <f>-$E$30</f>
        <v/>
      </c>
      <c r="J107" s="18">
        <f>G107+H107+I107</f>
        <v/>
      </c>
    </row>
    <row r="108">
      <c r="A108" s="16" t="n">
        <v>19</v>
      </c>
      <c r="B108" s="17" t="n"/>
      <c r="C108" s="17" t="n"/>
      <c r="D108" s="17" t="n"/>
      <c r="E108" s="17" t="n"/>
      <c r="G108" s="19">
        <f>J107</f>
        <v/>
      </c>
      <c r="H108" s="19">
        <f>ROUND(G108*$E$32,0)</f>
        <v/>
      </c>
      <c r="I108" s="19">
        <f>-$E$30</f>
        <v/>
      </c>
      <c r="J108" s="19">
        <f>G108+H108+I108</f>
        <v/>
      </c>
    </row>
    <row r="109">
      <c r="A109" s="16" t="n">
        <v>20</v>
      </c>
      <c r="B109" s="17" t="n"/>
      <c r="C109" s="17" t="n"/>
      <c r="D109" s="17" t="n"/>
      <c r="E109" s="17" t="n"/>
      <c r="G109" s="18">
        <f>J108</f>
        <v/>
      </c>
      <c r="H109" s="18">
        <f>ROUND(G109*$E$32,0)</f>
        <v/>
      </c>
      <c r="I109" s="18">
        <f>-$E$30</f>
        <v/>
      </c>
      <c r="J109" s="18">
        <f>G109+H109+I109</f>
        <v/>
      </c>
    </row>
    <row r="110">
      <c r="A110" s="16" t="n">
        <v>21</v>
      </c>
      <c r="B110" s="17" t="n"/>
      <c r="C110" s="17" t="n"/>
      <c r="D110" s="17" t="n"/>
      <c r="E110" s="17" t="n"/>
      <c r="G110" s="19">
        <f>J109</f>
        <v/>
      </c>
      <c r="H110" s="19">
        <f>ROUND(G110*$E$32,0)</f>
        <v/>
      </c>
      <c r="I110" s="19">
        <f>-$E$30</f>
        <v/>
      </c>
      <c r="J110" s="19">
        <f>G110+H110+I110</f>
        <v/>
      </c>
    </row>
    <row r="111">
      <c r="A111" s="16" t="n">
        <v>22</v>
      </c>
      <c r="B111" s="17" t="n"/>
      <c r="C111" s="17" t="n"/>
      <c r="D111" s="17" t="n"/>
      <c r="E111" s="17" t="n"/>
      <c r="G111" s="18">
        <f>J110</f>
        <v/>
      </c>
      <c r="H111" s="18">
        <f>ROUND(G111*$E$32,0)</f>
        <v/>
      </c>
      <c r="I111" s="18">
        <f>-$E$30</f>
        <v/>
      </c>
      <c r="J111" s="18">
        <f>G111+H111+I111</f>
        <v/>
      </c>
    </row>
    <row r="112">
      <c r="A112" s="16" t="n">
        <v>23</v>
      </c>
      <c r="B112" s="17" t="n"/>
      <c r="C112" s="17" t="n"/>
      <c r="D112" s="17" t="n"/>
      <c r="E112" s="17" t="n"/>
      <c r="G112" s="19">
        <f>J111</f>
        <v/>
      </c>
      <c r="H112" s="19">
        <f>ROUND(G112*$E$32,0)</f>
        <v/>
      </c>
      <c r="I112" s="19">
        <f>-$E$30</f>
        <v/>
      </c>
      <c r="J112" s="19">
        <f>G112+H112+I112</f>
        <v/>
      </c>
    </row>
    <row r="113">
      <c r="A113" s="16" t="n">
        <v>24</v>
      </c>
      <c r="B113" s="17" t="n"/>
      <c r="C113" s="17" t="n"/>
      <c r="D113" s="17" t="n"/>
      <c r="E113" s="17" t="n"/>
      <c r="G113" s="18">
        <f>J112</f>
        <v/>
      </c>
      <c r="H113" s="18">
        <f>ROUND(G113*$E$32,0)</f>
        <v/>
      </c>
      <c r="I113" s="18">
        <f>-$E$30</f>
        <v/>
      </c>
      <c r="J113" s="18">
        <f>G113+H113+I113</f>
        <v/>
      </c>
    </row>
    <row r="114">
      <c r="A114" s="16" t="n">
        <v>25</v>
      </c>
      <c r="B114" s="17" t="n"/>
      <c r="C114" s="17" t="n"/>
      <c r="D114" s="17" t="n"/>
      <c r="E114" s="17" t="n"/>
      <c r="G114" s="19">
        <f>J113</f>
        <v/>
      </c>
      <c r="H114" s="19">
        <f>ROUND(G114*$E$32,0)</f>
        <v/>
      </c>
      <c r="I114" s="19">
        <f>-$E$30</f>
        <v/>
      </c>
      <c r="J114" s="19">
        <f>G114+H114+I114</f>
        <v/>
      </c>
    </row>
    <row r="115">
      <c r="A115" s="16" t="n">
        <v>26</v>
      </c>
      <c r="B115" s="17" t="n"/>
      <c r="C115" s="17" t="n"/>
      <c r="D115" s="17" t="n"/>
      <c r="E115" s="17" t="n"/>
      <c r="G115" s="18">
        <f>J114</f>
        <v/>
      </c>
      <c r="H115" s="18">
        <f>ROUND(G115*$E$32,0)</f>
        <v/>
      </c>
      <c r="I115" s="18">
        <f>-$E$30</f>
        <v/>
      </c>
      <c r="J115" s="18">
        <f>G115+H115+I115</f>
        <v/>
      </c>
    </row>
    <row r="116">
      <c r="A116" s="16" t="n">
        <v>27</v>
      </c>
      <c r="B116" s="17" t="n"/>
      <c r="C116" s="17" t="n"/>
      <c r="D116" s="17" t="n"/>
      <c r="E116" s="17" t="n"/>
      <c r="G116" s="19">
        <f>J115</f>
        <v/>
      </c>
      <c r="H116" s="19">
        <f>ROUND(G116*$E$32,0)</f>
        <v/>
      </c>
      <c r="I116" s="19">
        <f>-$E$30</f>
        <v/>
      </c>
      <c r="J116" s="19">
        <f>G116+H116+I116</f>
        <v/>
      </c>
    </row>
    <row r="117">
      <c r="A117" s="16" t="n">
        <v>28</v>
      </c>
      <c r="B117" s="17" t="n"/>
      <c r="C117" s="17" t="n"/>
      <c r="D117" s="17" t="n"/>
      <c r="E117" s="17" t="n"/>
      <c r="G117" s="18">
        <f>J116</f>
        <v/>
      </c>
      <c r="H117" s="18">
        <f>ROUND(G117*$E$32,0)</f>
        <v/>
      </c>
      <c r="I117" s="18">
        <f>-$E$30</f>
        <v/>
      </c>
      <c r="J117" s="18">
        <f>G117+H117+I117</f>
        <v/>
      </c>
    </row>
    <row r="118">
      <c r="A118" s="16" t="n">
        <v>29</v>
      </c>
      <c r="B118" s="17" t="n"/>
      <c r="C118" s="17" t="n"/>
      <c r="D118" s="17" t="n"/>
      <c r="E118" s="17" t="n"/>
      <c r="G118" s="19">
        <f>J117</f>
        <v/>
      </c>
      <c r="H118" s="19">
        <f>ROUND(G118*$E$32,0)</f>
        <v/>
      </c>
      <c r="I118" s="19">
        <f>-$E$30</f>
        <v/>
      </c>
      <c r="J118" s="19">
        <f>G118+H118+I118</f>
        <v/>
      </c>
    </row>
    <row r="119">
      <c r="A119" s="16" t="n">
        <v>30</v>
      </c>
      <c r="B119" s="17" t="n"/>
      <c r="C119" s="17" t="n"/>
      <c r="D119" s="17" t="n"/>
      <c r="E119" s="17" t="n"/>
      <c r="G119" s="18">
        <f>J118</f>
        <v/>
      </c>
      <c r="H119" s="18">
        <f>ROUND(G119*$E$32,0)</f>
        <v/>
      </c>
      <c r="I119" s="18">
        <f>-$E$30</f>
        <v/>
      </c>
      <c r="J119" s="18">
        <f>G119+H119+I119</f>
        <v/>
      </c>
    </row>
    <row r="120">
      <c r="A120" s="16" t="n">
        <v>31</v>
      </c>
      <c r="B120" s="17" t="n"/>
      <c r="C120" s="17" t="n"/>
      <c r="D120" s="17" t="n"/>
      <c r="E120" s="17" t="n"/>
      <c r="G120" s="19">
        <f>J119</f>
        <v/>
      </c>
      <c r="H120" s="19">
        <f>ROUND(G120*$E$32,0)</f>
        <v/>
      </c>
      <c r="I120" s="19">
        <f>-$E$30</f>
        <v/>
      </c>
      <c r="J120" s="19">
        <f>G120+H120+I120</f>
        <v/>
      </c>
    </row>
    <row r="121">
      <c r="A121" s="16" t="n">
        <v>32</v>
      </c>
      <c r="B121" s="17" t="n"/>
      <c r="C121" s="17" t="n"/>
      <c r="D121" s="17" t="n"/>
      <c r="E121" s="17" t="n"/>
      <c r="G121" s="18">
        <f>J120</f>
        <v/>
      </c>
      <c r="H121" s="18">
        <f>ROUND(G121*$E$32,0)</f>
        <v/>
      </c>
      <c r="I121" s="18">
        <f>-$E$30</f>
        <v/>
      </c>
      <c r="J121" s="18">
        <f>G121+H121+I121</f>
        <v/>
      </c>
    </row>
    <row r="122">
      <c r="A122" s="16" t="n">
        <v>33</v>
      </c>
      <c r="B122" s="17" t="n"/>
      <c r="C122" s="17" t="n"/>
      <c r="D122" s="17" t="n"/>
      <c r="E122" s="17" t="n"/>
      <c r="G122" s="19">
        <f>J121</f>
        <v/>
      </c>
      <c r="H122" s="19">
        <f>ROUND(G122*$E$32,0)</f>
        <v/>
      </c>
      <c r="I122" s="19">
        <f>-$E$30</f>
        <v/>
      </c>
      <c r="J122" s="19">
        <f>G122+H122+I122</f>
        <v/>
      </c>
    </row>
    <row r="123">
      <c r="A123" s="16" t="n">
        <v>34</v>
      </c>
      <c r="B123" s="17" t="n"/>
      <c r="C123" s="17" t="n"/>
      <c r="D123" s="17" t="n"/>
      <c r="E123" s="17" t="n"/>
      <c r="G123" s="18">
        <f>J122</f>
        <v/>
      </c>
      <c r="H123" s="18">
        <f>ROUND(G123*$E$32,0)</f>
        <v/>
      </c>
      <c r="I123" s="18">
        <f>-$E$30</f>
        <v/>
      </c>
      <c r="J123" s="18">
        <f>G123+H123+I123</f>
        <v/>
      </c>
    </row>
    <row r="124">
      <c r="A124" s="16" t="n">
        <v>35</v>
      </c>
      <c r="B124" s="17" t="n"/>
      <c r="C124" s="17" t="n"/>
      <c r="D124" s="17" t="n"/>
      <c r="E124" s="17" t="n"/>
      <c r="G124" s="19">
        <f>J123</f>
        <v/>
      </c>
      <c r="H124" s="19">
        <f>ROUND(G124*$E$32,0)</f>
        <v/>
      </c>
      <c r="I124" s="19">
        <f>-$E$30</f>
        <v/>
      </c>
      <c r="J124" s="19">
        <f>G124+H124+I124</f>
        <v/>
      </c>
    </row>
    <row r="125">
      <c r="A125" s="16" t="n">
        <v>36</v>
      </c>
      <c r="B125" s="17" t="n"/>
      <c r="C125" s="17" t="n"/>
      <c r="D125" s="17" t="n"/>
      <c r="E125" s="17" t="n"/>
      <c r="G125" s="18">
        <f>J124</f>
        <v/>
      </c>
      <c r="H125" s="18">
        <f>ROUND(G125*$E$32,0)</f>
        <v/>
      </c>
      <c r="I125" s="18">
        <f>-$E$30</f>
        <v/>
      </c>
      <c r="J125" s="18">
        <f>G125+H125+I125</f>
        <v/>
      </c>
    </row>
    <row r="126">
      <c r="A126" s="16" t="n">
        <v>37</v>
      </c>
      <c r="B126" s="17" t="n"/>
      <c r="C126" s="17" t="n"/>
      <c r="D126" s="17" t="n"/>
      <c r="E126" s="17" t="n"/>
      <c r="G126" s="19">
        <f>J125</f>
        <v/>
      </c>
      <c r="H126" s="19">
        <f>ROUND(G126*$E$32,0)</f>
        <v/>
      </c>
      <c r="I126" s="19">
        <f>-$E$30</f>
        <v/>
      </c>
      <c r="J126" s="19">
        <f>G126+H126+I126</f>
        <v/>
      </c>
    </row>
    <row r="127">
      <c r="A127" s="16" t="n">
        <v>38</v>
      </c>
      <c r="B127" s="17" t="n"/>
      <c r="C127" s="17" t="n"/>
      <c r="D127" s="17" t="n"/>
      <c r="E127" s="17" t="n"/>
      <c r="G127" s="18">
        <f>J126</f>
        <v/>
      </c>
      <c r="H127" s="18">
        <f>ROUND(G127*$E$32,0)</f>
        <v/>
      </c>
      <c r="I127" s="18">
        <f>-$E$30</f>
        <v/>
      </c>
      <c r="J127" s="18">
        <f>G127+H127+I127</f>
        <v/>
      </c>
    </row>
    <row r="128">
      <c r="A128" s="16" t="n">
        <v>39</v>
      </c>
      <c r="B128" s="17" t="n"/>
      <c r="C128" s="17" t="n"/>
      <c r="D128" s="17" t="n"/>
      <c r="E128" s="17" t="n"/>
      <c r="G128" s="19">
        <f>J127</f>
        <v/>
      </c>
      <c r="H128" s="19">
        <f>ROUND(G128*$E$32,0)</f>
        <v/>
      </c>
      <c r="I128" s="19">
        <f>-$E$30</f>
        <v/>
      </c>
      <c r="J128" s="19">
        <f>G128+H128+I128</f>
        <v/>
      </c>
    </row>
    <row r="129">
      <c r="A129" s="16" t="n">
        <v>40</v>
      </c>
      <c r="B129" s="17" t="n"/>
      <c r="C129" s="17" t="n"/>
      <c r="D129" s="17" t="n"/>
      <c r="E129" s="17" t="n"/>
      <c r="G129" s="18">
        <f>J128</f>
        <v/>
      </c>
      <c r="H129" s="18">
        <f>ROUND(G129*$E$32,0)</f>
        <v/>
      </c>
      <c r="I129" s="18">
        <f>-$E$30</f>
        <v/>
      </c>
      <c r="J129" s="18">
        <f>G129+H129+I129</f>
        <v/>
      </c>
    </row>
    <row r="130">
      <c r="A130" s="16" t="n">
        <v>41</v>
      </c>
      <c r="B130" s="17" t="n"/>
      <c r="C130" s="17" t="n"/>
      <c r="D130" s="17" t="n"/>
      <c r="E130" s="17" t="n"/>
      <c r="G130" s="19">
        <f>J129</f>
        <v/>
      </c>
      <c r="H130" s="19">
        <f>ROUND(G130*$E$32,0)</f>
        <v/>
      </c>
      <c r="I130" s="19">
        <f>-$E$30</f>
        <v/>
      </c>
      <c r="J130" s="19">
        <f>G130+H130+I130</f>
        <v/>
      </c>
    </row>
    <row r="131">
      <c r="A131" s="16" t="n">
        <v>42</v>
      </c>
      <c r="B131" s="17" t="n"/>
      <c r="C131" s="17" t="n"/>
      <c r="D131" s="17" t="n"/>
      <c r="E131" s="17" t="n"/>
      <c r="G131" s="18">
        <f>J130</f>
        <v/>
      </c>
      <c r="H131" s="18">
        <f>ROUND(G131*$E$32,0)</f>
        <v/>
      </c>
      <c r="I131" s="18">
        <f>-$E$30</f>
        <v/>
      </c>
      <c r="J131" s="18">
        <f>G131+H131+I131</f>
        <v/>
      </c>
    </row>
    <row r="132">
      <c r="A132" s="16" t="n">
        <v>43</v>
      </c>
      <c r="B132" s="17" t="n"/>
      <c r="C132" s="17" t="n"/>
      <c r="D132" s="17" t="n"/>
      <c r="E132" s="17" t="n"/>
      <c r="G132" s="19">
        <f>J131</f>
        <v/>
      </c>
      <c r="H132" s="19">
        <f>ROUND(G132*$E$32,0)</f>
        <v/>
      </c>
      <c r="I132" s="19">
        <f>-$E$30</f>
        <v/>
      </c>
      <c r="J132" s="19">
        <f>G132+H132+I132</f>
        <v/>
      </c>
    </row>
    <row r="133">
      <c r="A133" s="16" t="n">
        <v>44</v>
      </c>
      <c r="B133" s="17" t="n"/>
      <c r="C133" s="17" t="n"/>
      <c r="D133" s="17" t="n"/>
      <c r="E133" s="17" t="n"/>
      <c r="G133" s="18">
        <f>J132</f>
        <v/>
      </c>
      <c r="H133" s="18">
        <f>ROUND(G133*$E$32,0)</f>
        <v/>
      </c>
      <c r="I133" s="18">
        <f>-$E$30</f>
        <v/>
      </c>
      <c r="J133" s="18">
        <f>G133+H133+I133</f>
        <v/>
      </c>
    </row>
    <row r="134">
      <c r="A134" s="16" t="n">
        <v>45</v>
      </c>
      <c r="B134" s="17" t="n"/>
      <c r="C134" s="17" t="n"/>
      <c r="D134" s="17" t="n"/>
      <c r="E134" s="17" t="n"/>
      <c r="G134" s="19">
        <f>J133</f>
        <v/>
      </c>
      <c r="H134" s="19">
        <f>ROUND(G134*$E$32,0)</f>
        <v/>
      </c>
      <c r="I134" s="19">
        <f>-$E$30</f>
        <v/>
      </c>
      <c r="J134" s="19">
        <f>G134+H134+I134</f>
        <v/>
      </c>
    </row>
    <row r="135">
      <c r="A135" s="16" t="n">
        <v>46</v>
      </c>
      <c r="B135" s="17" t="n"/>
      <c r="C135" s="17" t="n"/>
      <c r="D135" s="17" t="n"/>
      <c r="E135" s="17" t="n"/>
      <c r="G135" s="18">
        <f>J134</f>
        <v/>
      </c>
      <c r="H135" s="18">
        <f>ROUND(G135*$E$32,0)</f>
        <v/>
      </c>
      <c r="I135" s="18">
        <f>-$E$30</f>
        <v/>
      </c>
      <c r="J135" s="18">
        <f>G135+H135+I135</f>
        <v/>
      </c>
    </row>
    <row r="136">
      <c r="A136" s="16" t="n">
        <v>47</v>
      </c>
      <c r="B136" s="17" t="n"/>
      <c r="C136" s="17" t="n"/>
      <c r="D136" s="17" t="n"/>
      <c r="E136" s="17" t="n"/>
      <c r="G136" s="19">
        <f>J135</f>
        <v/>
      </c>
      <c r="H136" s="19">
        <f>ROUND(G136*$E$32,0)</f>
        <v/>
      </c>
      <c r="I136" s="19">
        <f>-$E$30</f>
        <v/>
      </c>
      <c r="J136" s="19">
        <f>G136+H136+I136</f>
        <v/>
      </c>
    </row>
    <row r="137">
      <c r="A137" s="16" t="n">
        <v>48</v>
      </c>
      <c r="B137" s="17" t="n"/>
      <c r="C137" s="17" t="n"/>
      <c r="D137" s="17" t="n"/>
      <c r="E137" s="17" t="n"/>
      <c r="G137" s="18">
        <f>J136</f>
        <v/>
      </c>
      <c r="H137" s="18">
        <f>ROUND(G137*$E$32,0)</f>
        <v/>
      </c>
      <c r="I137" s="18">
        <f>-$E$30</f>
        <v/>
      </c>
      <c r="J137" s="18">
        <f>G137+H137+I137</f>
        <v/>
      </c>
    </row>
    <row r="138">
      <c r="A138" s="16" t="n">
        <v>49</v>
      </c>
      <c r="B138" s="17" t="n"/>
      <c r="C138" s="17" t="n"/>
      <c r="D138" s="17" t="n"/>
      <c r="E138" s="17" t="n"/>
      <c r="G138" s="19">
        <f>J137</f>
        <v/>
      </c>
      <c r="H138" s="19">
        <f>-G138-I138</f>
        <v/>
      </c>
      <c r="I138" s="19">
        <f>-$E$30-I90</f>
        <v/>
      </c>
      <c r="J138" s="19">
        <f>G138+H138+I138</f>
        <v/>
      </c>
    </row>
    <row r="139"/>
    <row r="140" ht="20" customHeight="1">
      <c r="A140" s="3" t="inlineStr">
        <is>
          <t>③ 중도해지금  (할인 적용 고객)</t>
        </is>
      </c>
    </row>
    <row r="141">
      <c r="A141" s="20" t="inlineStr">
        <is>
          <t>계약일자</t>
        </is>
      </c>
      <c r="B141" s="21" t="n">
        <v>45912</v>
      </c>
    </row>
    <row r="142">
      <c r="A142" s="20" t="inlineStr">
        <is>
          <t>해지일자</t>
        </is>
      </c>
      <c r="B142" s="21" t="n">
        <v>46647</v>
      </c>
    </row>
    <row r="143">
      <c r="A143" s="22" t="inlineStr">
        <is>
          <t>Σ경과일</t>
        </is>
      </c>
      <c r="B143" s="23">
        <f>B142-B141</f>
        <v/>
      </c>
    </row>
    <row r="144">
      <c r="A144" s="22" t="inlineStr">
        <is>
          <t>당월 사용일</t>
        </is>
      </c>
      <c r="B144" s="23">
        <f>DAY(B142)-1</f>
        <v/>
      </c>
    </row>
    <row r="145">
      <c r="A145" s="22" t="inlineStr">
        <is>
          <t>그달 일수</t>
        </is>
      </c>
      <c r="B145" s="23">
        <f>DAY(EOMONTH(B142,0))</f>
        <v/>
      </c>
    </row>
    <row r="146">
      <c r="A146" s="22" t="inlineStr">
        <is>
          <t>경과비율</t>
        </is>
      </c>
      <c r="B146" s="24">
        <f>(B142-B141)/B6</f>
        <v/>
      </c>
    </row>
    <row r="147">
      <c r="A147" s="22" t="inlineStr">
        <is>
          <t>잔여비율</t>
        </is>
      </c>
      <c r="B147" s="24">
        <f>(B6-(B142-B141))/B6</f>
        <v/>
      </c>
    </row>
    <row r="148"/>
    <row r="149">
      <c r="A149" s="6" t="inlineStr">
        <is>
          <t>항목</t>
        </is>
      </c>
      <c r="B149" s="6" t="inlineStr">
        <is>
          <t>✍️ 내 답</t>
        </is>
      </c>
      <c r="C149" s="6" t="inlineStr">
        <is>
          <t>✅ 정답</t>
        </is>
      </c>
      <c r="E149" s="6" t="inlineStr">
        <is>
          <t>수식 설명</t>
        </is>
      </c>
    </row>
    <row r="150">
      <c r="A150" s="7" t="inlineStr">
        <is>
          <t>위약금</t>
        </is>
      </c>
      <c r="B150" s="8" t="n"/>
      <c r="C150" s="9">
        <f>ROUNDDOWN(B8*B147*0.2,-1)</f>
        <v/>
      </c>
      <c r="D150" s="10" t="n"/>
      <c r="E150" s="11" t="inlineStr">
        <is>
          <t>ROUNDDOWN(총v+ × 잔여 × 20%, −1)</t>
        </is>
      </c>
    </row>
    <row r="151">
      <c r="A151" s="7" t="inlineStr">
        <is>
          <t>사용분 청구</t>
        </is>
      </c>
      <c r="B151" s="8" t="n"/>
      <c r="C151" s="9">
        <f>ROUNDDOWN(C25*B144/B145,-2)</f>
        <v/>
      </c>
      <c r="D151" s="10" t="n"/>
      <c r="E151" s="11" t="inlineStr">
        <is>
          <t>ROUNDDOWN(할인후월구독료 × 사용일/그달, −2)</t>
        </is>
      </c>
    </row>
    <row r="152">
      <c r="A152" s="7" t="inlineStr">
        <is>
          <t>할인금 회수</t>
        </is>
      </c>
      <c r="B152" s="8" t="n"/>
      <c r="C152" s="9">
        <f>ROUNDDOWN(B18*B146,-2)+ROUNDDOWN(B19*B146,-2)+ROUNDDOWN(B20*B146,-2)</f>
        <v/>
      </c>
      <c r="D152" s="10" t="n"/>
      <c r="E152" s="11" t="inlineStr">
        <is>
          <t>Σ ROUNDDOWN(각 할인 × 경과, −2)</t>
        </is>
      </c>
    </row>
    <row r="153">
      <c r="A153" s="7" t="inlineStr">
        <is>
          <t>선납잔액 환불</t>
        </is>
      </c>
      <c r="B153" s="8" t="n"/>
      <c r="C153" s="9">
        <f>-ROUNDUP(B17*B147,-2)</f>
        <v/>
      </c>
      <c r="D153" s="10" t="n"/>
      <c r="E153" s="11" t="inlineStr">
        <is>
          <t>−ROUNDUP(선납금 × 잔여, −2)</t>
        </is>
      </c>
    </row>
    <row r="154">
      <c r="A154" s="7" t="inlineStr">
        <is>
          <t>등록비 청구</t>
        </is>
      </c>
      <c r="B154" s="8" t="n"/>
      <c r="C154" s="9">
        <f>ROUNDDOWN(100000/1.1*B146,-2)</f>
        <v/>
      </c>
      <c r="D154" s="10" t="n"/>
      <c r="E154" s="11" t="inlineStr">
        <is>
          <t>ROUNDDOWN(등록비/1.1 × 경과, −2)</t>
        </is>
      </c>
    </row>
    <row r="155">
      <c r="A155" s="25" t="inlineStr">
        <is>
          <t>고객 순부담</t>
        </is>
      </c>
      <c r="B155" s="10" t="n"/>
      <c r="C155" s="26">
        <f>SUM(C150:C154)</f>
        <v/>
      </c>
      <c r="D155" s="10" t="n"/>
      <c r="E155" s="10" t="n"/>
    </row>
  </sheetData>
  <mergeCells count="16">
    <mergeCell ref="A1:J1"/>
    <mergeCell ref="G31:J31"/>
    <mergeCell ref="A22:J22"/>
    <mergeCell ref="A2:J2"/>
    <mergeCell ref="A27:J27"/>
    <mergeCell ref="B34:E34"/>
    <mergeCell ref="G34:J34"/>
    <mergeCell ref="G87:J87"/>
    <mergeCell ref="A140:J140"/>
    <mergeCell ref="G29:J29"/>
    <mergeCell ref="A4:J4"/>
    <mergeCell ref="G30:J30"/>
    <mergeCell ref="B87:E87"/>
    <mergeCell ref="A16:J16"/>
    <mergeCell ref="G32:J32"/>
    <mergeCell ref="G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2026-06-24T14:29:57Z</dcterms:created>
  <dcterms:modified xsi:type="dcterms:W3CDTF">2026-06-24T14:29:57Z</dcterms:modified>
</cp:coreProperties>
</file>
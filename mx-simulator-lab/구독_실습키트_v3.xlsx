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 통합실습" sheetId="1" state="visible" r:id="rId1"/>
    <sheet name="MX 통합실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color rgb="001F3864"/>
      <sz val="10"/>
    </font>
    <font>
      <name val="Consolas"/>
      <color rgb="001F3864"/>
      <sz val="9"/>
    </font>
    <font>
      <name val="맑은 고딕"/>
      <b val="1"/>
      <color rgb="009C6500"/>
      <sz val="10"/>
    </font>
    <font>
      <name val="맑은 고딕"/>
      <b val="1"/>
      <color rgb="00375623"/>
      <sz val="10"/>
    </font>
    <font>
      <name val="맑은 고딕"/>
      <b val="1"/>
      <color rgb="00C0392B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6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F2FB"/>
      </patternFill>
    </fill>
    <fill>
      <patternFill patternType="solid">
        <fgColor rgb="00DAE3F3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6" fillId="9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/>
    </xf>
    <xf numFmtId="166" fontId="4" fillId="8" borderId="0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30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통합 실습 — CE 에어컨 : 할인전 → 선납·단품·결합 적용</t>
        </is>
      </c>
    </row>
    <row r="2">
      <c r="A2" s="2" t="inlineStr">
        <is>
          <t>흐름: 할인 3종 적용 → ① 월구독료 → ② 리스 상각표 → ③ 중도해지금. 노란칸 직접 / 초록 정답 / 파란칸(날짜) 입력.</t>
        </is>
      </c>
    </row>
    <row r="3"/>
    <row r="4" ht="20" customHeight="1">
      <c r="A4" s="3" t="inlineStr">
        <is>
          <t>■ 주어진 값 (할인전)</t>
        </is>
      </c>
    </row>
    <row r="5">
      <c r="A5" s="4" t="inlineStr">
        <is>
          <t>구독기간(개월)</t>
        </is>
      </c>
      <c r="B5" s="5" t="n">
        <v>72</v>
      </c>
    </row>
    <row r="6">
      <c r="A6" s="4" t="inlineStr">
        <is>
          <t>구독기간(일)</t>
        </is>
      </c>
      <c r="B6" s="5" t="n">
        <v>2191</v>
      </c>
    </row>
    <row r="7">
      <c r="A7" s="4" t="inlineStr">
        <is>
          <t>총구독료(v−)</t>
        </is>
      </c>
      <c r="B7" s="5" t="n">
        <v>11757600</v>
      </c>
    </row>
    <row r="8">
      <c r="A8" s="4" t="inlineStr">
        <is>
          <t>총구독료(v+)</t>
        </is>
      </c>
      <c r="B8" s="5" t="n">
        <v>12933360</v>
      </c>
    </row>
    <row r="9">
      <c r="A9" s="4" t="inlineStr">
        <is>
          <t>매출인식기준구독료(v−)</t>
        </is>
      </c>
      <c r="B9" s="5" t="n">
        <v>10540800</v>
      </c>
    </row>
    <row r="10">
      <c r="A10" s="4" t="inlineStr">
        <is>
          <t>케어(v−)</t>
        </is>
      </c>
      <c r="B10" s="5" t="n">
        <v>1087200</v>
      </c>
    </row>
    <row r="11">
      <c r="A11" s="4" t="inlineStr">
        <is>
          <t>보증(v−)</t>
        </is>
      </c>
      <c r="B11" s="5" t="n">
        <v>129600</v>
      </c>
    </row>
    <row r="12">
      <c r="A12" s="4" t="inlineStr">
        <is>
          <t>제품 혜택가(v−)</t>
        </is>
      </c>
      <c r="B12" s="5" t="n">
        <v>6936364</v>
      </c>
    </row>
    <row r="13">
      <c r="A13" s="4" t="inlineStr">
        <is>
          <t>부분월 사용일</t>
        </is>
      </c>
      <c r="B13" s="5" t="n">
        <v>27</v>
      </c>
    </row>
    <row r="14">
      <c r="A14" s="4" t="inlineStr">
        <is>
          <t>부분월 그달일수</t>
        </is>
      </c>
      <c r="B14" s="5" t="n">
        <v>31</v>
      </c>
    </row>
    <row r="15"/>
    <row r="16" ht="20" customHeight="1">
      <c r="A16" s="3" t="inlineStr">
        <is>
          <t>■ 할인 3종 최종금액 (v−)</t>
        </is>
      </c>
    </row>
    <row r="17">
      <c r="A17" s="4" t="inlineStr">
        <is>
          <t>선납금</t>
        </is>
      </c>
      <c r="B17" s="5" t="n">
        <v>3528000</v>
      </c>
    </row>
    <row r="18">
      <c r="A18" s="4" t="inlineStr">
        <is>
          <t>선납할인</t>
        </is>
      </c>
      <c r="B18" s="5" t="n">
        <v>475200</v>
      </c>
    </row>
    <row r="19">
      <c r="A19" s="4" t="inlineStr">
        <is>
          <t>단품</t>
        </is>
      </c>
      <c r="B19" s="5" t="n">
        <v>590400</v>
      </c>
    </row>
    <row r="20">
      <c r="A20" s="4" t="inlineStr">
        <is>
          <t>결합</t>
        </is>
      </c>
      <c r="B20" s="5" t="n">
        <v>540000</v>
      </c>
    </row>
    <row r="21"/>
    <row r="22" ht="20" customHeight="1">
      <c r="A22" s="3" t="inlineStr">
        <is>
          <t>① 월구독료  (할인전 → 할인후)</t>
        </is>
      </c>
    </row>
    <row r="23">
      <c r="A23" s="6" t="inlineStr">
        <is>
          <t>항목</t>
        </is>
      </c>
      <c r="B23" s="6" t="inlineStr">
        <is>
          <t>✍️ 내 답</t>
        </is>
      </c>
      <c r="C23" s="6" t="inlineStr">
        <is>
          <t>✅ 정답</t>
        </is>
      </c>
      <c r="E23" s="6" t="inlineStr">
        <is>
          <t>수식 설명</t>
        </is>
      </c>
    </row>
    <row r="24">
      <c r="A24" s="7" t="inlineStr">
        <is>
          <t>할인전 월구독료</t>
        </is>
      </c>
      <c r="B24" s="8" t="n"/>
      <c r="C24" s="9">
        <f>B7/B5</f>
        <v/>
      </c>
      <c r="D24" s="10" t="n"/>
      <c r="E24" s="11" t="inlineStr">
        <is>
          <t>총구독료 / 기간</t>
        </is>
      </c>
    </row>
    <row r="25">
      <c r="A25" s="7" t="inlineStr">
        <is>
          <t>할인후 월구독료</t>
        </is>
      </c>
      <c r="B25" s="8" t="n"/>
      <c r="C25" s="12">
        <f>(B7-B17-B18-B19-B20)/B5</f>
        <v/>
      </c>
      <c r="D25" s="10" t="n"/>
      <c r="E25" s="11" t="inlineStr">
        <is>
          <t>(총−선납−선납할인−단품−결합)/기간</t>
        </is>
      </c>
    </row>
    <row r="26"/>
    <row r="27" ht="20" customHeight="1">
      <c r="A27" s="3" t="inlineStr">
        <is>
          <t>② 리스 상각표  (할인전 ↔ 할인후)</t>
        </is>
      </c>
    </row>
    <row r="28">
      <c r="A28" s="6" t="inlineStr">
        <is>
          <t>항목</t>
        </is>
      </c>
      <c r="B28" s="6" t="inlineStr">
        <is>
          <t>할인전(자동)</t>
        </is>
      </c>
      <c r="C28" s="6" t="inlineStr">
        <is>
          <t>할인후 ✍️</t>
        </is>
      </c>
      <c r="D28" s="6" t="inlineStr">
        <is>
          <t>할인후 ✅</t>
        </is>
      </c>
      <c r="E28" s="6" t="inlineStr">
        <is>
          <t>설명</t>
        </is>
      </c>
    </row>
    <row r="29">
      <c r="A29" s="7" t="inlineStr">
        <is>
          <t>순수구독료</t>
        </is>
      </c>
      <c r="B29" s="13">
        <f>B9</f>
        <v/>
      </c>
      <c r="C29" s="8" t="n"/>
      <c r="D29" s="9">
        <f>B9-B17-B18-B19-B20</f>
        <v/>
      </c>
      <c r="E29" s="11" t="inlineStr">
        <is>
          <t>총−케어−보증−(선납·할인)</t>
        </is>
      </c>
    </row>
    <row r="30">
      <c r="A30" s="7" t="inlineStr">
        <is>
          <t>리스료(월)</t>
        </is>
      </c>
      <c r="B30" s="14">
        <f>B29/B5</f>
        <v/>
      </c>
      <c r="C30" s="8" t="n"/>
      <c r="D30" s="15">
        <f>D29/B5</f>
        <v/>
      </c>
      <c r="E30" s="11" t="inlineStr">
        <is>
          <t>순수 / N</t>
        </is>
      </c>
    </row>
    <row r="31">
      <c r="A31" s="7" t="inlineStr">
        <is>
          <t>리스채권</t>
        </is>
      </c>
      <c r="B31" s="14">
        <f>MIN(B12,PV(0.0357/12,B5,-B29/B5))</f>
        <v/>
      </c>
      <c r="C31" s="8" t="n"/>
      <c r="D31" s="15">
        <f>MIN(B12,PV(0.0357/12,B5,-(B9-B18-B19-B20)/B5))-B17</f>
        <v/>
      </c>
      <c r="E31" s="11" t="inlineStr">
        <is>
          <t>MIN(제품,PV)−선납</t>
        </is>
      </c>
    </row>
    <row r="32">
      <c r="A32" s="7" t="inlineStr">
        <is>
          <t>월이자율</t>
        </is>
      </c>
      <c r="B32" s="16">
        <f>RATE(B5,-B30,B31)</f>
        <v/>
      </c>
      <c r="C32" s="8" t="n"/>
      <c r="D32" s="17">
        <f>RATE(B5,-D30,D31)</f>
        <v/>
      </c>
      <c r="E32" s="11" t="inlineStr">
        <is>
          <t>RATE(N,−리스료,채권)</t>
        </is>
      </c>
    </row>
    <row r="33"/>
    <row r="34">
      <c r="B34" s="18" t="inlineStr">
        <is>
          <t>✍️ 할인후 상각표 (직접)</t>
        </is>
      </c>
      <c r="G34" s="19" t="inlineStr">
        <is>
          <t>✅ 할인후 정답표 (자동)</t>
        </is>
      </c>
    </row>
    <row r="35">
      <c r="A35" s="6" t="inlineStr">
        <is>
          <t>회차</t>
        </is>
      </c>
      <c r="B35" s="6" t="inlineStr">
        <is>
          <t>기초</t>
        </is>
      </c>
      <c r="C35" s="6" t="inlineStr">
        <is>
          <t>이자</t>
        </is>
      </c>
      <c r="D35" s="6" t="inlineStr">
        <is>
          <t>리스료</t>
        </is>
      </c>
      <c r="E35" s="6" t="inlineStr">
        <is>
          <t>기말</t>
        </is>
      </c>
      <c r="G35" s="6" t="inlineStr">
        <is>
          <t>기초</t>
        </is>
      </c>
      <c r="H35" s="6" t="inlineStr">
        <is>
          <t>이자</t>
        </is>
      </c>
      <c r="I35" s="6" t="inlineStr">
        <is>
          <t>리스료</t>
        </is>
      </c>
      <c r="J35" s="6" t="inlineStr">
        <is>
          <t>기말</t>
        </is>
      </c>
    </row>
    <row r="36">
      <c r="A36" s="20" t="n">
        <v>0</v>
      </c>
      <c r="B36" s="21" t="n"/>
      <c r="C36" s="21" t="n"/>
      <c r="D36" s="21" t="n"/>
      <c r="E36" s="21" t="n"/>
      <c r="G36" s="22" t="n"/>
      <c r="H36" s="22" t="n"/>
      <c r="I36" s="22" t="n"/>
      <c r="J36" s="22">
        <f>D31</f>
        <v/>
      </c>
    </row>
    <row r="37">
      <c r="A37" s="20" t="n">
        <v>1</v>
      </c>
      <c r="B37" s="21" t="n"/>
      <c r="C37" s="21" t="n"/>
      <c r="D37" s="21" t="n"/>
      <c r="E37" s="21" t="n"/>
      <c r="G37" s="14">
        <f>J36</f>
        <v/>
      </c>
      <c r="H37" s="14">
        <f>ROUND(-I37+($D$31*$D$32-$D$30)*($B$13/$B$14),0)</f>
        <v/>
      </c>
      <c r="I37" s="14">
        <f>-(ROUNDDOWN((($B$7-$B$17-$B$18-$B$19-$B$20)/$B$5)*($B$13/$B$14),-2)-ROUNDDOWN(($B$10/$B$5)*($B$13/$B$14),-2)-ROUNDDOWN(($B$11/$B$5)*($B$13/$B$14),-2))</f>
        <v/>
      </c>
      <c r="J37" s="14">
        <f>G37+H37+I37</f>
        <v/>
      </c>
    </row>
    <row r="38">
      <c r="A38" s="20" t="n">
        <v>2</v>
      </c>
      <c r="B38" s="21" t="n"/>
      <c r="C38" s="21" t="n"/>
      <c r="D38" s="21" t="n"/>
      <c r="E38" s="21" t="n"/>
      <c r="G38" s="22">
        <f>J37</f>
        <v/>
      </c>
      <c r="H38" s="22">
        <f>ROUND(G38*$D$32,0)</f>
        <v/>
      </c>
      <c r="I38" s="22">
        <f>-$D$30</f>
        <v/>
      </c>
      <c r="J38" s="22">
        <f>G38+H38+I38</f>
        <v/>
      </c>
    </row>
    <row r="39">
      <c r="A39" s="20" t="n">
        <v>3</v>
      </c>
      <c r="B39" s="21" t="n"/>
      <c r="C39" s="21" t="n"/>
      <c r="D39" s="21" t="n"/>
      <c r="E39" s="21" t="n"/>
      <c r="G39" s="14">
        <f>J38</f>
        <v/>
      </c>
      <c r="H39" s="14">
        <f>ROUND(G39*$D$32,0)</f>
        <v/>
      </c>
      <c r="I39" s="14">
        <f>-$D$30</f>
        <v/>
      </c>
      <c r="J39" s="14">
        <f>G39+H39+I39</f>
        <v/>
      </c>
    </row>
    <row r="40">
      <c r="A40" s="20" t="n">
        <v>4</v>
      </c>
      <c r="B40" s="21" t="n"/>
      <c r="C40" s="21" t="n"/>
      <c r="D40" s="21" t="n"/>
      <c r="E40" s="21" t="n"/>
      <c r="G40" s="22">
        <f>J39</f>
        <v/>
      </c>
      <c r="H40" s="22">
        <f>ROUND(G40*$D$32,0)</f>
        <v/>
      </c>
      <c r="I40" s="22">
        <f>-$D$30</f>
        <v/>
      </c>
      <c r="J40" s="22">
        <f>G40+H40+I40</f>
        <v/>
      </c>
    </row>
    <row r="41">
      <c r="A41" s="20" t="n">
        <v>5</v>
      </c>
      <c r="B41" s="21" t="n"/>
      <c r="C41" s="21" t="n"/>
      <c r="D41" s="21" t="n"/>
      <c r="E41" s="21" t="n"/>
      <c r="G41" s="14">
        <f>J40</f>
        <v/>
      </c>
      <c r="H41" s="14">
        <f>ROUND(G41*$D$32,0)</f>
        <v/>
      </c>
      <c r="I41" s="14">
        <f>-$D$30</f>
        <v/>
      </c>
      <c r="J41" s="14">
        <f>G41+H41+I41</f>
        <v/>
      </c>
    </row>
    <row r="42">
      <c r="A42" s="20" t="n">
        <v>6</v>
      </c>
      <c r="B42" s="21" t="n"/>
      <c r="C42" s="21" t="n"/>
      <c r="D42" s="21" t="n"/>
      <c r="E42" s="21" t="n"/>
      <c r="G42" s="22">
        <f>J41</f>
        <v/>
      </c>
      <c r="H42" s="22">
        <f>ROUND(G42*$D$32,0)</f>
        <v/>
      </c>
      <c r="I42" s="22">
        <f>-$D$30</f>
        <v/>
      </c>
      <c r="J42" s="22">
        <f>G42+H42+I42</f>
        <v/>
      </c>
    </row>
    <row r="43">
      <c r="A43" s="20" t="n">
        <v>7</v>
      </c>
      <c r="B43" s="21" t="n"/>
      <c r="C43" s="21" t="n"/>
      <c r="D43" s="21" t="n"/>
      <c r="E43" s="21" t="n"/>
      <c r="G43" s="14">
        <f>J42</f>
        <v/>
      </c>
      <c r="H43" s="14">
        <f>ROUND(G43*$D$32,0)</f>
        <v/>
      </c>
      <c r="I43" s="14">
        <f>-$D$30</f>
        <v/>
      </c>
      <c r="J43" s="14">
        <f>G43+H43+I43</f>
        <v/>
      </c>
    </row>
    <row r="44">
      <c r="A44" s="20" t="n">
        <v>8</v>
      </c>
      <c r="B44" s="21" t="n"/>
      <c r="C44" s="21" t="n"/>
      <c r="D44" s="21" t="n"/>
      <c r="E44" s="21" t="n"/>
      <c r="G44" s="22">
        <f>J43</f>
        <v/>
      </c>
      <c r="H44" s="22">
        <f>ROUND(G44*$D$32,0)</f>
        <v/>
      </c>
      <c r="I44" s="22">
        <f>-$D$30</f>
        <v/>
      </c>
      <c r="J44" s="22">
        <f>G44+H44+I44</f>
        <v/>
      </c>
    </row>
    <row r="45">
      <c r="A45" s="20" t="n">
        <v>9</v>
      </c>
      <c r="B45" s="21" t="n"/>
      <c r="C45" s="21" t="n"/>
      <c r="D45" s="21" t="n"/>
      <c r="E45" s="21" t="n"/>
      <c r="G45" s="14">
        <f>J44</f>
        <v/>
      </c>
      <c r="H45" s="14">
        <f>ROUND(G45*$D$32,0)</f>
        <v/>
      </c>
      <c r="I45" s="14">
        <f>-$D$30</f>
        <v/>
      </c>
      <c r="J45" s="14">
        <f>G45+H45+I45</f>
        <v/>
      </c>
    </row>
    <row r="46">
      <c r="A46" s="20" t="n">
        <v>10</v>
      </c>
      <c r="B46" s="21" t="n"/>
      <c r="C46" s="21" t="n"/>
      <c r="D46" s="21" t="n"/>
      <c r="E46" s="21" t="n"/>
      <c r="G46" s="22">
        <f>J45</f>
        <v/>
      </c>
      <c r="H46" s="22">
        <f>ROUND(G46*$D$32,0)</f>
        <v/>
      </c>
      <c r="I46" s="22">
        <f>-$D$30</f>
        <v/>
      </c>
      <c r="J46" s="22">
        <f>G46+H46+I46</f>
        <v/>
      </c>
    </row>
    <row r="47">
      <c r="A47" s="20" t="n">
        <v>11</v>
      </c>
      <c r="B47" s="21" t="n"/>
      <c r="C47" s="21" t="n"/>
      <c r="D47" s="21" t="n"/>
      <c r="E47" s="21" t="n"/>
      <c r="G47" s="14">
        <f>J46</f>
        <v/>
      </c>
      <c r="H47" s="14">
        <f>ROUND(G47*$D$32,0)</f>
        <v/>
      </c>
      <c r="I47" s="14">
        <f>-$D$30</f>
        <v/>
      </c>
      <c r="J47" s="14">
        <f>G47+H47+I47</f>
        <v/>
      </c>
    </row>
    <row r="48">
      <c r="A48" s="20" t="n">
        <v>12</v>
      </c>
      <c r="B48" s="21" t="n"/>
      <c r="C48" s="21" t="n"/>
      <c r="D48" s="21" t="n"/>
      <c r="E48" s="21" t="n"/>
      <c r="G48" s="22">
        <f>J47</f>
        <v/>
      </c>
      <c r="H48" s="22">
        <f>ROUND(G48*$D$32,0)</f>
        <v/>
      </c>
      <c r="I48" s="22">
        <f>-$D$30</f>
        <v/>
      </c>
      <c r="J48" s="22">
        <f>G48+H48+I48</f>
        <v/>
      </c>
    </row>
    <row r="49">
      <c r="A49" s="20" t="n">
        <v>13</v>
      </c>
      <c r="B49" s="21" t="n"/>
      <c r="C49" s="21" t="n"/>
      <c r="D49" s="21" t="n"/>
      <c r="E49" s="21" t="n"/>
      <c r="G49" s="14">
        <f>J48</f>
        <v/>
      </c>
      <c r="H49" s="14">
        <f>ROUND(G49*$D$32,0)</f>
        <v/>
      </c>
      <c r="I49" s="14">
        <f>-$D$30</f>
        <v/>
      </c>
      <c r="J49" s="14">
        <f>G49+H49+I49</f>
        <v/>
      </c>
    </row>
    <row r="50">
      <c r="A50" s="20" t="n">
        <v>14</v>
      </c>
      <c r="B50" s="21" t="n"/>
      <c r="C50" s="21" t="n"/>
      <c r="D50" s="21" t="n"/>
      <c r="E50" s="21" t="n"/>
      <c r="G50" s="22">
        <f>J49</f>
        <v/>
      </c>
      <c r="H50" s="22">
        <f>ROUND(G50*$D$32,0)</f>
        <v/>
      </c>
      <c r="I50" s="22">
        <f>-$D$30</f>
        <v/>
      </c>
      <c r="J50" s="22">
        <f>G50+H50+I50</f>
        <v/>
      </c>
    </row>
    <row r="51">
      <c r="A51" s="20" t="n">
        <v>15</v>
      </c>
      <c r="B51" s="21" t="n"/>
      <c r="C51" s="21" t="n"/>
      <c r="D51" s="21" t="n"/>
      <c r="E51" s="21" t="n"/>
      <c r="G51" s="14">
        <f>J50</f>
        <v/>
      </c>
      <c r="H51" s="14">
        <f>ROUND(G51*$D$32,0)</f>
        <v/>
      </c>
      <c r="I51" s="14">
        <f>-$D$30</f>
        <v/>
      </c>
      <c r="J51" s="14">
        <f>G51+H51+I51</f>
        <v/>
      </c>
    </row>
    <row r="52">
      <c r="A52" s="20" t="n">
        <v>16</v>
      </c>
      <c r="B52" s="21" t="n"/>
      <c r="C52" s="21" t="n"/>
      <c r="D52" s="21" t="n"/>
      <c r="E52" s="21" t="n"/>
      <c r="G52" s="22">
        <f>J51</f>
        <v/>
      </c>
      <c r="H52" s="22">
        <f>ROUND(G52*$D$32,0)</f>
        <v/>
      </c>
      <c r="I52" s="22">
        <f>-$D$30</f>
        <v/>
      </c>
      <c r="J52" s="22">
        <f>G52+H52+I52</f>
        <v/>
      </c>
    </row>
    <row r="53">
      <c r="A53" s="20" t="n">
        <v>17</v>
      </c>
      <c r="B53" s="21" t="n"/>
      <c r="C53" s="21" t="n"/>
      <c r="D53" s="21" t="n"/>
      <c r="E53" s="21" t="n"/>
      <c r="G53" s="14">
        <f>J52</f>
        <v/>
      </c>
      <c r="H53" s="14">
        <f>ROUND(G53*$D$32,0)</f>
        <v/>
      </c>
      <c r="I53" s="14">
        <f>-$D$30</f>
        <v/>
      </c>
      <c r="J53" s="14">
        <f>G53+H53+I53</f>
        <v/>
      </c>
    </row>
    <row r="54">
      <c r="A54" s="20" t="n">
        <v>18</v>
      </c>
      <c r="B54" s="21" t="n"/>
      <c r="C54" s="21" t="n"/>
      <c r="D54" s="21" t="n"/>
      <c r="E54" s="21" t="n"/>
      <c r="G54" s="22">
        <f>J53</f>
        <v/>
      </c>
      <c r="H54" s="22">
        <f>ROUND(G54*$D$32,0)</f>
        <v/>
      </c>
      <c r="I54" s="22">
        <f>-$D$30</f>
        <v/>
      </c>
      <c r="J54" s="22">
        <f>G54+H54+I54</f>
        <v/>
      </c>
    </row>
    <row r="55">
      <c r="A55" s="20" t="n">
        <v>19</v>
      </c>
      <c r="B55" s="21" t="n"/>
      <c r="C55" s="21" t="n"/>
      <c r="D55" s="21" t="n"/>
      <c r="E55" s="21" t="n"/>
      <c r="G55" s="14">
        <f>J54</f>
        <v/>
      </c>
      <c r="H55" s="14">
        <f>ROUND(G55*$D$32,0)</f>
        <v/>
      </c>
      <c r="I55" s="14">
        <f>-$D$30</f>
        <v/>
      </c>
      <c r="J55" s="14">
        <f>G55+H55+I55</f>
        <v/>
      </c>
    </row>
    <row r="56">
      <c r="A56" s="20" t="n">
        <v>20</v>
      </c>
      <c r="B56" s="21" t="n"/>
      <c r="C56" s="21" t="n"/>
      <c r="D56" s="21" t="n"/>
      <c r="E56" s="21" t="n"/>
      <c r="G56" s="22">
        <f>J55</f>
        <v/>
      </c>
      <c r="H56" s="22">
        <f>ROUND(G56*$D$32,0)</f>
        <v/>
      </c>
      <c r="I56" s="22">
        <f>-$D$30</f>
        <v/>
      </c>
      <c r="J56" s="22">
        <f>G56+H56+I56</f>
        <v/>
      </c>
    </row>
    <row r="57">
      <c r="A57" s="20" t="n">
        <v>21</v>
      </c>
      <c r="B57" s="21" t="n"/>
      <c r="C57" s="21" t="n"/>
      <c r="D57" s="21" t="n"/>
      <c r="E57" s="21" t="n"/>
      <c r="G57" s="14">
        <f>J56</f>
        <v/>
      </c>
      <c r="H57" s="14">
        <f>ROUND(G57*$D$32,0)</f>
        <v/>
      </c>
      <c r="I57" s="14">
        <f>-$D$30</f>
        <v/>
      </c>
      <c r="J57" s="14">
        <f>G57+H57+I57</f>
        <v/>
      </c>
    </row>
    <row r="58">
      <c r="A58" s="20" t="n">
        <v>22</v>
      </c>
      <c r="B58" s="21" t="n"/>
      <c r="C58" s="21" t="n"/>
      <c r="D58" s="21" t="n"/>
      <c r="E58" s="21" t="n"/>
      <c r="G58" s="22">
        <f>J57</f>
        <v/>
      </c>
      <c r="H58" s="22">
        <f>ROUND(G58*$D$32,0)</f>
        <v/>
      </c>
      <c r="I58" s="22">
        <f>-$D$30</f>
        <v/>
      </c>
      <c r="J58" s="22">
        <f>G58+H58+I58</f>
        <v/>
      </c>
    </row>
    <row r="59">
      <c r="A59" s="20" t="n">
        <v>23</v>
      </c>
      <c r="B59" s="21" t="n"/>
      <c r="C59" s="21" t="n"/>
      <c r="D59" s="21" t="n"/>
      <c r="E59" s="21" t="n"/>
      <c r="G59" s="14">
        <f>J58</f>
        <v/>
      </c>
      <c r="H59" s="14">
        <f>ROUND(G59*$D$32,0)</f>
        <v/>
      </c>
      <c r="I59" s="14">
        <f>-$D$30</f>
        <v/>
      </c>
      <c r="J59" s="14">
        <f>G59+H59+I59</f>
        <v/>
      </c>
    </row>
    <row r="60">
      <c r="A60" s="20" t="n">
        <v>24</v>
      </c>
      <c r="B60" s="21" t="n"/>
      <c r="C60" s="21" t="n"/>
      <c r="D60" s="21" t="n"/>
      <c r="E60" s="21" t="n"/>
      <c r="G60" s="22">
        <f>J59</f>
        <v/>
      </c>
      <c r="H60" s="22">
        <f>ROUND(G60*$D$32,0)</f>
        <v/>
      </c>
      <c r="I60" s="22">
        <f>-$D$30</f>
        <v/>
      </c>
      <c r="J60" s="22">
        <f>G60+H60+I60</f>
        <v/>
      </c>
    </row>
    <row r="61">
      <c r="A61" s="20" t="n">
        <v>25</v>
      </c>
      <c r="B61" s="21" t="n"/>
      <c r="C61" s="21" t="n"/>
      <c r="D61" s="21" t="n"/>
      <c r="E61" s="21" t="n"/>
      <c r="G61" s="14">
        <f>J60</f>
        <v/>
      </c>
      <c r="H61" s="14">
        <f>ROUND(G61*$D$32,0)</f>
        <v/>
      </c>
      <c r="I61" s="14">
        <f>-$D$30</f>
        <v/>
      </c>
      <c r="J61" s="14">
        <f>G61+H61+I61</f>
        <v/>
      </c>
    </row>
    <row r="62">
      <c r="A62" s="20" t="n">
        <v>26</v>
      </c>
      <c r="B62" s="21" t="n"/>
      <c r="C62" s="21" t="n"/>
      <c r="D62" s="21" t="n"/>
      <c r="E62" s="21" t="n"/>
      <c r="G62" s="22">
        <f>J61</f>
        <v/>
      </c>
      <c r="H62" s="22">
        <f>ROUND(G62*$D$32,0)</f>
        <v/>
      </c>
      <c r="I62" s="22">
        <f>-$D$30</f>
        <v/>
      </c>
      <c r="J62" s="22">
        <f>G62+H62+I62</f>
        <v/>
      </c>
    </row>
    <row r="63">
      <c r="A63" s="20" t="n">
        <v>27</v>
      </c>
      <c r="B63" s="21" t="n"/>
      <c r="C63" s="21" t="n"/>
      <c r="D63" s="21" t="n"/>
      <c r="E63" s="21" t="n"/>
      <c r="G63" s="14">
        <f>J62</f>
        <v/>
      </c>
      <c r="H63" s="14">
        <f>ROUND(G63*$D$32,0)</f>
        <v/>
      </c>
      <c r="I63" s="14">
        <f>-$D$30</f>
        <v/>
      </c>
      <c r="J63" s="14">
        <f>G63+H63+I63</f>
        <v/>
      </c>
    </row>
    <row r="64">
      <c r="A64" s="20" t="n">
        <v>28</v>
      </c>
      <c r="B64" s="21" t="n"/>
      <c r="C64" s="21" t="n"/>
      <c r="D64" s="21" t="n"/>
      <c r="E64" s="21" t="n"/>
      <c r="G64" s="22">
        <f>J63</f>
        <v/>
      </c>
      <c r="H64" s="22">
        <f>ROUND(G64*$D$32,0)</f>
        <v/>
      </c>
      <c r="I64" s="22">
        <f>-$D$30</f>
        <v/>
      </c>
      <c r="J64" s="22">
        <f>G64+H64+I64</f>
        <v/>
      </c>
    </row>
    <row r="65">
      <c r="A65" s="20" t="n">
        <v>29</v>
      </c>
      <c r="B65" s="21" t="n"/>
      <c r="C65" s="21" t="n"/>
      <c r="D65" s="21" t="n"/>
      <c r="E65" s="21" t="n"/>
      <c r="G65" s="14">
        <f>J64</f>
        <v/>
      </c>
      <c r="H65" s="14">
        <f>ROUND(G65*$D$32,0)</f>
        <v/>
      </c>
      <c r="I65" s="14">
        <f>-$D$30</f>
        <v/>
      </c>
      <c r="J65" s="14">
        <f>G65+H65+I65</f>
        <v/>
      </c>
    </row>
    <row r="66">
      <c r="A66" s="20" t="n">
        <v>30</v>
      </c>
      <c r="B66" s="21" t="n"/>
      <c r="C66" s="21" t="n"/>
      <c r="D66" s="21" t="n"/>
      <c r="E66" s="21" t="n"/>
      <c r="G66" s="22">
        <f>J65</f>
        <v/>
      </c>
      <c r="H66" s="22">
        <f>ROUND(G66*$D$32,0)</f>
        <v/>
      </c>
      <c r="I66" s="22">
        <f>-$D$30</f>
        <v/>
      </c>
      <c r="J66" s="22">
        <f>G66+H66+I66</f>
        <v/>
      </c>
    </row>
    <row r="67">
      <c r="A67" s="20" t="n">
        <v>31</v>
      </c>
      <c r="B67" s="21" t="n"/>
      <c r="C67" s="21" t="n"/>
      <c r="D67" s="21" t="n"/>
      <c r="E67" s="21" t="n"/>
      <c r="G67" s="14">
        <f>J66</f>
        <v/>
      </c>
      <c r="H67" s="14">
        <f>ROUND(G67*$D$32,0)</f>
        <v/>
      </c>
      <c r="I67" s="14">
        <f>-$D$30</f>
        <v/>
      </c>
      <c r="J67" s="14">
        <f>G67+H67+I67</f>
        <v/>
      </c>
    </row>
    <row r="68">
      <c r="A68" s="20" t="n">
        <v>32</v>
      </c>
      <c r="B68" s="21" t="n"/>
      <c r="C68" s="21" t="n"/>
      <c r="D68" s="21" t="n"/>
      <c r="E68" s="21" t="n"/>
      <c r="G68" s="22">
        <f>J67</f>
        <v/>
      </c>
      <c r="H68" s="22">
        <f>ROUND(G68*$D$32,0)</f>
        <v/>
      </c>
      <c r="I68" s="22">
        <f>-$D$30</f>
        <v/>
      </c>
      <c r="J68" s="22">
        <f>G68+H68+I68</f>
        <v/>
      </c>
    </row>
    <row r="69">
      <c r="A69" s="20" t="n">
        <v>33</v>
      </c>
      <c r="B69" s="21" t="n"/>
      <c r="C69" s="21" t="n"/>
      <c r="D69" s="21" t="n"/>
      <c r="E69" s="21" t="n"/>
      <c r="G69" s="14">
        <f>J68</f>
        <v/>
      </c>
      <c r="H69" s="14">
        <f>ROUND(G69*$D$32,0)</f>
        <v/>
      </c>
      <c r="I69" s="14">
        <f>-$D$30</f>
        <v/>
      </c>
      <c r="J69" s="14">
        <f>G69+H69+I69</f>
        <v/>
      </c>
    </row>
    <row r="70">
      <c r="A70" s="20" t="n">
        <v>34</v>
      </c>
      <c r="B70" s="21" t="n"/>
      <c r="C70" s="21" t="n"/>
      <c r="D70" s="21" t="n"/>
      <c r="E70" s="21" t="n"/>
      <c r="G70" s="22">
        <f>J69</f>
        <v/>
      </c>
      <c r="H70" s="22">
        <f>ROUND(G70*$D$32,0)</f>
        <v/>
      </c>
      <c r="I70" s="22">
        <f>-$D$30</f>
        <v/>
      </c>
      <c r="J70" s="22">
        <f>G70+H70+I70</f>
        <v/>
      </c>
    </row>
    <row r="71">
      <c r="A71" s="20" t="n">
        <v>35</v>
      </c>
      <c r="B71" s="21" t="n"/>
      <c r="C71" s="21" t="n"/>
      <c r="D71" s="21" t="n"/>
      <c r="E71" s="21" t="n"/>
      <c r="G71" s="14">
        <f>J70</f>
        <v/>
      </c>
      <c r="H71" s="14">
        <f>ROUND(G71*$D$32,0)</f>
        <v/>
      </c>
      <c r="I71" s="14">
        <f>-$D$30</f>
        <v/>
      </c>
      <c r="J71" s="14">
        <f>G71+H71+I71</f>
        <v/>
      </c>
    </row>
    <row r="72">
      <c r="A72" s="20" t="n">
        <v>36</v>
      </c>
      <c r="B72" s="21" t="n"/>
      <c r="C72" s="21" t="n"/>
      <c r="D72" s="21" t="n"/>
      <c r="E72" s="21" t="n"/>
      <c r="G72" s="22">
        <f>J71</f>
        <v/>
      </c>
      <c r="H72" s="22">
        <f>ROUND(G72*$D$32,0)</f>
        <v/>
      </c>
      <c r="I72" s="22">
        <f>-$D$30</f>
        <v/>
      </c>
      <c r="J72" s="22">
        <f>G72+H72+I72</f>
        <v/>
      </c>
    </row>
    <row r="73">
      <c r="A73" s="20" t="n">
        <v>37</v>
      </c>
      <c r="B73" s="21" t="n"/>
      <c r="C73" s="21" t="n"/>
      <c r="D73" s="21" t="n"/>
      <c r="E73" s="21" t="n"/>
      <c r="G73" s="14">
        <f>J72</f>
        <v/>
      </c>
      <c r="H73" s="14">
        <f>ROUND(G73*$D$32,0)</f>
        <v/>
      </c>
      <c r="I73" s="14">
        <f>-$D$30</f>
        <v/>
      </c>
      <c r="J73" s="14">
        <f>G73+H73+I73</f>
        <v/>
      </c>
    </row>
    <row r="74">
      <c r="A74" s="20" t="n">
        <v>38</v>
      </c>
      <c r="B74" s="21" t="n"/>
      <c r="C74" s="21" t="n"/>
      <c r="D74" s="21" t="n"/>
      <c r="E74" s="21" t="n"/>
      <c r="G74" s="22">
        <f>J73</f>
        <v/>
      </c>
      <c r="H74" s="22">
        <f>ROUND(G74*$D$32,0)</f>
        <v/>
      </c>
      <c r="I74" s="22">
        <f>-$D$30</f>
        <v/>
      </c>
      <c r="J74" s="22">
        <f>G74+H74+I74</f>
        <v/>
      </c>
    </row>
    <row r="75">
      <c r="A75" s="20" t="n">
        <v>39</v>
      </c>
      <c r="B75" s="21" t="n"/>
      <c r="C75" s="21" t="n"/>
      <c r="D75" s="21" t="n"/>
      <c r="E75" s="21" t="n"/>
      <c r="G75" s="14">
        <f>J74</f>
        <v/>
      </c>
      <c r="H75" s="14">
        <f>ROUND(G75*$D$32,0)</f>
        <v/>
      </c>
      <c r="I75" s="14">
        <f>-$D$30</f>
        <v/>
      </c>
      <c r="J75" s="14">
        <f>G75+H75+I75</f>
        <v/>
      </c>
    </row>
    <row r="76">
      <c r="A76" s="20" t="n">
        <v>40</v>
      </c>
      <c r="B76" s="21" t="n"/>
      <c r="C76" s="21" t="n"/>
      <c r="D76" s="21" t="n"/>
      <c r="E76" s="21" t="n"/>
      <c r="G76" s="22">
        <f>J75</f>
        <v/>
      </c>
      <c r="H76" s="22">
        <f>ROUND(G76*$D$32,0)</f>
        <v/>
      </c>
      <c r="I76" s="22">
        <f>-$D$30</f>
        <v/>
      </c>
      <c r="J76" s="22">
        <f>G76+H76+I76</f>
        <v/>
      </c>
    </row>
    <row r="77">
      <c r="A77" s="20" t="n">
        <v>41</v>
      </c>
      <c r="B77" s="21" t="n"/>
      <c r="C77" s="21" t="n"/>
      <c r="D77" s="21" t="n"/>
      <c r="E77" s="21" t="n"/>
      <c r="G77" s="14">
        <f>J76</f>
        <v/>
      </c>
      <c r="H77" s="14">
        <f>ROUND(G77*$D$32,0)</f>
        <v/>
      </c>
      <c r="I77" s="14">
        <f>-$D$30</f>
        <v/>
      </c>
      <c r="J77" s="14">
        <f>G77+H77+I77</f>
        <v/>
      </c>
    </row>
    <row r="78">
      <c r="A78" s="20" t="n">
        <v>42</v>
      </c>
      <c r="B78" s="21" t="n"/>
      <c r="C78" s="21" t="n"/>
      <c r="D78" s="21" t="n"/>
      <c r="E78" s="21" t="n"/>
      <c r="G78" s="22">
        <f>J77</f>
        <v/>
      </c>
      <c r="H78" s="22">
        <f>ROUND(G78*$D$32,0)</f>
        <v/>
      </c>
      <c r="I78" s="22">
        <f>-$D$30</f>
        <v/>
      </c>
      <c r="J78" s="22">
        <f>G78+H78+I78</f>
        <v/>
      </c>
    </row>
    <row r="79">
      <c r="A79" s="20" t="n">
        <v>43</v>
      </c>
      <c r="B79" s="21" t="n"/>
      <c r="C79" s="21" t="n"/>
      <c r="D79" s="21" t="n"/>
      <c r="E79" s="21" t="n"/>
      <c r="G79" s="14">
        <f>J78</f>
        <v/>
      </c>
      <c r="H79" s="14">
        <f>ROUND(G79*$D$32,0)</f>
        <v/>
      </c>
      <c r="I79" s="14">
        <f>-$D$30</f>
        <v/>
      </c>
      <c r="J79" s="14">
        <f>G79+H79+I79</f>
        <v/>
      </c>
    </row>
    <row r="80">
      <c r="A80" s="20" t="n">
        <v>44</v>
      </c>
      <c r="B80" s="21" t="n"/>
      <c r="C80" s="21" t="n"/>
      <c r="D80" s="21" t="n"/>
      <c r="E80" s="21" t="n"/>
      <c r="G80" s="22">
        <f>J79</f>
        <v/>
      </c>
      <c r="H80" s="22">
        <f>ROUND(G80*$D$32,0)</f>
        <v/>
      </c>
      <c r="I80" s="22">
        <f>-$D$30</f>
        <v/>
      </c>
      <c r="J80" s="22">
        <f>G80+H80+I80</f>
        <v/>
      </c>
    </row>
    <row r="81">
      <c r="A81" s="20" t="n">
        <v>45</v>
      </c>
      <c r="B81" s="21" t="n"/>
      <c r="C81" s="21" t="n"/>
      <c r="D81" s="21" t="n"/>
      <c r="E81" s="21" t="n"/>
      <c r="G81" s="14">
        <f>J80</f>
        <v/>
      </c>
      <c r="H81" s="14">
        <f>ROUND(G81*$D$32,0)</f>
        <v/>
      </c>
      <c r="I81" s="14">
        <f>-$D$30</f>
        <v/>
      </c>
      <c r="J81" s="14">
        <f>G81+H81+I81</f>
        <v/>
      </c>
    </row>
    <row r="82">
      <c r="A82" s="20" t="n">
        <v>46</v>
      </c>
      <c r="B82" s="21" t="n"/>
      <c r="C82" s="21" t="n"/>
      <c r="D82" s="21" t="n"/>
      <c r="E82" s="21" t="n"/>
      <c r="G82" s="22">
        <f>J81</f>
        <v/>
      </c>
      <c r="H82" s="22">
        <f>ROUND(G82*$D$32,0)</f>
        <v/>
      </c>
      <c r="I82" s="22">
        <f>-$D$30</f>
        <v/>
      </c>
      <c r="J82" s="22">
        <f>G82+H82+I82</f>
        <v/>
      </c>
    </row>
    <row r="83">
      <c r="A83" s="20" t="n">
        <v>47</v>
      </c>
      <c r="B83" s="21" t="n"/>
      <c r="C83" s="21" t="n"/>
      <c r="D83" s="21" t="n"/>
      <c r="E83" s="21" t="n"/>
      <c r="G83" s="14">
        <f>J82</f>
        <v/>
      </c>
      <c r="H83" s="14">
        <f>ROUND(G83*$D$32,0)</f>
        <v/>
      </c>
      <c r="I83" s="14">
        <f>-$D$30</f>
        <v/>
      </c>
      <c r="J83" s="14">
        <f>G83+H83+I83</f>
        <v/>
      </c>
    </row>
    <row r="84">
      <c r="A84" s="20" t="n">
        <v>48</v>
      </c>
      <c r="B84" s="21" t="n"/>
      <c r="C84" s="21" t="n"/>
      <c r="D84" s="21" t="n"/>
      <c r="E84" s="21" t="n"/>
      <c r="G84" s="22">
        <f>J83</f>
        <v/>
      </c>
      <c r="H84" s="22">
        <f>ROUND(G84*$D$32,0)</f>
        <v/>
      </c>
      <c r="I84" s="22">
        <f>-$D$30</f>
        <v/>
      </c>
      <c r="J84" s="22">
        <f>G84+H84+I84</f>
        <v/>
      </c>
    </row>
    <row r="85">
      <c r="A85" s="20" t="n">
        <v>49</v>
      </c>
      <c r="B85" s="21" t="n"/>
      <c r="C85" s="21" t="n"/>
      <c r="D85" s="21" t="n"/>
      <c r="E85" s="21" t="n"/>
      <c r="G85" s="14">
        <f>J84</f>
        <v/>
      </c>
      <c r="H85" s="14">
        <f>ROUND(G85*$D$32,0)</f>
        <v/>
      </c>
      <c r="I85" s="14">
        <f>-$D$30</f>
        <v/>
      </c>
      <c r="J85" s="14">
        <f>G85+H85+I85</f>
        <v/>
      </c>
    </row>
    <row r="86">
      <c r="A86" s="20" t="n">
        <v>50</v>
      </c>
      <c r="B86" s="21" t="n"/>
      <c r="C86" s="21" t="n"/>
      <c r="D86" s="21" t="n"/>
      <c r="E86" s="21" t="n"/>
      <c r="G86" s="22">
        <f>J85</f>
        <v/>
      </c>
      <c r="H86" s="22">
        <f>ROUND(G86*$D$32,0)</f>
        <v/>
      </c>
      <c r="I86" s="22">
        <f>-$D$30</f>
        <v/>
      </c>
      <c r="J86" s="22">
        <f>G86+H86+I86</f>
        <v/>
      </c>
    </row>
    <row r="87">
      <c r="A87" s="20" t="n">
        <v>51</v>
      </c>
      <c r="B87" s="21" t="n"/>
      <c r="C87" s="21" t="n"/>
      <c r="D87" s="21" t="n"/>
      <c r="E87" s="21" t="n"/>
      <c r="G87" s="14">
        <f>J86</f>
        <v/>
      </c>
      <c r="H87" s="14">
        <f>ROUND(G87*$D$32,0)</f>
        <v/>
      </c>
      <c r="I87" s="14">
        <f>-$D$30</f>
        <v/>
      </c>
      <c r="J87" s="14">
        <f>G87+H87+I87</f>
        <v/>
      </c>
    </row>
    <row r="88">
      <c r="A88" s="20" t="n">
        <v>52</v>
      </c>
      <c r="B88" s="21" t="n"/>
      <c r="C88" s="21" t="n"/>
      <c r="D88" s="21" t="n"/>
      <c r="E88" s="21" t="n"/>
      <c r="G88" s="22">
        <f>J87</f>
        <v/>
      </c>
      <c r="H88" s="22">
        <f>ROUND(G88*$D$32,0)</f>
        <v/>
      </c>
      <c r="I88" s="22">
        <f>-$D$30</f>
        <v/>
      </c>
      <c r="J88" s="22">
        <f>G88+H88+I88</f>
        <v/>
      </c>
    </row>
    <row r="89">
      <c r="A89" s="20" t="n">
        <v>53</v>
      </c>
      <c r="B89" s="21" t="n"/>
      <c r="C89" s="21" t="n"/>
      <c r="D89" s="21" t="n"/>
      <c r="E89" s="21" t="n"/>
      <c r="G89" s="14">
        <f>J88</f>
        <v/>
      </c>
      <c r="H89" s="14">
        <f>ROUND(G89*$D$32,0)</f>
        <v/>
      </c>
      <c r="I89" s="14">
        <f>-$D$30</f>
        <v/>
      </c>
      <c r="J89" s="14">
        <f>G89+H89+I89</f>
        <v/>
      </c>
    </row>
    <row r="90">
      <c r="A90" s="20" t="n">
        <v>54</v>
      </c>
      <c r="B90" s="21" t="n"/>
      <c r="C90" s="21" t="n"/>
      <c r="D90" s="21" t="n"/>
      <c r="E90" s="21" t="n"/>
      <c r="G90" s="22">
        <f>J89</f>
        <v/>
      </c>
      <c r="H90" s="22">
        <f>ROUND(G90*$D$32,0)</f>
        <v/>
      </c>
      <c r="I90" s="22">
        <f>-$D$30</f>
        <v/>
      </c>
      <c r="J90" s="22">
        <f>G90+H90+I90</f>
        <v/>
      </c>
    </row>
    <row r="91">
      <c r="A91" s="20" t="n">
        <v>55</v>
      </c>
      <c r="B91" s="21" t="n"/>
      <c r="C91" s="21" t="n"/>
      <c r="D91" s="21" t="n"/>
      <c r="E91" s="21" t="n"/>
      <c r="G91" s="14">
        <f>J90</f>
        <v/>
      </c>
      <c r="H91" s="14">
        <f>ROUND(G91*$D$32,0)</f>
        <v/>
      </c>
      <c r="I91" s="14">
        <f>-$D$30</f>
        <v/>
      </c>
      <c r="J91" s="14">
        <f>G91+H91+I91</f>
        <v/>
      </c>
    </row>
    <row r="92">
      <c r="A92" s="20" t="n">
        <v>56</v>
      </c>
      <c r="B92" s="21" t="n"/>
      <c r="C92" s="21" t="n"/>
      <c r="D92" s="21" t="n"/>
      <c r="E92" s="21" t="n"/>
      <c r="G92" s="22">
        <f>J91</f>
        <v/>
      </c>
      <c r="H92" s="22">
        <f>ROUND(G92*$D$32,0)</f>
        <v/>
      </c>
      <c r="I92" s="22">
        <f>-$D$30</f>
        <v/>
      </c>
      <c r="J92" s="22">
        <f>G92+H92+I92</f>
        <v/>
      </c>
    </row>
    <row r="93">
      <c r="A93" s="20" t="n">
        <v>57</v>
      </c>
      <c r="B93" s="21" t="n"/>
      <c r="C93" s="21" t="n"/>
      <c r="D93" s="21" t="n"/>
      <c r="E93" s="21" t="n"/>
      <c r="G93" s="14">
        <f>J92</f>
        <v/>
      </c>
      <c r="H93" s="14">
        <f>ROUND(G93*$D$32,0)</f>
        <v/>
      </c>
      <c r="I93" s="14">
        <f>-$D$30</f>
        <v/>
      </c>
      <c r="J93" s="14">
        <f>G93+H93+I93</f>
        <v/>
      </c>
    </row>
    <row r="94">
      <c r="A94" s="20" t="n">
        <v>58</v>
      </c>
      <c r="B94" s="21" t="n"/>
      <c r="C94" s="21" t="n"/>
      <c r="D94" s="21" t="n"/>
      <c r="E94" s="21" t="n"/>
      <c r="G94" s="22">
        <f>J93</f>
        <v/>
      </c>
      <c r="H94" s="22">
        <f>ROUND(G94*$D$32,0)</f>
        <v/>
      </c>
      <c r="I94" s="22">
        <f>-$D$30</f>
        <v/>
      </c>
      <c r="J94" s="22">
        <f>G94+H94+I94</f>
        <v/>
      </c>
    </row>
    <row r="95">
      <c r="A95" s="20" t="n">
        <v>59</v>
      </c>
      <c r="B95" s="21" t="n"/>
      <c r="C95" s="21" t="n"/>
      <c r="D95" s="21" t="n"/>
      <c r="E95" s="21" t="n"/>
      <c r="G95" s="14">
        <f>J94</f>
        <v/>
      </c>
      <c r="H95" s="14">
        <f>ROUND(G95*$D$32,0)</f>
        <v/>
      </c>
      <c r="I95" s="14">
        <f>-$D$30</f>
        <v/>
      </c>
      <c r="J95" s="14">
        <f>G95+H95+I95</f>
        <v/>
      </c>
    </row>
    <row r="96">
      <c r="A96" s="20" t="n">
        <v>60</v>
      </c>
      <c r="B96" s="21" t="n"/>
      <c r="C96" s="21" t="n"/>
      <c r="D96" s="21" t="n"/>
      <c r="E96" s="21" t="n"/>
      <c r="G96" s="22">
        <f>J95</f>
        <v/>
      </c>
      <c r="H96" s="22">
        <f>ROUND(G96*$D$32,0)</f>
        <v/>
      </c>
      <c r="I96" s="22">
        <f>-$D$30</f>
        <v/>
      </c>
      <c r="J96" s="22">
        <f>G96+H96+I96</f>
        <v/>
      </c>
    </row>
    <row r="97">
      <c r="A97" s="20" t="n">
        <v>61</v>
      </c>
      <c r="B97" s="21" t="n"/>
      <c r="C97" s="21" t="n"/>
      <c r="D97" s="21" t="n"/>
      <c r="E97" s="21" t="n"/>
      <c r="G97" s="14">
        <f>J96</f>
        <v/>
      </c>
      <c r="H97" s="14">
        <f>ROUND(G97*$D$32,0)</f>
        <v/>
      </c>
      <c r="I97" s="14">
        <f>-$D$30</f>
        <v/>
      </c>
      <c r="J97" s="14">
        <f>G97+H97+I97</f>
        <v/>
      </c>
    </row>
    <row r="98">
      <c r="A98" s="20" t="n">
        <v>62</v>
      </c>
      <c r="B98" s="21" t="n"/>
      <c r="C98" s="21" t="n"/>
      <c r="D98" s="21" t="n"/>
      <c r="E98" s="21" t="n"/>
      <c r="G98" s="22">
        <f>J97</f>
        <v/>
      </c>
      <c r="H98" s="22">
        <f>ROUND(G98*$D$32,0)</f>
        <v/>
      </c>
      <c r="I98" s="22">
        <f>-$D$30</f>
        <v/>
      </c>
      <c r="J98" s="22">
        <f>G98+H98+I98</f>
        <v/>
      </c>
    </row>
    <row r="99">
      <c r="A99" s="20" t="n">
        <v>63</v>
      </c>
      <c r="B99" s="21" t="n"/>
      <c r="C99" s="21" t="n"/>
      <c r="D99" s="21" t="n"/>
      <c r="E99" s="21" t="n"/>
      <c r="G99" s="14">
        <f>J98</f>
        <v/>
      </c>
      <c r="H99" s="14">
        <f>ROUND(G99*$D$32,0)</f>
        <v/>
      </c>
      <c r="I99" s="14">
        <f>-$D$30</f>
        <v/>
      </c>
      <c r="J99" s="14">
        <f>G99+H99+I99</f>
        <v/>
      </c>
    </row>
    <row r="100">
      <c r="A100" s="20" t="n">
        <v>64</v>
      </c>
      <c r="B100" s="21" t="n"/>
      <c r="C100" s="21" t="n"/>
      <c r="D100" s="21" t="n"/>
      <c r="E100" s="21" t="n"/>
      <c r="G100" s="22">
        <f>J99</f>
        <v/>
      </c>
      <c r="H100" s="22">
        <f>ROUND(G100*$D$32,0)</f>
        <v/>
      </c>
      <c r="I100" s="22">
        <f>-$D$30</f>
        <v/>
      </c>
      <c r="J100" s="22">
        <f>G100+H100+I100</f>
        <v/>
      </c>
    </row>
    <row r="101">
      <c r="A101" s="20" t="n">
        <v>65</v>
      </c>
      <c r="B101" s="21" t="n"/>
      <c r="C101" s="21" t="n"/>
      <c r="D101" s="21" t="n"/>
      <c r="E101" s="21" t="n"/>
      <c r="G101" s="14">
        <f>J100</f>
        <v/>
      </c>
      <c r="H101" s="14">
        <f>ROUND(G101*$D$32,0)</f>
        <v/>
      </c>
      <c r="I101" s="14">
        <f>-$D$30</f>
        <v/>
      </c>
      <c r="J101" s="14">
        <f>G101+H101+I101</f>
        <v/>
      </c>
    </row>
    <row r="102">
      <c r="A102" s="20" t="n">
        <v>66</v>
      </c>
      <c r="B102" s="21" t="n"/>
      <c r="C102" s="21" t="n"/>
      <c r="D102" s="21" t="n"/>
      <c r="E102" s="21" t="n"/>
      <c r="G102" s="22">
        <f>J101</f>
        <v/>
      </c>
      <c r="H102" s="22">
        <f>ROUND(G102*$D$32,0)</f>
        <v/>
      </c>
      <c r="I102" s="22">
        <f>-$D$30</f>
        <v/>
      </c>
      <c r="J102" s="22">
        <f>G102+H102+I102</f>
        <v/>
      </c>
    </row>
    <row r="103">
      <c r="A103" s="20" t="n">
        <v>67</v>
      </c>
      <c r="B103" s="21" t="n"/>
      <c r="C103" s="21" t="n"/>
      <c r="D103" s="21" t="n"/>
      <c r="E103" s="21" t="n"/>
      <c r="G103" s="14">
        <f>J102</f>
        <v/>
      </c>
      <c r="H103" s="14">
        <f>ROUND(G103*$D$32,0)</f>
        <v/>
      </c>
      <c r="I103" s="14">
        <f>-$D$30</f>
        <v/>
      </c>
      <c r="J103" s="14">
        <f>G103+H103+I103</f>
        <v/>
      </c>
    </row>
    <row r="104">
      <c r="A104" s="20" t="n">
        <v>68</v>
      </c>
      <c r="B104" s="21" t="n"/>
      <c r="C104" s="21" t="n"/>
      <c r="D104" s="21" t="n"/>
      <c r="E104" s="21" t="n"/>
      <c r="G104" s="22">
        <f>J103</f>
        <v/>
      </c>
      <c r="H104" s="22">
        <f>ROUND(G104*$D$32,0)</f>
        <v/>
      </c>
      <c r="I104" s="22">
        <f>-$D$30</f>
        <v/>
      </c>
      <c r="J104" s="22">
        <f>G104+H104+I104</f>
        <v/>
      </c>
    </row>
    <row r="105">
      <c r="A105" s="20" t="n">
        <v>69</v>
      </c>
      <c r="B105" s="21" t="n"/>
      <c r="C105" s="21" t="n"/>
      <c r="D105" s="21" t="n"/>
      <c r="E105" s="21" t="n"/>
      <c r="G105" s="14">
        <f>J104</f>
        <v/>
      </c>
      <c r="H105" s="14">
        <f>ROUND(G105*$D$32,0)</f>
        <v/>
      </c>
      <c r="I105" s="14">
        <f>-$D$30</f>
        <v/>
      </c>
      <c r="J105" s="14">
        <f>G105+H105+I105</f>
        <v/>
      </c>
    </row>
    <row r="106">
      <c r="A106" s="20" t="n">
        <v>70</v>
      </c>
      <c r="B106" s="21" t="n"/>
      <c r="C106" s="21" t="n"/>
      <c r="D106" s="21" t="n"/>
      <c r="E106" s="21" t="n"/>
      <c r="G106" s="22">
        <f>J105</f>
        <v/>
      </c>
      <c r="H106" s="22">
        <f>ROUND(G106*$D$32,0)</f>
        <v/>
      </c>
      <c r="I106" s="22">
        <f>-$D$30</f>
        <v/>
      </c>
      <c r="J106" s="22">
        <f>G106+H106+I106</f>
        <v/>
      </c>
    </row>
    <row r="107">
      <c r="A107" s="20" t="n">
        <v>71</v>
      </c>
      <c r="B107" s="21" t="n"/>
      <c r="C107" s="21" t="n"/>
      <c r="D107" s="21" t="n"/>
      <c r="E107" s="21" t="n"/>
      <c r="G107" s="14">
        <f>J106</f>
        <v/>
      </c>
      <c r="H107" s="14">
        <f>ROUND(G107*$D$32,0)</f>
        <v/>
      </c>
      <c r="I107" s="14">
        <f>-$D$30</f>
        <v/>
      </c>
      <c r="J107" s="14">
        <f>G107+H107+I107</f>
        <v/>
      </c>
    </row>
    <row r="108">
      <c r="A108" s="20" t="n">
        <v>72</v>
      </c>
      <c r="B108" s="21" t="n"/>
      <c r="C108" s="21" t="n"/>
      <c r="D108" s="21" t="n"/>
      <c r="E108" s="21" t="n"/>
      <c r="G108" s="22">
        <f>J107</f>
        <v/>
      </c>
      <c r="H108" s="22">
        <f>ROUND(G108*$D$32,0)</f>
        <v/>
      </c>
      <c r="I108" s="22">
        <f>-$D$30</f>
        <v/>
      </c>
      <c r="J108" s="22">
        <f>G108+H108+I108</f>
        <v/>
      </c>
    </row>
    <row r="109">
      <c r="A109" s="20" t="n">
        <v>73</v>
      </c>
      <c r="B109" s="21" t="n"/>
      <c r="C109" s="21" t="n"/>
      <c r="D109" s="21" t="n"/>
      <c r="E109" s="21" t="n"/>
      <c r="G109" s="14">
        <f>J108</f>
        <v/>
      </c>
      <c r="H109" s="14">
        <f>-G109-I109</f>
        <v/>
      </c>
      <c r="I109" s="14">
        <f>-$D$30-I37</f>
        <v/>
      </c>
      <c r="J109" s="14">
        <f>G109+H109+I109</f>
        <v/>
      </c>
    </row>
    <row r="110"/>
    <row r="111" ht="20" customHeight="1">
      <c r="A111" s="3" t="inlineStr">
        <is>
          <t>③ 중도해지금  (할인 적용 고객)</t>
        </is>
      </c>
    </row>
    <row r="112">
      <c r="A112" s="23" t="inlineStr">
        <is>
          <t>계약일자</t>
        </is>
      </c>
      <c r="B112" s="24" t="n">
        <v>45912</v>
      </c>
    </row>
    <row r="113">
      <c r="A113" s="23" t="inlineStr">
        <is>
          <t>해지일자</t>
        </is>
      </c>
      <c r="B113" s="24" t="n">
        <v>47013</v>
      </c>
    </row>
    <row r="114">
      <c r="A114" s="25" t="inlineStr">
        <is>
          <t>Σ경과일</t>
        </is>
      </c>
      <c r="B114" s="26">
        <f>B113-B112</f>
        <v/>
      </c>
    </row>
    <row r="115">
      <c r="A115" s="25" t="inlineStr">
        <is>
          <t>당월 사용일</t>
        </is>
      </c>
      <c r="B115" s="26">
        <f>DAY(B113)-1</f>
        <v/>
      </c>
    </row>
    <row r="116">
      <c r="A116" s="25" t="inlineStr">
        <is>
          <t>그달 일수</t>
        </is>
      </c>
      <c r="B116" s="26">
        <f>DAY(EOMONTH(B113,0))</f>
        <v/>
      </c>
    </row>
    <row r="117">
      <c r="A117" s="25" t="inlineStr">
        <is>
          <t>경과비율</t>
        </is>
      </c>
      <c r="B117" s="27">
        <f>(B113-B112)/B6</f>
        <v/>
      </c>
    </row>
    <row r="118">
      <c r="A118" s="25" t="inlineStr">
        <is>
          <t>잔여비율</t>
        </is>
      </c>
      <c r="B118" s="27">
        <f>(B6-(B113-B112))/B6</f>
        <v/>
      </c>
    </row>
    <row r="119"/>
    <row r="120">
      <c r="A120" s="6" t="inlineStr">
        <is>
          <t>항목</t>
        </is>
      </c>
      <c r="B120" s="6" t="inlineStr">
        <is>
          <t>✍️ 내 답</t>
        </is>
      </c>
      <c r="C120" s="6" t="inlineStr">
        <is>
          <t>✅ 정답</t>
        </is>
      </c>
      <c r="E120" s="6" t="inlineStr">
        <is>
          <t>수식 설명</t>
        </is>
      </c>
    </row>
    <row r="121">
      <c r="A121" s="7" t="inlineStr">
        <is>
          <t>위약금</t>
        </is>
      </c>
      <c r="B121" s="28" t="n"/>
      <c r="C121" s="9">
        <f>ROUNDDOWN(B8*B118*0.2,-1)</f>
        <v/>
      </c>
      <c r="D121" s="10" t="n"/>
      <c r="E121" s="11" t="inlineStr">
        <is>
          <t>ROUNDDOWN(총v+ × 잔여 × 20%, −1)</t>
        </is>
      </c>
    </row>
    <row r="122">
      <c r="A122" s="7" t="inlineStr">
        <is>
          <t>사용분 청구</t>
        </is>
      </c>
      <c r="B122" s="28" t="n"/>
      <c r="C122" s="9">
        <f>ROUNDDOWN(C25*B115/B116,-2)</f>
        <v/>
      </c>
      <c r="D122" s="10" t="n"/>
      <c r="E122" s="11" t="inlineStr">
        <is>
          <t>ROUNDDOWN(할인후월구독료 × 사용일/그달, −2)</t>
        </is>
      </c>
    </row>
    <row r="123">
      <c r="A123" s="7" t="inlineStr">
        <is>
          <t>할인금 회수</t>
        </is>
      </c>
      <c r="B123" s="28" t="n"/>
      <c r="C123" s="9">
        <f>ROUNDDOWN(B18*B117,-2)+ROUNDDOWN(B19*B117,-2)+ROUNDDOWN(B20*B117,-2)</f>
        <v/>
      </c>
      <c r="D123" s="10" t="n"/>
      <c r="E123" s="11" t="inlineStr">
        <is>
          <t>Σ ROUNDDOWN(각 할인 × 경과, −2)</t>
        </is>
      </c>
    </row>
    <row r="124">
      <c r="A124" s="7" t="inlineStr">
        <is>
          <t>선납잔액 환불</t>
        </is>
      </c>
      <c r="B124" s="28" t="n"/>
      <c r="C124" s="9">
        <f>-ROUNDUP(B17*B118,-2)</f>
        <v/>
      </c>
      <c r="D124" s="10" t="n"/>
      <c r="E124" s="11" t="inlineStr">
        <is>
          <t>−ROUNDUP(선납금 × 잔여, −2)</t>
        </is>
      </c>
    </row>
    <row r="125">
      <c r="A125" s="7" t="inlineStr">
        <is>
          <t>등록비 청구</t>
        </is>
      </c>
      <c r="B125" s="28" t="n"/>
      <c r="C125" s="9">
        <f>ROUNDDOWN(100000/1.1*B117,-2)</f>
        <v/>
      </c>
      <c r="D125" s="10" t="n"/>
      <c r="E125" s="11" t="inlineStr">
        <is>
          <t>ROUNDDOWN(등록비/1.1 × 경과, −2)</t>
        </is>
      </c>
    </row>
    <row r="126">
      <c r="A126" s="29" t="inlineStr">
        <is>
          <t>고객 순부담</t>
        </is>
      </c>
      <c r="B126" s="10" t="n"/>
      <c r="C126" s="30">
        <f>SUM(C121:C125)</f>
        <v/>
      </c>
      <c r="D126" s="10" t="n"/>
      <c r="E126" s="10" t="n"/>
    </row>
  </sheetData>
  <mergeCells count="10">
    <mergeCell ref="E23"/>
    <mergeCell ref="A1:J1"/>
    <mergeCell ref="A4:E4"/>
    <mergeCell ref="A16:E16"/>
    <mergeCell ref="G34:J34"/>
    <mergeCell ref="A111:E111"/>
    <mergeCell ref="A2:J2"/>
    <mergeCell ref="A22:E22"/>
    <mergeCell ref="A27:E27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30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통합 실습 — MX 갤럭시탭 : 할인전 → 선납·단품·결합 적용</t>
        </is>
      </c>
    </row>
    <row r="2">
      <c r="A2" s="2" t="inlineStr">
        <is>
          <t>흐름: 할인 3종 적용 → ① 월구독료 → ② 리스 상각표 → ③ 중도해지금. 노란칸 직접 / 초록 정답 / 파란칸(날짜) 입력.</t>
        </is>
      </c>
    </row>
    <row r="3"/>
    <row r="4" ht="20" customHeight="1">
      <c r="A4" s="3" t="inlineStr">
        <is>
          <t>■ 주어진 값 (할인전)</t>
        </is>
      </c>
    </row>
    <row r="5">
      <c r="A5" s="4" t="inlineStr">
        <is>
          <t>구독기간(개월)</t>
        </is>
      </c>
      <c r="B5" s="5" t="n">
        <v>48</v>
      </c>
    </row>
    <row r="6">
      <c r="A6" s="4" t="inlineStr">
        <is>
          <t>구독기간(일)</t>
        </is>
      </c>
      <c r="B6" s="5" t="n">
        <v>1461</v>
      </c>
    </row>
    <row r="7">
      <c r="A7" s="4" t="inlineStr">
        <is>
          <t>총구독료(v−)</t>
        </is>
      </c>
      <c r="B7" s="5" t="n">
        <v>2011200</v>
      </c>
    </row>
    <row r="8">
      <c r="A8" s="4" t="inlineStr">
        <is>
          <t>총구독료(v+)</t>
        </is>
      </c>
      <c r="B8" s="5" t="n">
        <v>2200800</v>
      </c>
    </row>
    <row r="9">
      <c r="A9" s="4" t="inlineStr">
        <is>
          <t>매출인식기준구독료(v−)</t>
        </is>
      </c>
      <c r="B9" s="5" t="n">
        <v>1800000</v>
      </c>
    </row>
    <row r="10">
      <c r="A10" s="4" t="inlineStr">
        <is>
          <t>케어(v−)</t>
        </is>
      </c>
      <c r="B10" s="5" t="n">
        <v>0</v>
      </c>
    </row>
    <row r="11">
      <c r="A11" s="4" t="inlineStr">
        <is>
          <t>보증(v−)</t>
        </is>
      </c>
      <c r="B11" s="5" t="n">
        <v>96000</v>
      </c>
    </row>
    <row r="12">
      <c r="A12" s="4" t="inlineStr">
        <is>
          <t>제품 혜택가(v−)</t>
        </is>
      </c>
      <c r="B12" s="5" t="n">
        <v>1264545</v>
      </c>
    </row>
    <row r="13">
      <c r="A13" s="4" t="inlineStr">
        <is>
          <t>부분월 사용일</t>
        </is>
      </c>
      <c r="B13" s="5" t="n">
        <v>27</v>
      </c>
    </row>
    <row r="14">
      <c r="A14" s="4" t="inlineStr">
        <is>
          <t>부분월 그달일수</t>
        </is>
      </c>
      <c r="B14" s="5" t="n">
        <v>31</v>
      </c>
    </row>
    <row r="15"/>
    <row r="16" ht="20" customHeight="1">
      <c r="A16" s="3" t="inlineStr">
        <is>
          <t>■ 할인 3종 최종금액 (v−)</t>
        </is>
      </c>
    </row>
    <row r="17">
      <c r="A17" s="4" t="inlineStr">
        <is>
          <t>선납금</t>
        </is>
      </c>
      <c r="B17" s="5" t="n">
        <v>604800</v>
      </c>
    </row>
    <row r="18">
      <c r="A18" s="4" t="inlineStr">
        <is>
          <t>선납할인</t>
        </is>
      </c>
      <c r="B18" s="5" t="n">
        <v>81600</v>
      </c>
    </row>
    <row r="19">
      <c r="A19" s="4" t="inlineStr">
        <is>
          <t>단품</t>
        </is>
      </c>
      <c r="B19" s="5" t="n">
        <v>100800</v>
      </c>
    </row>
    <row r="20">
      <c r="A20" s="4" t="inlineStr">
        <is>
          <t>결합</t>
        </is>
      </c>
      <c r="B20" s="5" t="n">
        <v>96000</v>
      </c>
    </row>
    <row r="21"/>
    <row r="22" ht="20" customHeight="1">
      <c r="A22" s="3" t="inlineStr">
        <is>
          <t>① 월구독료  (할인전 → 할인후)</t>
        </is>
      </c>
    </row>
    <row r="23">
      <c r="A23" s="6" t="inlineStr">
        <is>
          <t>항목</t>
        </is>
      </c>
      <c r="B23" s="6" t="inlineStr">
        <is>
          <t>✍️ 내 답</t>
        </is>
      </c>
      <c r="C23" s="6" t="inlineStr">
        <is>
          <t>✅ 정답</t>
        </is>
      </c>
      <c r="E23" s="6" t="inlineStr">
        <is>
          <t>수식 설명</t>
        </is>
      </c>
    </row>
    <row r="24">
      <c r="A24" s="7" t="inlineStr">
        <is>
          <t>할인전 월구독료</t>
        </is>
      </c>
      <c r="B24" s="8" t="n"/>
      <c r="C24" s="9">
        <f>B7/B5</f>
        <v/>
      </c>
      <c r="D24" s="10" t="n"/>
      <c r="E24" s="11" t="inlineStr">
        <is>
          <t>총구독료 / 기간</t>
        </is>
      </c>
    </row>
    <row r="25">
      <c r="A25" s="7" t="inlineStr">
        <is>
          <t>할인후 월구독료</t>
        </is>
      </c>
      <c r="B25" s="8" t="n"/>
      <c r="C25" s="12">
        <f>(B7-B17-B18-B19-B20)/B5</f>
        <v/>
      </c>
      <c r="D25" s="10" t="n"/>
      <c r="E25" s="11" t="inlineStr">
        <is>
          <t>(총−선납−선납할인−단품−결합)/기간</t>
        </is>
      </c>
    </row>
    <row r="26"/>
    <row r="27" ht="20" customHeight="1">
      <c r="A27" s="3" t="inlineStr">
        <is>
          <t>② 리스 상각표  (할인전 ↔ 할인후)</t>
        </is>
      </c>
    </row>
    <row r="28">
      <c r="A28" s="6" t="inlineStr">
        <is>
          <t>항목</t>
        </is>
      </c>
      <c r="B28" s="6" t="inlineStr">
        <is>
          <t>할인전(자동)</t>
        </is>
      </c>
      <c r="C28" s="6" t="inlineStr">
        <is>
          <t>할인후 ✍️</t>
        </is>
      </c>
      <c r="D28" s="6" t="inlineStr">
        <is>
          <t>할인후 ✅</t>
        </is>
      </c>
      <c r="E28" s="6" t="inlineStr">
        <is>
          <t>설명</t>
        </is>
      </c>
    </row>
    <row r="29">
      <c r="A29" s="7" t="inlineStr">
        <is>
          <t>순수구독료</t>
        </is>
      </c>
      <c r="B29" s="13">
        <f>B9</f>
        <v/>
      </c>
      <c r="C29" s="8" t="n"/>
      <c r="D29" s="9">
        <f>B9-B17-B18-B19-B20</f>
        <v/>
      </c>
      <c r="E29" s="11" t="inlineStr">
        <is>
          <t>총−케어−보증−(선납·할인)</t>
        </is>
      </c>
    </row>
    <row r="30">
      <c r="A30" s="7" t="inlineStr">
        <is>
          <t>리스료(월)</t>
        </is>
      </c>
      <c r="B30" s="14">
        <f>B29/B5</f>
        <v/>
      </c>
      <c r="C30" s="8" t="n"/>
      <c r="D30" s="15">
        <f>D29/B5</f>
        <v/>
      </c>
      <c r="E30" s="11" t="inlineStr">
        <is>
          <t>순수 / N</t>
        </is>
      </c>
    </row>
    <row r="31">
      <c r="A31" s="7" t="inlineStr">
        <is>
          <t>리스채권</t>
        </is>
      </c>
      <c r="B31" s="14">
        <f>MIN(B12,PV(0.0357/12,B5,-B29/B5))</f>
        <v/>
      </c>
      <c r="C31" s="8" t="n"/>
      <c r="D31" s="15">
        <f>MIN(B12,PV(0.0357/12,B5,-(B9-B18-B19-B20)/B5))-B17</f>
        <v/>
      </c>
      <c r="E31" s="11" t="inlineStr">
        <is>
          <t>MIN(제품,PV)−선납</t>
        </is>
      </c>
    </row>
    <row r="32">
      <c r="A32" s="7" t="inlineStr">
        <is>
          <t>월이자율</t>
        </is>
      </c>
      <c r="B32" s="16">
        <f>RATE(B5,-B30,B31)</f>
        <v/>
      </c>
      <c r="C32" s="8" t="n"/>
      <c r="D32" s="17">
        <f>RATE(B5,-D30,D31)</f>
        <v/>
      </c>
      <c r="E32" s="11" t="inlineStr">
        <is>
          <t>RATE(N,−리스료,채권)</t>
        </is>
      </c>
    </row>
    <row r="33"/>
    <row r="34">
      <c r="B34" s="18" t="inlineStr">
        <is>
          <t>✍️ 할인후 상각표 (직접)</t>
        </is>
      </c>
      <c r="G34" s="19" t="inlineStr">
        <is>
          <t>✅ 할인후 정답표 (자동)</t>
        </is>
      </c>
    </row>
    <row r="35">
      <c r="A35" s="6" t="inlineStr">
        <is>
          <t>회차</t>
        </is>
      </c>
      <c r="B35" s="6" t="inlineStr">
        <is>
          <t>기초</t>
        </is>
      </c>
      <c r="C35" s="6" t="inlineStr">
        <is>
          <t>이자</t>
        </is>
      </c>
      <c r="D35" s="6" t="inlineStr">
        <is>
          <t>리스료</t>
        </is>
      </c>
      <c r="E35" s="6" t="inlineStr">
        <is>
          <t>기말</t>
        </is>
      </c>
      <c r="G35" s="6" t="inlineStr">
        <is>
          <t>기초</t>
        </is>
      </c>
      <c r="H35" s="6" t="inlineStr">
        <is>
          <t>이자</t>
        </is>
      </c>
      <c r="I35" s="6" t="inlineStr">
        <is>
          <t>리스료</t>
        </is>
      </c>
      <c r="J35" s="6" t="inlineStr">
        <is>
          <t>기말</t>
        </is>
      </c>
    </row>
    <row r="36">
      <c r="A36" s="20" t="n">
        <v>0</v>
      </c>
      <c r="B36" s="21" t="n"/>
      <c r="C36" s="21" t="n"/>
      <c r="D36" s="21" t="n"/>
      <c r="E36" s="21" t="n"/>
      <c r="G36" s="22" t="n"/>
      <c r="H36" s="22" t="n"/>
      <c r="I36" s="22" t="n"/>
      <c r="J36" s="22">
        <f>D31</f>
        <v/>
      </c>
    </row>
    <row r="37">
      <c r="A37" s="20" t="n">
        <v>1</v>
      </c>
      <c r="B37" s="21" t="n"/>
      <c r="C37" s="21" t="n"/>
      <c r="D37" s="21" t="n"/>
      <c r="E37" s="21" t="n"/>
      <c r="G37" s="14">
        <f>J36</f>
        <v/>
      </c>
      <c r="H37" s="14">
        <f>ROUND(-I37+($D$31*$D$32-$D$30)*($B$13/$B$14),0)</f>
        <v/>
      </c>
      <c r="I37" s="14">
        <f>-(ROUNDDOWN((($B$7-$B$17-$B$18-$B$19-$B$20)/$B$5)*($B$13/$B$14),-2)-ROUNDDOWN(($B$10/$B$5)*($B$13/$B$14),-2)-ROUNDDOWN(($B$11/$B$5)*($B$13/$B$14),-2))</f>
        <v/>
      </c>
      <c r="J37" s="14">
        <f>G37+H37+I37</f>
        <v/>
      </c>
    </row>
    <row r="38">
      <c r="A38" s="20" t="n">
        <v>2</v>
      </c>
      <c r="B38" s="21" t="n"/>
      <c r="C38" s="21" t="n"/>
      <c r="D38" s="21" t="n"/>
      <c r="E38" s="21" t="n"/>
      <c r="G38" s="22">
        <f>J37</f>
        <v/>
      </c>
      <c r="H38" s="22">
        <f>ROUND(G38*$D$32,0)</f>
        <v/>
      </c>
      <c r="I38" s="22">
        <f>-$D$30</f>
        <v/>
      </c>
      <c r="J38" s="22">
        <f>G38+H38+I38</f>
        <v/>
      </c>
    </row>
    <row r="39">
      <c r="A39" s="20" t="n">
        <v>3</v>
      </c>
      <c r="B39" s="21" t="n"/>
      <c r="C39" s="21" t="n"/>
      <c r="D39" s="21" t="n"/>
      <c r="E39" s="21" t="n"/>
      <c r="G39" s="14">
        <f>J38</f>
        <v/>
      </c>
      <c r="H39" s="14">
        <f>ROUND(G39*$D$32,0)</f>
        <v/>
      </c>
      <c r="I39" s="14">
        <f>-$D$30</f>
        <v/>
      </c>
      <c r="J39" s="14">
        <f>G39+H39+I39</f>
        <v/>
      </c>
    </row>
    <row r="40">
      <c r="A40" s="20" t="n">
        <v>4</v>
      </c>
      <c r="B40" s="21" t="n"/>
      <c r="C40" s="21" t="n"/>
      <c r="D40" s="21" t="n"/>
      <c r="E40" s="21" t="n"/>
      <c r="G40" s="22">
        <f>J39</f>
        <v/>
      </c>
      <c r="H40" s="22">
        <f>ROUND(G40*$D$32,0)</f>
        <v/>
      </c>
      <c r="I40" s="22">
        <f>-$D$30</f>
        <v/>
      </c>
      <c r="J40" s="22">
        <f>G40+H40+I40</f>
        <v/>
      </c>
    </row>
    <row r="41">
      <c r="A41" s="20" t="n">
        <v>5</v>
      </c>
      <c r="B41" s="21" t="n"/>
      <c r="C41" s="21" t="n"/>
      <c r="D41" s="21" t="n"/>
      <c r="E41" s="21" t="n"/>
      <c r="G41" s="14">
        <f>J40</f>
        <v/>
      </c>
      <c r="H41" s="14">
        <f>ROUND(G41*$D$32,0)</f>
        <v/>
      </c>
      <c r="I41" s="14">
        <f>-$D$30</f>
        <v/>
      </c>
      <c r="J41" s="14">
        <f>G41+H41+I41</f>
        <v/>
      </c>
    </row>
    <row r="42">
      <c r="A42" s="20" t="n">
        <v>6</v>
      </c>
      <c r="B42" s="21" t="n"/>
      <c r="C42" s="21" t="n"/>
      <c r="D42" s="21" t="n"/>
      <c r="E42" s="21" t="n"/>
      <c r="G42" s="22">
        <f>J41</f>
        <v/>
      </c>
      <c r="H42" s="22">
        <f>ROUND(G42*$D$32,0)</f>
        <v/>
      </c>
      <c r="I42" s="22">
        <f>-$D$30</f>
        <v/>
      </c>
      <c r="J42" s="22">
        <f>G42+H42+I42</f>
        <v/>
      </c>
    </row>
    <row r="43">
      <c r="A43" s="20" t="n">
        <v>7</v>
      </c>
      <c r="B43" s="21" t="n"/>
      <c r="C43" s="21" t="n"/>
      <c r="D43" s="21" t="n"/>
      <c r="E43" s="21" t="n"/>
      <c r="G43" s="14">
        <f>J42</f>
        <v/>
      </c>
      <c r="H43" s="14">
        <f>ROUND(G43*$D$32,0)</f>
        <v/>
      </c>
      <c r="I43" s="14">
        <f>-$D$30</f>
        <v/>
      </c>
      <c r="J43" s="14">
        <f>G43+H43+I43</f>
        <v/>
      </c>
    </row>
    <row r="44">
      <c r="A44" s="20" t="n">
        <v>8</v>
      </c>
      <c r="B44" s="21" t="n"/>
      <c r="C44" s="21" t="n"/>
      <c r="D44" s="21" t="n"/>
      <c r="E44" s="21" t="n"/>
      <c r="G44" s="22">
        <f>J43</f>
        <v/>
      </c>
      <c r="H44" s="22">
        <f>ROUND(G44*$D$32,0)</f>
        <v/>
      </c>
      <c r="I44" s="22">
        <f>-$D$30</f>
        <v/>
      </c>
      <c r="J44" s="22">
        <f>G44+H44+I44</f>
        <v/>
      </c>
    </row>
    <row r="45">
      <c r="A45" s="20" t="n">
        <v>9</v>
      </c>
      <c r="B45" s="21" t="n"/>
      <c r="C45" s="21" t="n"/>
      <c r="D45" s="21" t="n"/>
      <c r="E45" s="21" t="n"/>
      <c r="G45" s="14">
        <f>J44</f>
        <v/>
      </c>
      <c r="H45" s="14">
        <f>ROUND(G45*$D$32,0)</f>
        <v/>
      </c>
      <c r="I45" s="14">
        <f>-$D$30</f>
        <v/>
      </c>
      <c r="J45" s="14">
        <f>G45+H45+I45</f>
        <v/>
      </c>
    </row>
    <row r="46">
      <c r="A46" s="20" t="n">
        <v>10</v>
      </c>
      <c r="B46" s="21" t="n"/>
      <c r="C46" s="21" t="n"/>
      <c r="D46" s="21" t="n"/>
      <c r="E46" s="21" t="n"/>
      <c r="G46" s="22">
        <f>J45</f>
        <v/>
      </c>
      <c r="H46" s="22">
        <f>ROUND(G46*$D$32,0)</f>
        <v/>
      </c>
      <c r="I46" s="22">
        <f>-$D$30</f>
        <v/>
      </c>
      <c r="J46" s="22">
        <f>G46+H46+I46</f>
        <v/>
      </c>
    </row>
    <row r="47">
      <c r="A47" s="20" t="n">
        <v>11</v>
      </c>
      <c r="B47" s="21" t="n"/>
      <c r="C47" s="21" t="n"/>
      <c r="D47" s="21" t="n"/>
      <c r="E47" s="21" t="n"/>
      <c r="G47" s="14">
        <f>J46</f>
        <v/>
      </c>
      <c r="H47" s="14">
        <f>ROUND(G47*$D$32,0)</f>
        <v/>
      </c>
      <c r="I47" s="14">
        <f>-$D$30</f>
        <v/>
      </c>
      <c r="J47" s="14">
        <f>G47+H47+I47</f>
        <v/>
      </c>
    </row>
    <row r="48">
      <c r="A48" s="20" t="n">
        <v>12</v>
      </c>
      <c r="B48" s="21" t="n"/>
      <c r="C48" s="21" t="n"/>
      <c r="D48" s="21" t="n"/>
      <c r="E48" s="21" t="n"/>
      <c r="G48" s="22">
        <f>J47</f>
        <v/>
      </c>
      <c r="H48" s="22">
        <f>ROUND(G48*$D$32,0)</f>
        <v/>
      </c>
      <c r="I48" s="22">
        <f>-$D$30</f>
        <v/>
      </c>
      <c r="J48" s="22">
        <f>G48+H48+I48</f>
        <v/>
      </c>
    </row>
    <row r="49">
      <c r="A49" s="20" t="n">
        <v>13</v>
      </c>
      <c r="B49" s="21" t="n"/>
      <c r="C49" s="21" t="n"/>
      <c r="D49" s="21" t="n"/>
      <c r="E49" s="21" t="n"/>
      <c r="G49" s="14">
        <f>J48</f>
        <v/>
      </c>
      <c r="H49" s="14">
        <f>ROUND(G49*$D$32,0)</f>
        <v/>
      </c>
      <c r="I49" s="14">
        <f>-$D$30</f>
        <v/>
      </c>
      <c r="J49" s="14">
        <f>G49+H49+I49</f>
        <v/>
      </c>
    </row>
    <row r="50">
      <c r="A50" s="20" t="n">
        <v>14</v>
      </c>
      <c r="B50" s="21" t="n"/>
      <c r="C50" s="21" t="n"/>
      <c r="D50" s="21" t="n"/>
      <c r="E50" s="21" t="n"/>
      <c r="G50" s="22">
        <f>J49</f>
        <v/>
      </c>
      <c r="H50" s="22">
        <f>ROUND(G50*$D$32,0)</f>
        <v/>
      </c>
      <c r="I50" s="22">
        <f>-$D$30</f>
        <v/>
      </c>
      <c r="J50" s="22">
        <f>G50+H50+I50</f>
        <v/>
      </c>
    </row>
    <row r="51">
      <c r="A51" s="20" t="n">
        <v>15</v>
      </c>
      <c r="B51" s="21" t="n"/>
      <c r="C51" s="21" t="n"/>
      <c r="D51" s="21" t="n"/>
      <c r="E51" s="21" t="n"/>
      <c r="G51" s="14">
        <f>J50</f>
        <v/>
      </c>
      <c r="H51" s="14">
        <f>ROUND(G51*$D$32,0)</f>
        <v/>
      </c>
      <c r="I51" s="14">
        <f>-$D$30</f>
        <v/>
      </c>
      <c r="J51" s="14">
        <f>G51+H51+I51</f>
        <v/>
      </c>
    </row>
    <row r="52">
      <c r="A52" s="20" t="n">
        <v>16</v>
      </c>
      <c r="B52" s="21" t="n"/>
      <c r="C52" s="21" t="n"/>
      <c r="D52" s="21" t="n"/>
      <c r="E52" s="21" t="n"/>
      <c r="G52" s="22">
        <f>J51</f>
        <v/>
      </c>
      <c r="H52" s="22">
        <f>ROUND(G52*$D$32,0)</f>
        <v/>
      </c>
      <c r="I52" s="22">
        <f>-$D$30</f>
        <v/>
      </c>
      <c r="J52" s="22">
        <f>G52+H52+I52</f>
        <v/>
      </c>
    </row>
    <row r="53">
      <c r="A53" s="20" t="n">
        <v>17</v>
      </c>
      <c r="B53" s="21" t="n"/>
      <c r="C53" s="21" t="n"/>
      <c r="D53" s="21" t="n"/>
      <c r="E53" s="21" t="n"/>
      <c r="G53" s="14">
        <f>J52</f>
        <v/>
      </c>
      <c r="H53" s="14">
        <f>ROUND(G53*$D$32,0)</f>
        <v/>
      </c>
      <c r="I53" s="14">
        <f>-$D$30</f>
        <v/>
      </c>
      <c r="J53" s="14">
        <f>G53+H53+I53</f>
        <v/>
      </c>
    </row>
    <row r="54">
      <c r="A54" s="20" t="n">
        <v>18</v>
      </c>
      <c r="B54" s="21" t="n"/>
      <c r="C54" s="21" t="n"/>
      <c r="D54" s="21" t="n"/>
      <c r="E54" s="21" t="n"/>
      <c r="G54" s="22">
        <f>J53</f>
        <v/>
      </c>
      <c r="H54" s="22">
        <f>ROUND(G54*$D$32,0)</f>
        <v/>
      </c>
      <c r="I54" s="22">
        <f>-$D$30</f>
        <v/>
      </c>
      <c r="J54" s="22">
        <f>G54+H54+I54</f>
        <v/>
      </c>
    </row>
    <row r="55">
      <c r="A55" s="20" t="n">
        <v>19</v>
      </c>
      <c r="B55" s="21" t="n"/>
      <c r="C55" s="21" t="n"/>
      <c r="D55" s="21" t="n"/>
      <c r="E55" s="21" t="n"/>
      <c r="G55" s="14">
        <f>J54</f>
        <v/>
      </c>
      <c r="H55" s="14">
        <f>ROUND(G55*$D$32,0)</f>
        <v/>
      </c>
      <c r="I55" s="14">
        <f>-$D$30</f>
        <v/>
      </c>
      <c r="J55" s="14">
        <f>G55+H55+I55</f>
        <v/>
      </c>
    </row>
    <row r="56">
      <c r="A56" s="20" t="n">
        <v>20</v>
      </c>
      <c r="B56" s="21" t="n"/>
      <c r="C56" s="21" t="n"/>
      <c r="D56" s="21" t="n"/>
      <c r="E56" s="21" t="n"/>
      <c r="G56" s="22">
        <f>J55</f>
        <v/>
      </c>
      <c r="H56" s="22">
        <f>ROUND(G56*$D$32,0)</f>
        <v/>
      </c>
      <c r="I56" s="22">
        <f>-$D$30</f>
        <v/>
      </c>
      <c r="J56" s="22">
        <f>G56+H56+I56</f>
        <v/>
      </c>
    </row>
    <row r="57">
      <c r="A57" s="20" t="n">
        <v>21</v>
      </c>
      <c r="B57" s="21" t="n"/>
      <c r="C57" s="21" t="n"/>
      <c r="D57" s="21" t="n"/>
      <c r="E57" s="21" t="n"/>
      <c r="G57" s="14">
        <f>J56</f>
        <v/>
      </c>
      <c r="H57" s="14">
        <f>ROUND(G57*$D$32,0)</f>
        <v/>
      </c>
      <c r="I57" s="14">
        <f>-$D$30</f>
        <v/>
      </c>
      <c r="J57" s="14">
        <f>G57+H57+I57</f>
        <v/>
      </c>
    </row>
    <row r="58">
      <c r="A58" s="20" t="n">
        <v>22</v>
      </c>
      <c r="B58" s="21" t="n"/>
      <c r="C58" s="21" t="n"/>
      <c r="D58" s="21" t="n"/>
      <c r="E58" s="21" t="n"/>
      <c r="G58" s="22">
        <f>J57</f>
        <v/>
      </c>
      <c r="H58" s="22">
        <f>ROUND(G58*$D$32,0)</f>
        <v/>
      </c>
      <c r="I58" s="22">
        <f>-$D$30</f>
        <v/>
      </c>
      <c r="J58" s="22">
        <f>G58+H58+I58</f>
        <v/>
      </c>
    </row>
    <row r="59">
      <c r="A59" s="20" t="n">
        <v>23</v>
      </c>
      <c r="B59" s="21" t="n"/>
      <c r="C59" s="21" t="n"/>
      <c r="D59" s="21" t="n"/>
      <c r="E59" s="21" t="n"/>
      <c r="G59" s="14">
        <f>J58</f>
        <v/>
      </c>
      <c r="H59" s="14">
        <f>ROUND(G59*$D$32,0)</f>
        <v/>
      </c>
      <c r="I59" s="14">
        <f>-$D$30</f>
        <v/>
      </c>
      <c r="J59" s="14">
        <f>G59+H59+I59</f>
        <v/>
      </c>
    </row>
    <row r="60">
      <c r="A60" s="20" t="n">
        <v>24</v>
      </c>
      <c r="B60" s="21" t="n"/>
      <c r="C60" s="21" t="n"/>
      <c r="D60" s="21" t="n"/>
      <c r="E60" s="21" t="n"/>
      <c r="G60" s="22">
        <f>J59</f>
        <v/>
      </c>
      <c r="H60" s="22">
        <f>ROUND(G60*$D$32,0)</f>
        <v/>
      </c>
      <c r="I60" s="22">
        <f>-$D$30</f>
        <v/>
      </c>
      <c r="J60" s="22">
        <f>G60+H60+I60</f>
        <v/>
      </c>
    </row>
    <row r="61">
      <c r="A61" s="20" t="n">
        <v>25</v>
      </c>
      <c r="B61" s="21" t="n"/>
      <c r="C61" s="21" t="n"/>
      <c r="D61" s="21" t="n"/>
      <c r="E61" s="21" t="n"/>
      <c r="G61" s="14">
        <f>J60</f>
        <v/>
      </c>
      <c r="H61" s="14">
        <f>ROUND(G61*$D$32,0)</f>
        <v/>
      </c>
      <c r="I61" s="14">
        <f>-$D$30</f>
        <v/>
      </c>
      <c r="J61" s="14">
        <f>G61+H61+I61</f>
        <v/>
      </c>
    </row>
    <row r="62">
      <c r="A62" s="20" t="n">
        <v>26</v>
      </c>
      <c r="B62" s="21" t="n"/>
      <c r="C62" s="21" t="n"/>
      <c r="D62" s="21" t="n"/>
      <c r="E62" s="21" t="n"/>
      <c r="G62" s="22">
        <f>J61</f>
        <v/>
      </c>
      <c r="H62" s="22">
        <f>ROUND(G62*$D$32,0)</f>
        <v/>
      </c>
      <c r="I62" s="22">
        <f>-$D$30</f>
        <v/>
      </c>
      <c r="J62" s="22">
        <f>G62+H62+I62</f>
        <v/>
      </c>
    </row>
    <row r="63">
      <c r="A63" s="20" t="n">
        <v>27</v>
      </c>
      <c r="B63" s="21" t="n"/>
      <c r="C63" s="21" t="n"/>
      <c r="D63" s="21" t="n"/>
      <c r="E63" s="21" t="n"/>
      <c r="G63" s="14">
        <f>J62</f>
        <v/>
      </c>
      <c r="H63" s="14">
        <f>ROUND(G63*$D$32,0)</f>
        <v/>
      </c>
      <c r="I63" s="14">
        <f>-$D$30</f>
        <v/>
      </c>
      <c r="J63" s="14">
        <f>G63+H63+I63</f>
        <v/>
      </c>
    </row>
    <row r="64">
      <c r="A64" s="20" t="n">
        <v>28</v>
      </c>
      <c r="B64" s="21" t="n"/>
      <c r="C64" s="21" t="n"/>
      <c r="D64" s="21" t="n"/>
      <c r="E64" s="21" t="n"/>
      <c r="G64" s="22">
        <f>J63</f>
        <v/>
      </c>
      <c r="H64" s="22">
        <f>ROUND(G64*$D$32,0)</f>
        <v/>
      </c>
      <c r="I64" s="22">
        <f>-$D$30</f>
        <v/>
      </c>
      <c r="J64" s="22">
        <f>G64+H64+I64</f>
        <v/>
      </c>
    </row>
    <row r="65">
      <c r="A65" s="20" t="n">
        <v>29</v>
      </c>
      <c r="B65" s="21" t="n"/>
      <c r="C65" s="21" t="n"/>
      <c r="D65" s="21" t="n"/>
      <c r="E65" s="21" t="n"/>
      <c r="G65" s="14">
        <f>J64</f>
        <v/>
      </c>
      <c r="H65" s="14">
        <f>ROUND(G65*$D$32,0)</f>
        <v/>
      </c>
      <c r="I65" s="14">
        <f>-$D$30</f>
        <v/>
      </c>
      <c r="J65" s="14">
        <f>G65+H65+I65</f>
        <v/>
      </c>
    </row>
    <row r="66">
      <c r="A66" s="20" t="n">
        <v>30</v>
      </c>
      <c r="B66" s="21" t="n"/>
      <c r="C66" s="21" t="n"/>
      <c r="D66" s="21" t="n"/>
      <c r="E66" s="21" t="n"/>
      <c r="G66" s="22">
        <f>J65</f>
        <v/>
      </c>
      <c r="H66" s="22">
        <f>ROUND(G66*$D$32,0)</f>
        <v/>
      </c>
      <c r="I66" s="22">
        <f>-$D$30</f>
        <v/>
      </c>
      <c r="J66" s="22">
        <f>G66+H66+I66</f>
        <v/>
      </c>
    </row>
    <row r="67">
      <c r="A67" s="20" t="n">
        <v>31</v>
      </c>
      <c r="B67" s="21" t="n"/>
      <c r="C67" s="21" t="n"/>
      <c r="D67" s="21" t="n"/>
      <c r="E67" s="21" t="n"/>
      <c r="G67" s="14">
        <f>J66</f>
        <v/>
      </c>
      <c r="H67" s="14">
        <f>ROUND(G67*$D$32,0)</f>
        <v/>
      </c>
      <c r="I67" s="14">
        <f>-$D$30</f>
        <v/>
      </c>
      <c r="J67" s="14">
        <f>G67+H67+I67</f>
        <v/>
      </c>
    </row>
    <row r="68">
      <c r="A68" s="20" t="n">
        <v>32</v>
      </c>
      <c r="B68" s="21" t="n"/>
      <c r="C68" s="21" t="n"/>
      <c r="D68" s="21" t="n"/>
      <c r="E68" s="21" t="n"/>
      <c r="G68" s="22">
        <f>J67</f>
        <v/>
      </c>
      <c r="H68" s="22">
        <f>ROUND(G68*$D$32,0)</f>
        <v/>
      </c>
      <c r="I68" s="22">
        <f>-$D$30</f>
        <v/>
      </c>
      <c r="J68" s="22">
        <f>G68+H68+I68</f>
        <v/>
      </c>
    </row>
    <row r="69">
      <c r="A69" s="20" t="n">
        <v>33</v>
      </c>
      <c r="B69" s="21" t="n"/>
      <c r="C69" s="21" t="n"/>
      <c r="D69" s="21" t="n"/>
      <c r="E69" s="21" t="n"/>
      <c r="G69" s="14">
        <f>J68</f>
        <v/>
      </c>
      <c r="H69" s="14">
        <f>ROUND(G69*$D$32,0)</f>
        <v/>
      </c>
      <c r="I69" s="14">
        <f>-$D$30</f>
        <v/>
      </c>
      <c r="J69" s="14">
        <f>G69+H69+I69</f>
        <v/>
      </c>
    </row>
    <row r="70">
      <c r="A70" s="20" t="n">
        <v>34</v>
      </c>
      <c r="B70" s="21" t="n"/>
      <c r="C70" s="21" t="n"/>
      <c r="D70" s="21" t="n"/>
      <c r="E70" s="21" t="n"/>
      <c r="G70" s="22">
        <f>J69</f>
        <v/>
      </c>
      <c r="H70" s="22">
        <f>ROUND(G70*$D$32,0)</f>
        <v/>
      </c>
      <c r="I70" s="22">
        <f>-$D$30</f>
        <v/>
      </c>
      <c r="J70" s="22">
        <f>G70+H70+I70</f>
        <v/>
      </c>
    </row>
    <row r="71">
      <c r="A71" s="20" t="n">
        <v>35</v>
      </c>
      <c r="B71" s="21" t="n"/>
      <c r="C71" s="21" t="n"/>
      <c r="D71" s="21" t="n"/>
      <c r="E71" s="21" t="n"/>
      <c r="G71" s="14">
        <f>J70</f>
        <v/>
      </c>
      <c r="H71" s="14">
        <f>ROUND(G71*$D$32,0)</f>
        <v/>
      </c>
      <c r="I71" s="14">
        <f>-$D$30</f>
        <v/>
      </c>
      <c r="J71" s="14">
        <f>G71+H71+I71</f>
        <v/>
      </c>
    </row>
    <row r="72">
      <c r="A72" s="20" t="n">
        <v>36</v>
      </c>
      <c r="B72" s="21" t="n"/>
      <c r="C72" s="21" t="n"/>
      <c r="D72" s="21" t="n"/>
      <c r="E72" s="21" t="n"/>
      <c r="G72" s="22">
        <f>J71</f>
        <v/>
      </c>
      <c r="H72" s="22">
        <f>ROUND(G72*$D$32,0)</f>
        <v/>
      </c>
      <c r="I72" s="22">
        <f>-$D$30</f>
        <v/>
      </c>
      <c r="J72" s="22">
        <f>G72+H72+I72</f>
        <v/>
      </c>
    </row>
    <row r="73">
      <c r="A73" s="20" t="n">
        <v>37</v>
      </c>
      <c r="B73" s="21" t="n"/>
      <c r="C73" s="21" t="n"/>
      <c r="D73" s="21" t="n"/>
      <c r="E73" s="21" t="n"/>
      <c r="G73" s="14">
        <f>J72</f>
        <v/>
      </c>
      <c r="H73" s="14">
        <f>ROUND(G73*$D$32,0)</f>
        <v/>
      </c>
      <c r="I73" s="14">
        <f>-$D$30</f>
        <v/>
      </c>
      <c r="J73" s="14">
        <f>G73+H73+I73</f>
        <v/>
      </c>
    </row>
    <row r="74">
      <c r="A74" s="20" t="n">
        <v>38</v>
      </c>
      <c r="B74" s="21" t="n"/>
      <c r="C74" s="21" t="n"/>
      <c r="D74" s="21" t="n"/>
      <c r="E74" s="21" t="n"/>
      <c r="G74" s="22">
        <f>J73</f>
        <v/>
      </c>
      <c r="H74" s="22">
        <f>ROUND(G74*$D$32,0)</f>
        <v/>
      </c>
      <c r="I74" s="22">
        <f>-$D$30</f>
        <v/>
      </c>
      <c r="J74" s="22">
        <f>G74+H74+I74</f>
        <v/>
      </c>
    </row>
    <row r="75">
      <c r="A75" s="20" t="n">
        <v>39</v>
      </c>
      <c r="B75" s="21" t="n"/>
      <c r="C75" s="21" t="n"/>
      <c r="D75" s="21" t="n"/>
      <c r="E75" s="21" t="n"/>
      <c r="G75" s="14">
        <f>J74</f>
        <v/>
      </c>
      <c r="H75" s="14">
        <f>ROUND(G75*$D$32,0)</f>
        <v/>
      </c>
      <c r="I75" s="14">
        <f>-$D$30</f>
        <v/>
      </c>
      <c r="J75" s="14">
        <f>G75+H75+I75</f>
        <v/>
      </c>
    </row>
    <row r="76">
      <c r="A76" s="20" t="n">
        <v>40</v>
      </c>
      <c r="B76" s="21" t="n"/>
      <c r="C76" s="21" t="n"/>
      <c r="D76" s="21" t="n"/>
      <c r="E76" s="21" t="n"/>
      <c r="G76" s="22">
        <f>J75</f>
        <v/>
      </c>
      <c r="H76" s="22">
        <f>ROUND(G76*$D$32,0)</f>
        <v/>
      </c>
      <c r="I76" s="22">
        <f>-$D$30</f>
        <v/>
      </c>
      <c r="J76" s="22">
        <f>G76+H76+I76</f>
        <v/>
      </c>
    </row>
    <row r="77">
      <c r="A77" s="20" t="n">
        <v>41</v>
      </c>
      <c r="B77" s="21" t="n"/>
      <c r="C77" s="21" t="n"/>
      <c r="D77" s="21" t="n"/>
      <c r="E77" s="21" t="n"/>
      <c r="G77" s="14">
        <f>J76</f>
        <v/>
      </c>
      <c r="H77" s="14">
        <f>ROUND(G77*$D$32,0)</f>
        <v/>
      </c>
      <c r="I77" s="14">
        <f>-$D$30</f>
        <v/>
      </c>
      <c r="J77" s="14">
        <f>G77+H77+I77</f>
        <v/>
      </c>
    </row>
    <row r="78">
      <c r="A78" s="20" t="n">
        <v>42</v>
      </c>
      <c r="B78" s="21" t="n"/>
      <c r="C78" s="21" t="n"/>
      <c r="D78" s="21" t="n"/>
      <c r="E78" s="21" t="n"/>
      <c r="G78" s="22">
        <f>J77</f>
        <v/>
      </c>
      <c r="H78" s="22">
        <f>ROUND(G78*$D$32,0)</f>
        <v/>
      </c>
      <c r="I78" s="22">
        <f>-$D$30</f>
        <v/>
      </c>
      <c r="J78" s="22">
        <f>G78+H78+I78</f>
        <v/>
      </c>
    </row>
    <row r="79">
      <c r="A79" s="20" t="n">
        <v>43</v>
      </c>
      <c r="B79" s="21" t="n"/>
      <c r="C79" s="21" t="n"/>
      <c r="D79" s="21" t="n"/>
      <c r="E79" s="21" t="n"/>
      <c r="G79" s="14">
        <f>J78</f>
        <v/>
      </c>
      <c r="H79" s="14">
        <f>ROUND(G79*$D$32,0)</f>
        <v/>
      </c>
      <c r="I79" s="14">
        <f>-$D$30</f>
        <v/>
      </c>
      <c r="J79" s="14">
        <f>G79+H79+I79</f>
        <v/>
      </c>
    </row>
    <row r="80">
      <c r="A80" s="20" t="n">
        <v>44</v>
      </c>
      <c r="B80" s="21" t="n"/>
      <c r="C80" s="21" t="n"/>
      <c r="D80" s="21" t="n"/>
      <c r="E80" s="21" t="n"/>
      <c r="G80" s="22">
        <f>J79</f>
        <v/>
      </c>
      <c r="H80" s="22">
        <f>ROUND(G80*$D$32,0)</f>
        <v/>
      </c>
      <c r="I80" s="22">
        <f>-$D$30</f>
        <v/>
      </c>
      <c r="J80" s="22">
        <f>G80+H80+I80</f>
        <v/>
      </c>
    </row>
    <row r="81">
      <c r="A81" s="20" t="n">
        <v>45</v>
      </c>
      <c r="B81" s="21" t="n"/>
      <c r="C81" s="21" t="n"/>
      <c r="D81" s="21" t="n"/>
      <c r="E81" s="21" t="n"/>
      <c r="G81" s="14">
        <f>J80</f>
        <v/>
      </c>
      <c r="H81" s="14">
        <f>ROUND(G81*$D$32,0)</f>
        <v/>
      </c>
      <c r="I81" s="14">
        <f>-$D$30</f>
        <v/>
      </c>
      <c r="J81" s="14">
        <f>G81+H81+I81</f>
        <v/>
      </c>
    </row>
    <row r="82">
      <c r="A82" s="20" t="n">
        <v>46</v>
      </c>
      <c r="B82" s="21" t="n"/>
      <c r="C82" s="21" t="n"/>
      <c r="D82" s="21" t="n"/>
      <c r="E82" s="21" t="n"/>
      <c r="G82" s="22">
        <f>J81</f>
        <v/>
      </c>
      <c r="H82" s="22">
        <f>ROUND(G82*$D$32,0)</f>
        <v/>
      </c>
      <c r="I82" s="22">
        <f>-$D$30</f>
        <v/>
      </c>
      <c r="J82" s="22">
        <f>G82+H82+I82</f>
        <v/>
      </c>
    </row>
    <row r="83">
      <c r="A83" s="20" t="n">
        <v>47</v>
      </c>
      <c r="B83" s="21" t="n"/>
      <c r="C83" s="21" t="n"/>
      <c r="D83" s="21" t="n"/>
      <c r="E83" s="21" t="n"/>
      <c r="G83" s="14">
        <f>J82</f>
        <v/>
      </c>
      <c r="H83" s="14">
        <f>ROUND(G83*$D$32,0)</f>
        <v/>
      </c>
      <c r="I83" s="14">
        <f>-$D$30</f>
        <v/>
      </c>
      <c r="J83" s="14">
        <f>G83+H83+I83</f>
        <v/>
      </c>
    </row>
    <row r="84">
      <c r="A84" s="20" t="n">
        <v>48</v>
      </c>
      <c r="B84" s="21" t="n"/>
      <c r="C84" s="21" t="n"/>
      <c r="D84" s="21" t="n"/>
      <c r="E84" s="21" t="n"/>
      <c r="G84" s="22">
        <f>J83</f>
        <v/>
      </c>
      <c r="H84" s="22">
        <f>ROUND(G84*$D$32,0)</f>
        <v/>
      </c>
      <c r="I84" s="22">
        <f>-$D$30</f>
        <v/>
      </c>
      <c r="J84" s="22">
        <f>G84+H84+I84</f>
        <v/>
      </c>
    </row>
    <row r="85">
      <c r="A85" s="20" t="n">
        <v>49</v>
      </c>
      <c r="B85" s="21" t="n"/>
      <c r="C85" s="21" t="n"/>
      <c r="D85" s="21" t="n"/>
      <c r="E85" s="21" t="n"/>
      <c r="G85" s="14">
        <f>J84</f>
        <v/>
      </c>
      <c r="H85" s="14">
        <f>-G85-I85</f>
        <v/>
      </c>
      <c r="I85" s="14">
        <f>-$D$30-I37</f>
        <v/>
      </c>
      <c r="J85" s="14">
        <f>G85+H85+I85</f>
        <v/>
      </c>
    </row>
    <row r="86"/>
    <row r="87" ht="20" customHeight="1">
      <c r="A87" s="3" t="inlineStr">
        <is>
          <t>③ 중도해지금  (할인 적용 고객)</t>
        </is>
      </c>
    </row>
    <row r="88">
      <c r="A88" s="23" t="inlineStr">
        <is>
          <t>계약일자</t>
        </is>
      </c>
      <c r="B88" s="24" t="n">
        <v>45912</v>
      </c>
    </row>
    <row r="89">
      <c r="A89" s="23" t="inlineStr">
        <is>
          <t>해지일자</t>
        </is>
      </c>
      <c r="B89" s="24" t="n">
        <v>46647</v>
      </c>
    </row>
    <row r="90">
      <c r="A90" s="25" t="inlineStr">
        <is>
          <t>Σ경과일</t>
        </is>
      </c>
      <c r="B90" s="26">
        <f>B89-B88</f>
        <v/>
      </c>
    </row>
    <row r="91">
      <c r="A91" s="25" t="inlineStr">
        <is>
          <t>당월 사용일</t>
        </is>
      </c>
      <c r="B91" s="26">
        <f>DAY(B89)-1</f>
        <v/>
      </c>
    </row>
    <row r="92">
      <c r="A92" s="25" t="inlineStr">
        <is>
          <t>그달 일수</t>
        </is>
      </c>
      <c r="B92" s="26">
        <f>DAY(EOMONTH(B89,0))</f>
        <v/>
      </c>
    </row>
    <row r="93">
      <c r="A93" s="25" t="inlineStr">
        <is>
          <t>경과비율</t>
        </is>
      </c>
      <c r="B93" s="27">
        <f>(B89-B88)/B6</f>
        <v/>
      </c>
    </row>
    <row r="94">
      <c r="A94" s="25" t="inlineStr">
        <is>
          <t>잔여비율</t>
        </is>
      </c>
      <c r="B94" s="27">
        <f>(B6-(B89-B88))/B6</f>
        <v/>
      </c>
    </row>
    <row r="95"/>
    <row r="96">
      <c r="A96" s="6" t="inlineStr">
        <is>
          <t>항목</t>
        </is>
      </c>
      <c r="B96" s="6" t="inlineStr">
        <is>
          <t>✍️ 내 답</t>
        </is>
      </c>
      <c r="C96" s="6" t="inlineStr">
        <is>
          <t>✅ 정답</t>
        </is>
      </c>
      <c r="E96" s="6" t="inlineStr">
        <is>
          <t>수식 설명</t>
        </is>
      </c>
    </row>
    <row r="97">
      <c r="A97" s="7" t="inlineStr">
        <is>
          <t>위약금</t>
        </is>
      </c>
      <c r="B97" s="28" t="n"/>
      <c r="C97" s="9">
        <f>ROUNDDOWN(B8*B94*0.2,-1)</f>
        <v/>
      </c>
      <c r="D97" s="10" t="n"/>
      <c r="E97" s="11" t="inlineStr">
        <is>
          <t>ROUNDDOWN(총v+ × 잔여 × 20%, −1)</t>
        </is>
      </c>
    </row>
    <row r="98">
      <c r="A98" s="7" t="inlineStr">
        <is>
          <t>사용분 청구</t>
        </is>
      </c>
      <c r="B98" s="28" t="n"/>
      <c r="C98" s="9">
        <f>ROUNDDOWN(C25*B91/B92,-2)</f>
        <v/>
      </c>
      <c r="D98" s="10" t="n"/>
      <c r="E98" s="11" t="inlineStr">
        <is>
          <t>ROUNDDOWN(할인후월구독료 × 사용일/그달, −2)</t>
        </is>
      </c>
    </row>
    <row r="99">
      <c r="A99" s="7" t="inlineStr">
        <is>
          <t>할인금 회수</t>
        </is>
      </c>
      <c r="B99" s="28" t="n"/>
      <c r="C99" s="9">
        <f>ROUNDDOWN(B18*B93,-2)+ROUNDDOWN(B19*B93,-2)+ROUNDDOWN(B20*B93,-2)</f>
        <v/>
      </c>
      <c r="D99" s="10" t="n"/>
      <c r="E99" s="11" t="inlineStr">
        <is>
          <t>Σ ROUNDDOWN(각 할인 × 경과, −2)</t>
        </is>
      </c>
    </row>
    <row r="100">
      <c r="A100" s="7" t="inlineStr">
        <is>
          <t>선납잔액 환불</t>
        </is>
      </c>
      <c r="B100" s="28" t="n"/>
      <c r="C100" s="9">
        <f>-ROUNDUP(B17*B94,-2)</f>
        <v/>
      </c>
      <c r="D100" s="10" t="n"/>
      <c r="E100" s="11" t="inlineStr">
        <is>
          <t>−ROUNDUP(선납금 × 잔여, −2)</t>
        </is>
      </c>
    </row>
    <row r="101">
      <c r="A101" s="7" t="inlineStr">
        <is>
          <t>등록비 청구</t>
        </is>
      </c>
      <c r="B101" s="28" t="n"/>
      <c r="C101" s="9">
        <f>ROUNDDOWN(100000/1.1*B93,-2)</f>
        <v/>
      </c>
      <c r="D101" s="10" t="n"/>
      <c r="E101" s="11" t="inlineStr">
        <is>
          <t>ROUNDDOWN(등록비/1.1 × 경과, −2)</t>
        </is>
      </c>
    </row>
    <row r="102">
      <c r="A102" s="29" t="inlineStr">
        <is>
          <t>고객 순부담</t>
        </is>
      </c>
      <c r="B102" s="10" t="n"/>
      <c r="C102" s="30">
        <f>SUM(C97:C101)</f>
        <v/>
      </c>
      <c r="D102" s="10" t="n"/>
      <c r="E102" s="10" t="n"/>
    </row>
  </sheetData>
  <mergeCells count="10">
    <mergeCell ref="E23"/>
    <mergeCell ref="A1:J1"/>
    <mergeCell ref="A87:E87"/>
    <mergeCell ref="A4:E4"/>
    <mergeCell ref="A16:E16"/>
    <mergeCell ref="G34:J34"/>
    <mergeCell ref="A2:J2"/>
    <mergeCell ref="A22:E22"/>
    <mergeCell ref="A27:E27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2026-06-24T14:18:31Z</dcterms:created>
  <dcterms:modified xsi:type="dcterms:W3CDTF">2026-06-24T14:18:31Z</dcterms:modified>
</cp:coreProperties>
</file>